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Savings Account Transactions" sheetId="2" r:id="rId5"/>
    <sheet state="visible" name="Cleaned_Data" sheetId="3" r:id="rId6"/>
    <sheet state="visible" name="Pivot_Monthly" sheetId="4" r:id="rId7"/>
    <sheet state="visible" name="Monthly_Summary" sheetId="5" r:id="rId8"/>
    <sheet state="visible" name="Chart3" sheetId="6" r:id="rId9"/>
    <sheet state="visible" name="Sheet4" sheetId="7" r:id="rId10"/>
    <sheet state="visible" name="Chart2" sheetId="8" r:id="rId11"/>
    <sheet state="visible" name="Chart1" sheetId="9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<sst xmlns="http://schemas.openxmlformats.org/spreadsheetml/2006/main" count="15562" uniqueCount="6756">
  <si>
    <t>Wallet Account Statement</t>
  </si>
  <si>
    <t>Date Printed</t>
  </si>
  <si>
    <t>27 Dec 2025 22:27:55</t>
  </si>
  <si>
    <t>Account Name</t>
  </si>
  <si>
    <t>MUHAMMAD ABUBAKAR UMAR</t>
  </si>
  <si>
    <t>Account Number</t>
  </si>
  <si>
    <t>8147735015</t>
  </si>
  <si>
    <t>Address</t>
  </si>
  <si>
    <t>Danbare quarters, Opposite Buk gate, Ungogo, Ungogo, Kano</t>
  </si>
  <si>
    <t>Account Type</t>
  </si>
  <si>
    <t>Wallet Account</t>
  </si>
  <si>
    <t>Period</t>
  </si>
  <si>
    <t>01 Jan 2025-26 Dec 2025</t>
  </si>
  <si>
    <t>Opening Balance</t>
  </si>
  <si>
    <t>₦1,587.02</t>
  </si>
  <si>
    <t>Total Debit</t>
  </si>
  <si>
    <t>₦5,924,353.47</t>
  </si>
  <si>
    <t>Debit Count</t>
  </si>
  <si>
    <t>Closing Balance</t>
  </si>
  <si>
    <t>₦6,318.86</t>
  </si>
  <si>
    <t>Total Credit</t>
  </si>
  <si>
    <t>₦5,929,085.31</t>
  </si>
  <si>
    <t>Credit Count</t>
  </si>
  <si>
    <t>Trans. Date</t>
  </si>
  <si>
    <t>Value Date</t>
  </si>
  <si>
    <t>Description</t>
  </si>
  <si>
    <t>Debit(₦)</t>
  </si>
  <si>
    <t>Credit(₦)</t>
  </si>
  <si>
    <t>Balance After(₦)</t>
  </si>
  <si>
    <t>Channel</t>
  </si>
  <si>
    <t>Transaction Reference</t>
  </si>
  <si>
    <t>01 Jan 2025 04:07:19</t>
  </si>
  <si>
    <t>01 Jan 2025</t>
  </si>
  <si>
    <t xml:space="preserve">Airtime | 8147735015 | MTN </t>
  </si>
  <si>
    <t>200.00</t>
  </si>
  <si>
    <t>--</t>
  </si>
  <si>
    <t>1,387.02</t>
  </si>
  <si>
    <t>Mobile</t>
  </si>
  <si>
    <t>250101100100630513708890</t>
  </si>
  <si>
    <t>01 Jan 2025 13:29:19</t>
  </si>
  <si>
    <t xml:space="preserve">Transfer from KHAIRAT ZUBAIRU | OPay | 703****966 </t>
  </si>
  <si>
    <t>300.00</t>
  </si>
  <si>
    <t>1,687.02</t>
  </si>
  <si>
    <t>250101010100635414096083</t>
  </si>
  <si>
    <t>01 Jan 2025 14:00:41</t>
  </si>
  <si>
    <t xml:space="preserve">Transfer to POS Transfer-AMINA HARUNA | MONIE POINT | 5730253158 </t>
  </si>
  <si>
    <t>700.00</t>
  </si>
  <si>
    <t>987.02</t>
  </si>
  <si>
    <t>100004250101140046124766907091</t>
  </si>
  <si>
    <t>01 Jan 2025 20:46:58</t>
  </si>
  <si>
    <t>500.00</t>
  </si>
  <si>
    <t>487.02</t>
  </si>
  <si>
    <t>100004250101204705124785870809</t>
  </si>
  <si>
    <t>01 Jan 2025 20:51:11</t>
  </si>
  <si>
    <t xml:space="preserve">Transfer to MUHAMMED OLUWATOBI ABDULSALAM | OPay | 9068533201 </t>
  </si>
  <si>
    <t>100.00</t>
  </si>
  <si>
    <t>387.02</t>
  </si>
  <si>
    <t>250101010100640051465384</t>
  </si>
  <si>
    <t>01 Jan 2025 22:10:30</t>
  </si>
  <si>
    <t xml:space="preserve">Transfer from UMAR MUHAMMAD ABUBAKAR | Guaranty Trust Bank | 032****140 | NIP Transfer to MUHAMMAD ABUBAKAR UMAR. 000013250101231030000067145418 </t>
  </si>
  <si>
    <t>9,900.00</t>
  </si>
  <si>
    <t>10,287.02</t>
  </si>
  <si>
    <t>000013250101231030000067145418</t>
  </si>
  <si>
    <t>01 Jan 2025 22:11:06</t>
  </si>
  <si>
    <t xml:space="preserve">Transfer from UMAR MUHAMMAD ABUBAKAR | Guaranty Trust Bank | 032****140 | NIP Transfer to MUHAMMAD ABUBAKAR UMAR. 000013250101231106000067145751 </t>
  </si>
  <si>
    <t>5,000.00</t>
  </si>
  <si>
    <t>15,287.02</t>
  </si>
  <si>
    <t>000013250101231106000067145751</t>
  </si>
  <si>
    <t>02 Jan 2025 07:33:21</t>
  </si>
  <si>
    <t>02 Jan 2025</t>
  </si>
  <si>
    <t xml:space="preserve">Transfer to KHAIRAT ZUBAIRU | OPay | 7033715966 </t>
  </si>
  <si>
    <t>2,000.00</t>
  </si>
  <si>
    <t>13,287.02</t>
  </si>
  <si>
    <t>250102010100642590690629</t>
  </si>
  <si>
    <t>02 Jan 2025 07:40:54</t>
  </si>
  <si>
    <t xml:space="preserve">Transfer to POS Transfer - IBRAHIM NAKOZI | MONIE POINT | 8173156921 </t>
  </si>
  <si>
    <t>3,300.00</t>
  </si>
  <si>
    <t>9,987.02</t>
  </si>
  <si>
    <t>100004250102074100124792919479</t>
  </si>
  <si>
    <t>02 Jan 2025 07:41:54</t>
  </si>
  <si>
    <t>9,487.02</t>
  </si>
  <si>
    <t>100004250102074158124793509722</t>
  </si>
  <si>
    <t>02 Jan 2025 08:03:00</t>
  </si>
  <si>
    <t xml:space="preserve">Transfer to ABDULLAHI MUTTAKA | MONIE POINT | 9162038218 </t>
  </si>
  <si>
    <t>9,387.02</t>
  </si>
  <si>
    <t>100004250102080304124794033983</t>
  </si>
  <si>
    <t>02 Jan 2025 12:16:34</t>
  </si>
  <si>
    <t xml:space="preserve">Transfer to MFY / GSUBZ-MUHAMMAD ABUBAKAR UMAR | Wema Bank PLC | 9931272881 </t>
  </si>
  <si>
    <t>1,410.00</t>
  </si>
  <si>
    <t>7,977.02</t>
  </si>
  <si>
    <t>100004250102121638124805494803</t>
  </si>
  <si>
    <t>02 Jan 2025 16:19:54</t>
  </si>
  <si>
    <t xml:space="preserve">Transfer to BASHIR SALISU | OPay | 8038789978 </t>
  </si>
  <si>
    <t>7,777.02</t>
  </si>
  <si>
    <t>250102010100648312454829</t>
  </si>
  <si>
    <t>02 Jan 2025 20:04:55</t>
  </si>
  <si>
    <t xml:space="preserve">Transfer from ABDULBASIT OPEYEMI MUHAMMED | OPay | 915****942 </t>
  </si>
  <si>
    <t>1,000.00</t>
  </si>
  <si>
    <t>8,777.02</t>
  </si>
  <si>
    <t>250102010100651552076027</t>
  </si>
  <si>
    <t>02 Jan 2025 20:17:14</t>
  </si>
  <si>
    <t>2,110.00</t>
  </si>
  <si>
    <t>6,667.02</t>
  </si>
  <si>
    <t>100004250102201720124831515075</t>
  </si>
  <si>
    <t>03 Jan 2025 09:44:30</t>
  </si>
  <si>
    <t>03 Jan 2025</t>
  </si>
  <si>
    <t xml:space="preserve">Transfer to PRINCE PETER OLU | MONIE POINT | 7067359137 </t>
  </si>
  <si>
    <t>1,050.00</t>
  </si>
  <si>
    <t>5,617.02</t>
  </si>
  <si>
    <t>100004250103094435124847500116</t>
  </si>
  <si>
    <t>03 Jan 2025 11:02:53</t>
  </si>
  <si>
    <t xml:space="preserve">Airtime | 9032807849 | MTN </t>
  </si>
  <si>
    <t>5,417.02</t>
  </si>
  <si>
    <t>250103100100657266276581</t>
  </si>
  <si>
    <t>03 Jan 2025 11:29:36</t>
  </si>
  <si>
    <t xml:space="preserve">Transfer to GLORY ITORO TITUS | OPay | 8150204334 </t>
  </si>
  <si>
    <t>4,417.02</t>
  </si>
  <si>
    <t>250103010100657531966904</t>
  </si>
  <si>
    <t>03 Jan 2025 12:55:56</t>
  </si>
  <si>
    <t>250.00</t>
  </si>
  <si>
    <t>4,167.02</t>
  </si>
  <si>
    <t>100004250103125601124856920366</t>
  </si>
  <si>
    <t>03 Jan 2025 16:09:32</t>
  </si>
  <si>
    <t>600.00</t>
  </si>
  <si>
    <t>3,567.02</t>
  </si>
  <si>
    <t>100004250103160936124867289647</t>
  </si>
  <si>
    <t>03 Jan 2025 23:32:01</t>
  </si>
  <si>
    <t xml:space="preserve">Transfer from ABDULKADIR SAYYADI YABAGI | OPay | 701****823 </t>
  </si>
  <si>
    <t>9,999.00</t>
  </si>
  <si>
    <t>13,566.02</t>
  </si>
  <si>
    <t>250103010100666341762256</t>
  </si>
  <si>
    <t>03 Jan 2025 23:32:22</t>
  </si>
  <si>
    <t>5,001.00</t>
  </si>
  <si>
    <t>18,567.02</t>
  </si>
  <si>
    <t>250103010100666341957519</t>
  </si>
  <si>
    <t>03 Jan 2025 23:35:03</t>
  </si>
  <si>
    <t xml:space="preserve">Transfer to UMAR PETER ALHASSAN | OPay | 9078777517 </t>
  </si>
  <si>
    <t>12,000.00</t>
  </si>
  <si>
    <t>6,567.02</t>
  </si>
  <si>
    <t>250103010100666368452328</t>
  </si>
  <si>
    <t>04 Jan 2025 08:19:48</t>
  </si>
  <si>
    <t>04 Jan 2025</t>
  </si>
  <si>
    <t>6,267.02</t>
  </si>
  <si>
    <t>100004250104081952124894087257</t>
  </si>
  <si>
    <t>04 Jan 2025 09:16:10</t>
  </si>
  <si>
    <t xml:space="preserve">Transfer from MUHAMMED OLUWATOBI ABDULSALAM | Access Bank | 187****831 | TRFFRM MUHAMMED OLUWATOBI ABDULSALAM TO MUHAMMAD ABUBAKAR UMAR </t>
  </si>
  <si>
    <t>000014250104101610226477979979</t>
  </si>
  <si>
    <t>04 Jan 2025 09:38:25</t>
  </si>
  <si>
    <t xml:space="preserve">Transfer to POS Transfer- IBRAHIM UMAR | MONIE POINT | 5740930728 </t>
  </si>
  <si>
    <t>2,150.00</t>
  </si>
  <si>
    <t>100004250104093831124898624027</t>
  </si>
  <si>
    <t>04 Jan 2025 09:43:27</t>
  </si>
  <si>
    <t xml:space="preserve">Transfer to TAOFIK ABIODUN SULAIMON - TAOFIK ABIODUN SULAIMON | MONIE POINT | 5860956271 </t>
  </si>
  <si>
    <t>1,820.00</t>
  </si>
  <si>
    <t>2,597.02</t>
  </si>
  <si>
    <t>100004250104094333124897908554</t>
  </si>
  <si>
    <t>04 Jan 2025 11:33:54</t>
  </si>
  <si>
    <t xml:space="preserve">Airtime | 8109243287 | MTN </t>
  </si>
  <si>
    <t>2,097.02</t>
  </si>
  <si>
    <t>250104100100670880183977</t>
  </si>
  <si>
    <t>04 Jan 2025 15:28:50</t>
  </si>
  <si>
    <t>1,797.02</t>
  </si>
  <si>
    <t>250104010100673841834409</t>
  </si>
  <si>
    <t>05 Jan 2025 11:21:19</t>
  </si>
  <si>
    <t>05 Jan 2025</t>
  </si>
  <si>
    <t>1,097.02</t>
  </si>
  <si>
    <t>250105010100683348058281</t>
  </si>
  <si>
    <t>05 Jan 2025 18:44:12</t>
  </si>
  <si>
    <t xml:space="preserve">Transfer from JAMIU ADEKUNLE BABATUNDE | OPay | 816****884 </t>
  </si>
  <si>
    <t>6,097.02</t>
  </si>
  <si>
    <t>250105010100688705609517</t>
  </si>
  <si>
    <t>05 Jan 2025 19:02:58</t>
  </si>
  <si>
    <t xml:space="preserve">Transfer to POS Transfer-ABDULBAKI NASURU | MONIE POINT | 5791126264 </t>
  </si>
  <si>
    <t>5,897.02</t>
  </si>
  <si>
    <t>100004250105190303124977353969</t>
  </si>
  <si>
    <t>05 Jan 2025 19:08:44</t>
  </si>
  <si>
    <t>1,650.00</t>
  </si>
  <si>
    <t>4,247.02</t>
  </si>
  <si>
    <t>100004250105190852124977018611</t>
  </si>
  <si>
    <t>05 Jan 2025 19:09:46</t>
  </si>
  <si>
    <t>3,747.02</t>
  </si>
  <si>
    <t>250105100100689024351863</t>
  </si>
  <si>
    <t>05 Jan 2025 20:03:09</t>
  </si>
  <si>
    <t>900.00</t>
  </si>
  <si>
    <t>2,847.02</t>
  </si>
  <si>
    <t>100004250105200318124980480282</t>
  </si>
  <si>
    <t>06 Jan 2025 06:28:49</t>
  </si>
  <si>
    <t>06 Jan 2025</t>
  </si>
  <si>
    <t xml:space="preserve">Transfer from AL-AMIN KABIR ABDULSALAM | OPay | 706****425 </t>
  </si>
  <si>
    <t>1,500.00</t>
  </si>
  <si>
    <t>4,347.02</t>
  </si>
  <si>
    <t>250106010100692283581445</t>
  </si>
  <si>
    <t>06 Jan 2025 10:04:58</t>
  </si>
  <si>
    <t>4,147.02</t>
  </si>
  <si>
    <t>250106010100694723492759</t>
  </si>
  <si>
    <t>06 Jan 2025 10:47:07</t>
  </si>
  <si>
    <t xml:space="preserve">Transfer to SALAMATU MAMUDA ISAH | OPay | 8069592900 </t>
  </si>
  <si>
    <t>2,147.02</t>
  </si>
  <si>
    <t>250106010100695375817111</t>
  </si>
  <si>
    <t>06 Jan 2025 12:31:34</t>
  </si>
  <si>
    <t xml:space="preserve">Transfer to POS Transfer-JIBRIN ALI | MONIE POINT | 5720007749 </t>
  </si>
  <si>
    <t>1,947.02</t>
  </si>
  <si>
    <t>100004250106123139125004300962</t>
  </si>
  <si>
    <t>06 Jan 2025 13:56:52</t>
  </si>
  <si>
    <t xml:space="preserve">Transfer to ABDULAKEEM OLAYINKA ABDULAZEEZ | OPay | 9031557797 </t>
  </si>
  <si>
    <t>947.02</t>
  </si>
  <si>
    <t>250106010100697633594868</t>
  </si>
  <si>
    <t>06 Jan 2025 18:18:37</t>
  </si>
  <si>
    <t xml:space="preserve">Transfer from ABDULAKEEM OLAYINKA ABDULAZEEZ | OPay | 903****797 </t>
  </si>
  <si>
    <t>250106010100701242877890</t>
  </si>
  <si>
    <t>06 Jan 2025 22:01:57</t>
  </si>
  <si>
    <t>1,300.00</t>
  </si>
  <si>
    <t>647.02</t>
  </si>
  <si>
    <t>100004250106220204125037271703</t>
  </si>
  <si>
    <t>07 Jan 2025 04:35:11</t>
  </si>
  <si>
    <t>07 Jan 2025</t>
  </si>
  <si>
    <t xml:space="preserve">Transfer from OBAJIMI ISA GARDENING SERVICES | Kuda MFB | 300****274 | SENT FROM KUDA BUSINESS </t>
  </si>
  <si>
    <t>410,520.00</t>
  </si>
  <si>
    <t>411,167.02</t>
  </si>
  <si>
    <t>090267250107053511385002309274</t>
  </si>
  <si>
    <t>07 Jan 2025 04:35:17</t>
  </si>
  <si>
    <t xml:space="preserve">Electronic Money Transfer Levy </t>
  </si>
  <si>
    <t>50.00</t>
  </si>
  <si>
    <t>411,117.02</t>
  </si>
  <si>
    <t>250107140200705064427345</t>
  </si>
  <si>
    <t>07 Jan 2025 04:37:09</t>
  </si>
  <si>
    <t>100,000.00</t>
  </si>
  <si>
    <t>311,117.02</t>
  </si>
  <si>
    <t>250107010100705051786180</t>
  </si>
  <si>
    <t>07 Jan 2025 04:38:28</t>
  </si>
  <si>
    <t xml:space="preserve">Transfer to JAMIU ADEKUNLE BABATUNDE | OPay | 8164706884 </t>
  </si>
  <si>
    <t>95,000.00</t>
  </si>
  <si>
    <t>216,117.02</t>
  </si>
  <si>
    <t>250107010100704896359403</t>
  </si>
  <si>
    <t>07 Jan 2025 04:41:12</t>
  </si>
  <si>
    <t>12,500.00</t>
  </si>
  <si>
    <t>203,617.02</t>
  </si>
  <si>
    <t>250107100100705066093702</t>
  </si>
  <si>
    <t>07 Jan 2025 04:44:28</t>
  </si>
  <si>
    <t>50,000.00</t>
  </si>
  <si>
    <t>153,617.02</t>
  </si>
  <si>
    <t>250107010100704922080857</t>
  </si>
  <si>
    <t>07 Jan 2025 04:45:33</t>
  </si>
  <si>
    <t>30,000.00</t>
  </si>
  <si>
    <t>183,617.02</t>
  </si>
  <si>
    <t>250107010100704922407513</t>
  </si>
  <si>
    <t>07 Jan 2025 04:45:41</t>
  </si>
  <si>
    <t>183,567.02</t>
  </si>
  <si>
    <t>250107140200705060401595</t>
  </si>
  <si>
    <t>07 Jan 2025 04:47:16</t>
  </si>
  <si>
    <t xml:space="preserve">Transfer to YAHYA SULEIMAN | OPay | 8136336439 </t>
  </si>
  <si>
    <t>4,000.00</t>
  </si>
  <si>
    <t>179,567.02</t>
  </si>
  <si>
    <t>250107010100704874874866</t>
  </si>
  <si>
    <t>07 Jan 2025 05:28:25</t>
  </si>
  <si>
    <t xml:space="preserve">Transfer to MUHAMMAD ABUBAKAR UMAR | United Bank For Africa | 2351615452 </t>
  </si>
  <si>
    <t>10,000.00</t>
  </si>
  <si>
    <t>169,567.02</t>
  </si>
  <si>
    <t>100004250107052829125039917742</t>
  </si>
  <si>
    <t>07 Jan 2025 07:16:45</t>
  </si>
  <si>
    <t>169,267.02</t>
  </si>
  <si>
    <t>100004250107071650125042098583</t>
  </si>
  <si>
    <t>07 Jan 2025 08:34:23</t>
  </si>
  <si>
    <t xml:space="preserve">Transfer to MUHAMMAD ABDULLAHI ADAM | OPay | 8141285014 </t>
  </si>
  <si>
    <t>1,700.00</t>
  </si>
  <si>
    <t>167,567.02</t>
  </si>
  <si>
    <t>250107010100706689894503</t>
  </si>
  <si>
    <t>07 Jan 2025 08:36:16</t>
  </si>
  <si>
    <t>167,367.02</t>
  </si>
  <si>
    <t>100004250107083620125046171540</t>
  </si>
  <si>
    <t>07 Jan 2025 08:48:54</t>
  </si>
  <si>
    <t xml:space="preserve">Transfer from BABATUNDE YUSSUF BASHIR | Kuda MFB | 300****350 | SENT FROM KUDA BUSINESS </t>
  </si>
  <si>
    <t>82,051.00</t>
  </si>
  <si>
    <t>249,418.02</t>
  </si>
  <si>
    <t>090267250107094854138001916350</t>
  </si>
  <si>
    <t>07 Jan 2025 08:49:00</t>
  </si>
  <si>
    <t>249,368.02</t>
  </si>
  <si>
    <t>250107140200707004180063</t>
  </si>
  <si>
    <t>07 Jan 2025 10:04:28</t>
  </si>
  <si>
    <t xml:space="preserve">Transfer to  Infinity moniepoint | MONIE POINT | 8160532758 </t>
  </si>
  <si>
    <t>3,210.00</t>
  </si>
  <si>
    <t>246,158.02</t>
  </si>
  <si>
    <t>100004250107100434125050781994</t>
  </si>
  <si>
    <t>07 Jan 2025 10:09:52</t>
  </si>
  <si>
    <t xml:space="preserve">Transfer to TAKE-OUT 88 CUISINES - 88 TAKEOUT CUISINE 2 | MONIE POINT | 8292122221 </t>
  </si>
  <si>
    <t>2,860.00</t>
  </si>
  <si>
    <t>243,298.02</t>
  </si>
  <si>
    <t>100004250107100957125051286742</t>
  </si>
  <si>
    <t>07 Jan 2025 10:10:38</t>
  </si>
  <si>
    <t xml:space="preserve">Transfer to MARYAM TITILOPE ABDULLAHI | OPay | 8125673115 </t>
  </si>
  <si>
    <t>3,500.00</t>
  </si>
  <si>
    <t>239,798.02</t>
  </si>
  <si>
    <t>250107010100708097375594</t>
  </si>
  <si>
    <t>07 Jan 2025 10:23:24</t>
  </si>
  <si>
    <t xml:space="preserve">Transfer to HUSSAINI USMAN SARKI | OPay | 9167241969 </t>
  </si>
  <si>
    <t>6,500.00</t>
  </si>
  <si>
    <t>233,298.02</t>
  </si>
  <si>
    <t>250107010100708176216152</t>
  </si>
  <si>
    <t>07 Jan 2025 10:27:53</t>
  </si>
  <si>
    <t>510.00</t>
  </si>
  <si>
    <t>232,788.02</t>
  </si>
  <si>
    <t>100004250107102758125051201250</t>
  </si>
  <si>
    <t>07 Jan 2025 10:29:50</t>
  </si>
  <si>
    <t xml:space="preserve">Transfer to ABDULBASIT OPEYEMI MUHAMMED | OPay | 9150931942 </t>
  </si>
  <si>
    <t>231,288.02</t>
  </si>
  <si>
    <t>250107010100708352512563</t>
  </si>
  <si>
    <t>07 Jan 2025 12:51:33</t>
  </si>
  <si>
    <t xml:space="preserve">Transfer to NAJIB ISHIYAKU NJIDDA | Palmpay | 8033284865 </t>
  </si>
  <si>
    <t>4,810.00</t>
  </si>
  <si>
    <t>226,478.02</t>
  </si>
  <si>
    <t>100004250107125139125060188359</t>
  </si>
  <si>
    <t>07 Jan 2025 14:25:06</t>
  </si>
  <si>
    <t xml:space="preserve">Transfer to DOMINIC ADINOYI OMEIZA | OPay | 9037466750 </t>
  </si>
  <si>
    <t>47,000.00</t>
  </si>
  <si>
    <t>179,478.02</t>
  </si>
  <si>
    <t>250107010100711247777199</t>
  </si>
  <si>
    <t>07 Jan 2025 14:54:44</t>
  </si>
  <si>
    <t xml:space="preserve">Transfer to BILAL ABUBAKAR | OPay | 8172155041 </t>
  </si>
  <si>
    <t>13,000.00</t>
  </si>
  <si>
    <t>166,478.02</t>
  </si>
  <si>
    <t>250107010100711676769557</t>
  </si>
  <si>
    <t>07 Jan 2025 15:39:32</t>
  </si>
  <si>
    <t xml:space="preserve">Transfer to BASIRU LADAN | OPay | 8139293161 </t>
  </si>
  <si>
    <t>164,478.02</t>
  </si>
  <si>
    <t>250107010100712333480311</t>
  </si>
  <si>
    <t>07 Jan 2025 15:41:20</t>
  </si>
  <si>
    <t xml:space="preserve">Transfer to NASIRU YAHAYA | OPay | 7010120713 </t>
  </si>
  <si>
    <t>162,478.02</t>
  </si>
  <si>
    <t>250107010100712380546968</t>
  </si>
  <si>
    <t>07 Jan 2025 17:22:34</t>
  </si>
  <si>
    <t xml:space="preserve">Transfer to ABUBAKAR SADIQ IBRAHIM | OPay | 8149797985 </t>
  </si>
  <si>
    <t>158,978.02</t>
  </si>
  <si>
    <t>250107010100713491284360</t>
  </si>
  <si>
    <t>07 Jan 2025 17:29:30</t>
  </si>
  <si>
    <t xml:space="preserve">Transfer to SADIQ AMINU | OPay | 9066666696 </t>
  </si>
  <si>
    <t>3,000.00</t>
  </si>
  <si>
    <t>155,978.02</t>
  </si>
  <si>
    <t>250107010100713763247263</t>
  </si>
  <si>
    <t>07 Jan 2025 18:46:09</t>
  </si>
  <si>
    <t xml:space="preserve">Transfer to SANI  MUSA | OPay | 7043030807 </t>
  </si>
  <si>
    <t>154,928.02</t>
  </si>
  <si>
    <t>250107180100714829289688</t>
  </si>
  <si>
    <t>07 Jan 2025 19:11:04</t>
  </si>
  <si>
    <t xml:space="preserve">Transfer to UTHMAN HAFSAT TOYIN | United Bank For Africa | 2025621428 </t>
  </si>
  <si>
    <t>5,010.00</t>
  </si>
  <si>
    <t>149,918.02</t>
  </si>
  <si>
    <t>100004250107191109125081346112</t>
  </si>
  <si>
    <t>07 Jan 2025 20:38:51</t>
  </si>
  <si>
    <t>150,818.02</t>
  </si>
  <si>
    <t>250107010100716630111432</t>
  </si>
  <si>
    <t>07 Jan 2025 20:40:50</t>
  </si>
  <si>
    <t>1,510.00</t>
  </si>
  <si>
    <t>149,308.02</t>
  </si>
  <si>
    <t>100004250107204100125086694581</t>
  </si>
  <si>
    <t>08 Jan 2025 07:11:30</t>
  </si>
  <si>
    <t>08 Jan 2025</t>
  </si>
  <si>
    <t xml:space="preserve">Transfer to YAHAYA MOHAMMED YAU | Access Bank | 0001761680 </t>
  </si>
  <si>
    <t>149,108.02</t>
  </si>
  <si>
    <t>100004250108071137125093638400</t>
  </si>
  <si>
    <t>08 Jan 2025 07:30:35</t>
  </si>
  <si>
    <t xml:space="preserve">Airtime | 8036056518 | MTN </t>
  </si>
  <si>
    <t>148,608.02</t>
  </si>
  <si>
    <t>250108100100719121461979</t>
  </si>
  <si>
    <t>08 Jan 2025 07:51:42</t>
  </si>
  <si>
    <t>33,600.00</t>
  </si>
  <si>
    <t>182,208.02</t>
  </si>
  <si>
    <t>250108010100719441312185</t>
  </si>
  <si>
    <t>08 Jan 2025 07:51:54</t>
  </si>
  <si>
    <t>182,158.02</t>
  </si>
  <si>
    <t>250108140200719418335161</t>
  </si>
  <si>
    <t>08 Jan 2025 08:06:13</t>
  </si>
  <si>
    <t>148,558.02</t>
  </si>
  <si>
    <t>100004250108080617125095833347</t>
  </si>
  <si>
    <t>08 Jan 2025 09:21:23</t>
  </si>
  <si>
    <t>40,000.00</t>
  </si>
  <si>
    <t>108,558.02</t>
  </si>
  <si>
    <t>250108010100720582839884</t>
  </si>
  <si>
    <t>08 Jan 2025 10:24:40</t>
  </si>
  <si>
    <t xml:space="preserve">Transfer to SOFIAT - OWODUNNI | OPay | 8094913792 </t>
  </si>
  <si>
    <t>105,558.02</t>
  </si>
  <si>
    <t>250108010100721345704660</t>
  </si>
  <si>
    <t>08 Jan 2025 12:29:10</t>
  </si>
  <si>
    <t xml:space="preserve">Transfer to GRACE OLAMIDE ODEYEMI | OPay | 9037612201 </t>
  </si>
  <si>
    <t>103,558.02</t>
  </si>
  <si>
    <t>250108010100723036898601</t>
  </si>
  <si>
    <t>08 Jan 2025 12:56:11</t>
  </si>
  <si>
    <t>102,058.02</t>
  </si>
  <si>
    <t>250108010100723348981986</t>
  </si>
  <si>
    <t>08 Jan 2025 13:16:57</t>
  </si>
  <si>
    <t>17,000.00</t>
  </si>
  <si>
    <t>85,058.02</t>
  </si>
  <si>
    <t>250108010100723500891082</t>
  </si>
  <si>
    <t>08 Jan 2025 13:33:57</t>
  </si>
  <si>
    <t xml:space="preserve">Transfer to ALIYU ABUBAKAR KABIRU | OPay | 7062429360 </t>
  </si>
  <si>
    <t>83,058.02</t>
  </si>
  <si>
    <t>250108010100723842855377</t>
  </si>
  <si>
    <t>08 Jan 2025 14:39:28</t>
  </si>
  <si>
    <t xml:space="preserve">Transfer to ABDULKADIR SAYYADI YABAGI | OPay | 7013257823 </t>
  </si>
  <si>
    <t>6,000.00</t>
  </si>
  <si>
    <t>77,058.02</t>
  </si>
  <si>
    <t>250108010100724693386385</t>
  </si>
  <si>
    <t>08 Jan 2025 17:16:59</t>
  </si>
  <si>
    <t xml:space="preserve">Transfer to AA RANO NIGERIA LIMITED - AA RANO NIGERIA L T D LPG | MONIE POINT | 5809972821 </t>
  </si>
  <si>
    <t>72,058.02</t>
  </si>
  <si>
    <t>100004250108171703125124300022</t>
  </si>
  <si>
    <t>08 Jan 2025 18:05:38</t>
  </si>
  <si>
    <t xml:space="preserve">Transfer from UCHECHI BLESSING UCHENWOKE | MONIE POINT | 586****910 | UCHECHI BLES Trf for Customer/AT68_TRF2MPT7fah21877054063577522176 </t>
  </si>
  <si>
    <t>74,160.00</t>
  </si>
  <si>
    <t>146,218.02</t>
  </si>
  <si>
    <t>090405250108190537521287508433</t>
  </si>
  <si>
    <t>08 Jan 2025 18:05:44</t>
  </si>
  <si>
    <t>146,168.02</t>
  </si>
  <si>
    <t>250108140200727559476343</t>
  </si>
  <si>
    <t>08 Jan 2025 18:06:26</t>
  </si>
  <si>
    <t>136,168.02</t>
  </si>
  <si>
    <t>250108010100727426591092</t>
  </si>
  <si>
    <t>08 Jan 2025 18:06:53</t>
  </si>
  <si>
    <t>64,000.00</t>
  </si>
  <si>
    <t>72,168.02</t>
  </si>
  <si>
    <t>250108010100727427816185</t>
  </si>
  <si>
    <t>08 Jan 2025 19:07:31</t>
  </si>
  <si>
    <t xml:space="preserve">Transfer to  Yomis Delight  | MONIE POINT | 5476282823 </t>
  </si>
  <si>
    <t>3,010.00</t>
  </si>
  <si>
    <t>69,158.02</t>
  </si>
  <si>
    <t>100004250108190735125133422829</t>
  </si>
  <si>
    <t>08 Jan 2025 19:24:31</t>
  </si>
  <si>
    <t xml:space="preserve">Transfer to FAHAD DARAMOLA | OPay | 8065575763 </t>
  </si>
  <si>
    <t>64,158.02</t>
  </si>
  <si>
    <t>250108010100728887210350</t>
  </si>
  <si>
    <t>08 Jan 2025 19:26:10</t>
  </si>
  <si>
    <t>63,158.02</t>
  </si>
  <si>
    <t>250108010100728891464734</t>
  </si>
  <si>
    <t>09 Jan 2025 07:56:44</t>
  </si>
  <si>
    <t>09 Jan 2025</t>
  </si>
  <si>
    <t xml:space="preserve">Transfer to ZAINAB ABDULLAHI | OPay | 9060139664 </t>
  </si>
  <si>
    <t>61,158.02</t>
  </si>
  <si>
    <t>250109010100732824325336</t>
  </si>
  <si>
    <t>09 Jan 2025 08:05:09</t>
  </si>
  <si>
    <t xml:space="preserve">Transfer to  MM MONEXS | MONIE POINT | 8161123801 </t>
  </si>
  <si>
    <t>60,108.02</t>
  </si>
  <si>
    <t>100004250109080513125147332195</t>
  </si>
  <si>
    <t>09 Jan 2025 09:47:00</t>
  </si>
  <si>
    <t xml:space="preserve">Transfer to  Fatima Communication | MONIE POINT | 8183681503 </t>
  </si>
  <si>
    <t>400.00</t>
  </si>
  <si>
    <t>59,708.02</t>
  </si>
  <si>
    <t>100004250109094705125152374653</t>
  </si>
  <si>
    <t>09 Jan 2025 11:16:57</t>
  </si>
  <si>
    <t xml:space="preserve">Transfer to BRIDGET AYUK NTARIBO-MANGA | OPay | 9041744328 </t>
  </si>
  <si>
    <t>56,708.02</t>
  </si>
  <si>
    <t>250109010100735558423649</t>
  </si>
  <si>
    <t>09 Jan 2025 12:07:10</t>
  </si>
  <si>
    <t>56,408.02</t>
  </si>
  <si>
    <t>250109010100736340966332</t>
  </si>
  <si>
    <t>09 Jan 2025 16:08:18</t>
  </si>
  <si>
    <t>16,408.02</t>
  </si>
  <si>
    <t>250109010100739203254489</t>
  </si>
  <si>
    <t>09 Jan 2025 17:03:54</t>
  </si>
  <si>
    <t>15,908.02</t>
  </si>
  <si>
    <t>100004250109170359125175726196</t>
  </si>
  <si>
    <t>09 Jan 2025 17:10:43</t>
  </si>
  <si>
    <t>710.00</t>
  </si>
  <si>
    <t>15,198.02</t>
  </si>
  <si>
    <t>100004250109171053125176614456</t>
  </si>
  <si>
    <t>09 Jan 2025 19:56:44</t>
  </si>
  <si>
    <t>55,198.02</t>
  </si>
  <si>
    <t>250109010100742633270835</t>
  </si>
  <si>
    <t>09 Jan 2025 19:56:50</t>
  </si>
  <si>
    <t>55,148.02</t>
  </si>
  <si>
    <t>250109140200742633511177</t>
  </si>
  <si>
    <t>09 Jan 2025 20:45:30</t>
  </si>
  <si>
    <t xml:space="preserve">Transfer to POS Transfer - DAHIRU ABUBAKAR | MONIE POINT | 8211339354 </t>
  </si>
  <si>
    <t>13,010.00</t>
  </si>
  <si>
    <t>42,138.02</t>
  </si>
  <si>
    <t>100004250109204534125188318463</t>
  </si>
  <si>
    <t>10 Jan 2025 09:20:56</t>
  </si>
  <si>
    <t>10 Jan 2025</t>
  </si>
  <si>
    <t>45,638.02</t>
  </si>
  <si>
    <t>250110010100747349139980</t>
  </si>
  <si>
    <t>10 Jan 2025 10:58:02</t>
  </si>
  <si>
    <t>44,588.02</t>
  </si>
  <si>
    <t>100004250110105807125207688690</t>
  </si>
  <si>
    <t>10 Jan 2025 16:29:14</t>
  </si>
  <si>
    <t>41,088.02</t>
  </si>
  <si>
    <t>250110010100752973717926</t>
  </si>
  <si>
    <t>10 Jan 2025 16:43:33</t>
  </si>
  <si>
    <t xml:space="preserve">Transfer to ABDULLAHI MUHAMMAD ABUBAKAR | MONIE POINT | 6906629083 </t>
  </si>
  <si>
    <t>41,000.00</t>
  </si>
  <si>
    <t>88.02</t>
  </si>
  <si>
    <t>100004250110164346125225940459</t>
  </si>
  <si>
    <t>10 Jan 2025 17:24:10</t>
  </si>
  <si>
    <t>15,000.00</t>
  </si>
  <si>
    <t>15,088.02</t>
  </si>
  <si>
    <t>250110010100753915536240</t>
  </si>
  <si>
    <t>10 Jan 2025 17:24:18</t>
  </si>
  <si>
    <t>15,038.02</t>
  </si>
  <si>
    <t>250110140200753783733848</t>
  </si>
  <si>
    <t>10 Jan 2025 18:01:35</t>
  </si>
  <si>
    <t>11,038.02</t>
  </si>
  <si>
    <t>250110010100754386970452</t>
  </si>
  <si>
    <t>11 Jan 2025 09:00:42</t>
  </si>
  <si>
    <t>11 Jan 2025</t>
  </si>
  <si>
    <t xml:space="preserve">Transfer to ILYAS ABDULWALEED SALAUDEEN | OPay | 8068969406 </t>
  </si>
  <si>
    <t>150.00</t>
  </si>
  <si>
    <t>10,888.02</t>
  </si>
  <si>
    <t>250111010100760482138298</t>
  </si>
  <si>
    <t>11 Jan 2025 09:03:27</t>
  </si>
  <si>
    <t xml:space="preserve">Transfer to IBRAHIM UMAR | OPay | 9127608912 </t>
  </si>
  <si>
    <t>360.00</t>
  </si>
  <si>
    <t>10,528.02</t>
  </si>
  <si>
    <t>250111010100760660893546</t>
  </si>
  <si>
    <t>11 Jan 2025 12:01:24</t>
  </si>
  <si>
    <t xml:space="preserve">Transfer to SHUAIBU BABANGIDA DANLADI | OPay | 7014939587 </t>
  </si>
  <si>
    <t>10,228.02</t>
  </si>
  <si>
    <t>250111010100763094417385</t>
  </si>
  <si>
    <t>11 Jan 2025 12:15:32</t>
  </si>
  <si>
    <t>2,100.00</t>
  </si>
  <si>
    <t>8,128.02</t>
  </si>
  <si>
    <t>100004250111121537125262994285</t>
  </si>
  <si>
    <t>11 Jan 2025 17:44:18</t>
  </si>
  <si>
    <t>7,878.02</t>
  </si>
  <si>
    <t>100004250111174427125281411314</t>
  </si>
  <si>
    <t>11 Jan 2025 18:08:23</t>
  </si>
  <si>
    <t xml:space="preserve">Transfer from PROSPER  EFIENIMOKWU | Palmpay | 810****982 | PROSPER  EFIENIMOKWU:8105664982 </t>
  </si>
  <si>
    <t>33,120.00</t>
  </si>
  <si>
    <t>40,998.02</t>
  </si>
  <si>
    <t>100033250111180823090020507700</t>
  </si>
  <si>
    <t>11 Jan 2025 18:08:29</t>
  </si>
  <si>
    <t>40,948.02</t>
  </si>
  <si>
    <t>250111140200768125859151</t>
  </si>
  <si>
    <t>11 Jan 2025 18:17:49</t>
  </si>
  <si>
    <t xml:space="preserve">Transfer to KORA/KPY-EVA | Wema Bank PLC | 7590174354 </t>
  </si>
  <si>
    <t>33,800.92</t>
  </si>
  <si>
    <t>7,147.10</t>
  </si>
  <si>
    <t>100004250111181754125283795895</t>
  </si>
  <si>
    <t>11 Jan 2025 18:40:43</t>
  </si>
  <si>
    <t xml:space="preserve">Transfer to A S KOFA INTEGRATED COMPLEX - ABDULMALIK UMAR ALIYU | MONIE POINT | 5844922908 </t>
  </si>
  <si>
    <t>2,210.00</t>
  </si>
  <si>
    <t>4,937.10</t>
  </si>
  <si>
    <t>100004250111184050125284826544</t>
  </si>
  <si>
    <t>11 Jan 2025 18:45:36</t>
  </si>
  <si>
    <t xml:space="preserve">Transfer from UMAR LUBABATU | Guaranty Trust Bank | 017****293 | NIP Transfer to MUHAMMAD ABUBAKAR UMAR. 000013250111194536000084621900 </t>
  </si>
  <si>
    <t>19,937.10</t>
  </si>
  <si>
    <t>000013250111194536000084621900</t>
  </si>
  <si>
    <t>11 Jan 2025 18:45:42</t>
  </si>
  <si>
    <t>19,887.10</t>
  </si>
  <si>
    <t>250111140200768688246804</t>
  </si>
  <si>
    <t>11 Jan 2025 18:47:11</t>
  </si>
  <si>
    <t>8,000.00</t>
  </si>
  <si>
    <t>11,887.10</t>
  </si>
  <si>
    <t>250111010100768791822716</t>
  </si>
  <si>
    <t>11 Jan 2025 18:48:58</t>
  </si>
  <si>
    <t>10,387.10</t>
  </si>
  <si>
    <t>250111010100768696948675</t>
  </si>
  <si>
    <t>12 Jan 2025 09:17:13</t>
  </si>
  <si>
    <t>12 Jan 2025</t>
  </si>
  <si>
    <t>10,187.10</t>
  </si>
  <si>
    <t>250112010100774078322244</t>
  </si>
  <si>
    <t>12 Jan 2025 11:01:06</t>
  </si>
  <si>
    <t>8,687.10</t>
  </si>
  <si>
    <t>250112010100775305333055</t>
  </si>
  <si>
    <t>12 Jan 2025 11:04:10</t>
  </si>
  <si>
    <t>8,287.10</t>
  </si>
  <si>
    <t>100004250112110444125308646137</t>
  </si>
  <si>
    <t>12 Jan 2025 16:17:47</t>
  </si>
  <si>
    <t xml:space="preserve">Transfer to MUAZU HARUNA | Palmpay | 8901514679 </t>
  </si>
  <si>
    <t>6,587.10</t>
  </si>
  <si>
    <t>100004250112161752125323989034</t>
  </si>
  <si>
    <t>12 Jan 2025 19:32:40</t>
  </si>
  <si>
    <t>650.00</t>
  </si>
  <si>
    <t>5,937.10</t>
  </si>
  <si>
    <t>100004250112193244125335403345</t>
  </si>
  <si>
    <t>12 Jan 2025 19:33:06</t>
  </si>
  <si>
    <t>110.00</t>
  </si>
  <si>
    <t>5,827.10</t>
  </si>
  <si>
    <t>100004250112193313125336419865</t>
  </si>
  <si>
    <t>12 Jan 2025 19:48:07</t>
  </si>
  <si>
    <t>460.00</t>
  </si>
  <si>
    <t>5,367.10</t>
  </si>
  <si>
    <t>100004250112194812125336559628</t>
  </si>
  <si>
    <t>13 Jan 2025 10:27:25</t>
  </si>
  <si>
    <t>13 Jan 2025</t>
  </si>
  <si>
    <t xml:space="preserve">Transfer to POS Transfer- ABDULMAJEED ABDULSAMAD | MONIE POINT | 5802631529 </t>
  </si>
  <si>
    <t>1,900.00</t>
  </si>
  <si>
    <t>3,467.10</t>
  </si>
  <si>
    <t>100004250113102733125358407032</t>
  </si>
  <si>
    <t>13 Jan 2025 15:03:38</t>
  </si>
  <si>
    <t>2,417.10</t>
  </si>
  <si>
    <t>100004250113150344125373862044</t>
  </si>
  <si>
    <t>13 Jan 2025 17:56:18</t>
  </si>
  <si>
    <t xml:space="preserve">Transfer to FATAI SANUSI IBRAHIM | OPay | 8086671176 </t>
  </si>
  <si>
    <t>1,417.10</t>
  </si>
  <si>
    <t>250113010100793584742057</t>
  </si>
  <si>
    <t>14 Jan 2025 06:38:06</t>
  </si>
  <si>
    <t>14 Jan 2025</t>
  </si>
  <si>
    <t xml:space="preserve">Transfer from Abioye Waheed | Fairmoney MFB | 423****465 </t>
  </si>
  <si>
    <t>82,811.00</t>
  </si>
  <si>
    <t>84,228.10</t>
  </si>
  <si>
    <t>090551250114073806000151956988</t>
  </si>
  <si>
    <t>14 Jan 2025 06:38:12</t>
  </si>
  <si>
    <t>84,178.10</t>
  </si>
  <si>
    <t>250114140200798545189575</t>
  </si>
  <si>
    <t>14 Jan 2025 06:41:51</t>
  </si>
  <si>
    <t>82,800.00</t>
  </si>
  <si>
    <t>1,378.10</t>
  </si>
  <si>
    <t>250114010100798651885145</t>
  </si>
  <si>
    <t>14 Jan 2025 09:41:55</t>
  </si>
  <si>
    <t>978.10</t>
  </si>
  <si>
    <t>250114100100800795809482</t>
  </si>
  <si>
    <t>14 Jan 2025 12:25:40</t>
  </si>
  <si>
    <t>1,978.10</t>
  </si>
  <si>
    <t>250114010100802905437182</t>
  </si>
  <si>
    <t>14 Jan 2025 12:36:29</t>
  </si>
  <si>
    <t xml:space="preserve">Transfer to  NEW WORLD GENERAL ENTERPRISES  | MONIE POINT | 8223637594 </t>
  </si>
  <si>
    <t>100004250114123636125424385542</t>
  </si>
  <si>
    <t>14 Jan 2025 12:37:56</t>
  </si>
  <si>
    <t xml:space="preserve">Transfer to POS Transfer- abubakar auwal ibrahim | MONIE POINT | 5913584419 </t>
  </si>
  <si>
    <t>778.10</t>
  </si>
  <si>
    <t>100004250114123801125424399379</t>
  </si>
  <si>
    <t>14 Jan 2025 18:35:33</t>
  </si>
  <si>
    <t>578.10</t>
  </si>
  <si>
    <t>250114010100808269217573</t>
  </si>
  <si>
    <t>14 Jan 2025 19:53:22</t>
  </si>
  <si>
    <t xml:space="preserve">Transfer from UMAR AISHA | Guaranty Trust Bank | 023****265 | NIP Transfer to MUHAMMAD ABUBAKAR UMAR. 000013250114205321000089884960 </t>
  </si>
  <si>
    <t>20,000.00</t>
  </si>
  <si>
    <t>20,578.10</t>
  </si>
  <si>
    <t>000013250114205321000089884960</t>
  </si>
  <si>
    <t>14 Jan 2025 19:53:27</t>
  </si>
  <si>
    <t>20,528.10</t>
  </si>
  <si>
    <t>250114140200809609489643</t>
  </si>
  <si>
    <t>14 Jan 2025 20:40:17</t>
  </si>
  <si>
    <t>528.10</t>
  </si>
  <si>
    <t>250114010100810301304620</t>
  </si>
  <si>
    <t>15 Jan 2025 20:05:57</t>
  </si>
  <si>
    <t>15 Jan 2025</t>
  </si>
  <si>
    <t>128.10</t>
  </si>
  <si>
    <t>100004250115200602125510764747</t>
  </si>
  <si>
    <t>15 Jan 2025 20:19:09</t>
  </si>
  <si>
    <t xml:space="preserve">Transfer to ABDULBASIT OPEYEMI MUHAMMED | Access Bank | 0773751262 </t>
  </si>
  <si>
    <t>28.10</t>
  </si>
  <si>
    <t>100004250115201923125510482132</t>
  </si>
  <si>
    <t>16 Jan 2025 10:59:41</t>
  </si>
  <si>
    <t>16 Jan 2025</t>
  </si>
  <si>
    <t xml:space="preserve">Transfer from SHUAIBU TATU SHUAIBU | OPay | 810****395 </t>
  </si>
  <si>
    <t>5,028.10</t>
  </si>
  <si>
    <t>250116010100830230149848</t>
  </si>
  <si>
    <t>16 Jan 2025 13:24:42</t>
  </si>
  <si>
    <t>4,728.10</t>
  </si>
  <si>
    <t>250116010100832076333797</t>
  </si>
  <si>
    <t>16 Jan 2025 13:44:19</t>
  </si>
  <si>
    <t>4,228.10</t>
  </si>
  <si>
    <t>100004250116134425125541206640</t>
  </si>
  <si>
    <t>16 Jan 2025 16:36:12</t>
  </si>
  <si>
    <t xml:space="preserve">Transfer from UMAR MUHAMMAD ABUBAKAR | Guaranty Trust Bank | 032****140 | NIP Transfer to MUHAMMAD ABUBAKAR UMAR. 000013250116173611000093264239 </t>
  </si>
  <si>
    <t>9,970.00</t>
  </si>
  <si>
    <t>14,198.10</t>
  </si>
  <si>
    <t>000013250116173611000093264239</t>
  </si>
  <si>
    <t>16 Jan 2025 16:37:16</t>
  </si>
  <si>
    <t xml:space="preserve">Transfer from UMAR MUHAMMAD ABUBAKAR | Guaranty Trust Bank | 032****140 | NIP Transfer to MUHAMMAD ABUBAKAR UMAR. 000013250116173715000093266660 </t>
  </si>
  <si>
    <t>24,098.10</t>
  </si>
  <si>
    <t>000013250116173715000093266660</t>
  </si>
  <si>
    <t>16 Jan 2025 16:38:24</t>
  </si>
  <si>
    <t>4,700.00</t>
  </si>
  <si>
    <t>19,398.10</t>
  </si>
  <si>
    <t>250116010100834644069289</t>
  </si>
  <si>
    <t>16 Jan 2025 16:38:47</t>
  </si>
  <si>
    <t>2,500.00</t>
  </si>
  <si>
    <t>16,898.10</t>
  </si>
  <si>
    <t>250116010100834446490544</t>
  </si>
  <si>
    <t>16 Jan 2025 16:39:13</t>
  </si>
  <si>
    <t>14,898.10</t>
  </si>
  <si>
    <t>250116010100834497906980</t>
  </si>
  <si>
    <t>16 Jan 2025 16:39:56</t>
  </si>
  <si>
    <t>12,898.10</t>
  </si>
  <si>
    <t>250116010100834499565683</t>
  </si>
  <si>
    <t>16 Jan 2025 16:40:50</t>
  </si>
  <si>
    <t>10,898.10</t>
  </si>
  <si>
    <t>100004250116164056125552410550</t>
  </si>
  <si>
    <t>17 Jan 2025 01:47:59</t>
  </si>
  <si>
    <t>17 Jan 2025</t>
  </si>
  <si>
    <t>9,898.10</t>
  </si>
  <si>
    <t>100004250117014804125572103365</t>
  </si>
  <si>
    <t>17 Jan 2025 08:50:51</t>
  </si>
  <si>
    <t>9,598.10</t>
  </si>
  <si>
    <t>100004250117085106125579697218</t>
  </si>
  <si>
    <t>17 Jan 2025 10:41:56</t>
  </si>
  <si>
    <t>550.00</t>
  </si>
  <si>
    <t>9,048.10</t>
  </si>
  <si>
    <t>100004250117104203125585785825</t>
  </si>
  <si>
    <t>17 Jan 2025 13:06:43</t>
  </si>
  <si>
    <t xml:space="preserve">Transfer to YUSIF NUHU | OPay | 9013185257 </t>
  </si>
  <si>
    <t>8,048.10</t>
  </si>
  <si>
    <t>250117010100845893479193</t>
  </si>
  <si>
    <t>17 Jan 2025 13:18:11</t>
  </si>
  <si>
    <t xml:space="preserve">Transfer to  GASKIYA RESTUARANT  | MONIE POINT | 8223332521 </t>
  </si>
  <si>
    <t>2,460.00</t>
  </si>
  <si>
    <t>5,588.10</t>
  </si>
  <si>
    <t>100004250117131815125595243415</t>
  </si>
  <si>
    <t>17 Jan 2025 20:44:49</t>
  </si>
  <si>
    <t xml:space="preserve">Transfer to DEBORAH OPEYEMI SHODIPE | OPay | 8138508157 </t>
  </si>
  <si>
    <t>4,588.10</t>
  </si>
  <si>
    <t>250117010100852552468441</t>
  </si>
  <si>
    <t>18 Jan 2025 08:20:12</t>
  </si>
  <si>
    <t>18 Jan 2025</t>
  </si>
  <si>
    <t xml:space="preserve">Transfer from NWOKO, AKACHUKWU | Kuda MFB | 207****639 | FROM AKACHUKWU  </t>
  </si>
  <si>
    <t>49,974.00</t>
  </si>
  <si>
    <t>54,562.10</t>
  </si>
  <si>
    <t>090267250118092011686074919639</t>
  </si>
  <si>
    <t>18 Jan 2025 08:20:17</t>
  </si>
  <si>
    <t>54,512.10</t>
  </si>
  <si>
    <t>250118140200856103365999</t>
  </si>
  <si>
    <t>18 Jan 2025 08:25:44</t>
  </si>
  <si>
    <t>11,000.00</t>
  </si>
  <si>
    <t>43,512.10</t>
  </si>
  <si>
    <t>250118100100856115445173</t>
  </si>
  <si>
    <t>18 Jan 2025 08:42:12</t>
  </si>
  <si>
    <t>4,800.00</t>
  </si>
  <si>
    <t>38,712.10</t>
  </si>
  <si>
    <t>100004250118084217125634928539</t>
  </si>
  <si>
    <t>18 Jan 2025 08:43:52</t>
  </si>
  <si>
    <t>2,400.00</t>
  </si>
  <si>
    <t>36,312.10</t>
  </si>
  <si>
    <t>100004250118084357125635068665</t>
  </si>
  <si>
    <t>18 Jan 2025 08:50:22</t>
  </si>
  <si>
    <t>36,112.10</t>
  </si>
  <si>
    <t>100004250118085029125635888164</t>
  </si>
  <si>
    <t>18 Jan 2025 10:26:49</t>
  </si>
  <si>
    <t>260.00</t>
  </si>
  <si>
    <t>35,852.10</t>
  </si>
  <si>
    <t>100004250118102654125641518954</t>
  </si>
  <si>
    <t>18 Jan 2025 12:10:15</t>
  </si>
  <si>
    <t>4,600.00</t>
  </si>
  <si>
    <t>31,252.10</t>
  </si>
  <si>
    <t>250118010100859460960431</t>
  </si>
  <si>
    <t>18 Jan 2025 19:11:47</t>
  </si>
  <si>
    <t>28,752.10</t>
  </si>
  <si>
    <t>250118010100865517435876</t>
  </si>
  <si>
    <t>19 Jan 2025 07:05:13</t>
  </si>
  <si>
    <t>19 Jan 2025</t>
  </si>
  <si>
    <t>28,552.10</t>
  </si>
  <si>
    <t>100004250119070518125684107860</t>
  </si>
  <si>
    <t>19 Jan 2025 09:17:12</t>
  </si>
  <si>
    <t>27,552.10</t>
  </si>
  <si>
    <t>250119010100870593150095</t>
  </si>
  <si>
    <t>19 Jan 2025 11:28:04</t>
  </si>
  <si>
    <t>750.00</t>
  </si>
  <si>
    <t>26,802.10</t>
  </si>
  <si>
    <t>100004250119112810125695176554</t>
  </si>
  <si>
    <t>19 Jan 2025 13:02:13</t>
  </si>
  <si>
    <t>25,802.10</t>
  </si>
  <si>
    <t>250119010100873252537526</t>
  </si>
  <si>
    <t>19 Jan 2025 13:38:19</t>
  </si>
  <si>
    <t>25,502.10</t>
  </si>
  <si>
    <t>100004250119133823125701430688</t>
  </si>
  <si>
    <t>19 Jan 2025 16:18:03</t>
  </si>
  <si>
    <t>210.00</t>
  </si>
  <si>
    <t>25,292.10</t>
  </si>
  <si>
    <t>100004250119161807125708529622</t>
  </si>
  <si>
    <t>19 Jan 2025 19:43:44</t>
  </si>
  <si>
    <t xml:space="preserve">Transfer to OMOBOLAJI QUADRI OLAYODE | OPay | 8061214644 </t>
  </si>
  <si>
    <t>24,292.10</t>
  </si>
  <si>
    <t>250119010100878591814521</t>
  </si>
  <si>
    <t>20 Jan 2025 09:27:51</t>
  </si>
  <si>
    <t>20 Jan 2025</t>
  </si>
  <si>
    <t xml:space="preserve">Transfer from UMAR ADAMU | OPay | 803****751 </t>
  </si>
  <si>
    <t>34,292.10</t>
  </si>
  <si>
    <t>250120010100883604730464</t>
  </si>
  <si>
    <t>20 Jan 2025 09:27:56</t>
  </si>
  <si>
    <t>34,242.10</t>
  </si>
  <si>
    <t>250120140200883554332982</t>
  </si>
  <si>
    <t>20 Jan 2025 09:37:35</t>
  </si>
  <si>
    <t>3,100.00</t>
  </si>
  <si>
    <t>31,142.10</t>
  </si>
  <si>
    <t>100004250120093739125736360604</t>
  </si>
  <si>
    <t>20 Jan 2025 10:07:41</t>
  </si>
  <si>
    <t>30,142.10</t>
  </si>
  <si>
    <t>100004250120100745125737924092</t>
  </si>
  <si>
    <t>20 Jan 2025 10:07:56</t>
  </si>
  <si>
    <t>29,742.10</t>
  </si>
  <si>
    <t>250120100100883849875046</t>
  </si>
  <si>
    <t>20 Jan 2025 10:28:05</t>
  </si>
  <si>
    <t xml:space="preserve">Transfer to ABDURRAHMAN DANSALE | OPay | 9066240324 </t>
  </si>
  <si>
    <t>29,142.10</t>
  </si>
  <si>
    <t>250120010100884202592649</t>
  </si>
  <si>
    <t>20 Jan 2025 13:34:31</t>
  </si>
  <si>
    <t xml:space="preserve">Transfer to AL-AMIN KABIR ABDULSALAM | OPay | 7062815425 </t>
  </si>
  <si>
    <t>23,142.10</t>
  </si>
  <si>
    <t>250120010100886833505913</t>
  </si>
  <si>
    <t>20 Jan 2025 14:15:45</t>
  </si>
  <si>
    <t xml:space="preserve">Transfer to SALISU OMACHI SANNI | OPay | 8135460914 </t>
  </si>
  <si>
    <t>22,092.10</t>
  </si>
  <si>
    <t>250120010100887176509207</t>
  </si>
  <si>
    <t>20 Jan 2025 15:41:28</t>
  </si>
  <si>
    <t>21,792.10</t>
  </si>
  <si>
    <t>100004250120154132125757963846</t>
  </si>
  <si>
    <t>20 Jan 2025 17:24:06</t>
  </si>
  <si>
    <t xml:space="preserve">Airtime | 7062390824 | MTN </t>
  </si>
  <si>
    <t>21,592.10</t>
  </si>
  <si>
    <t>250120100100889732516535</t>
  </si>
  <si>
    <t>20 Jan 2025 18:56:45</t>
  </si>
  <si>
    <t>20,592.10</t>
  </si>
  <si>
    <t>250120010100891443407452</t>
  </si>
  <si>
    <t>21 Jan 2025 07:55:14</t>
  </si>
  <si>
    <t>21 Jan 2025</t>
  </si>
  <si>
    <t>19,592.10</t>
  </si>
  <si>
    <t>250121010100896106568003</t>
  </si>
  <si>
    <t>21 Jan 2025 08:02:14</t>
  </si>
  <si>
    <t>19,392.10</t>
  </si>
  <si>
    <t>250121010100896172563910</t>
  </si>
  <si>
    <t>21 Jan 2025 08:39:40</t>
  </si>
  <si>
    <t>18,892.10</t>
  </si>
  <si>
    <t>250121010100896844919689</t>
  </si>
  <si>
    <t>21 Jan 2025 11:16:39</t>
  </si>
  <si>
    <t>8,892.10</t>
  </si>
  <si>
    <t>250121010100898861830164</t>
  </si>
  <si>
    <t>21 Jan 2025 11:35:33</t>
  </si>
  <si>
    <t>8,692.10</t>
  </si>
  <si>
    <t>250121010100899109472404</t>
  </si>
  <si>
    <t>21 Jan 2025 15:17:27</t>
  </si>
  <si>
    <t xml:space="preserve">Transfer to USMAN  SHUAIBU | OPay | 8063648965 </t>
  </si>
  <si>
    <t>6,692.10</t>
  </si>
  <si>
    <t>250121180100901934618372</t>
  </si>
  <si>
    <t>21 Jan 2025 17:14:51</t>
  </si>
  <si>
    <t>5,692.10</t>
  </si>
  <si>
    <t>250121010100903796245093</t>
  </si>
  <si>
    <t>21 Jan 2025 17:54:08</t>
  </si>
  <si>
    <t>11,692.10</t>
  </si>
  <si>
    <t>250121010100904276625558</t>
  </si>
  <si>
    <t>22 Jan 2025 13:13:44</t>
  </si>
  <si>
    <t>22 Jan 2025</t>
  </si>
  <si>
    <t xml:space="preserve">Transfer to  BLUE SHOP POS NIG LTD  | MONIE POINT | 8199669920 </t>
  </si>
  <si>
    <t>10,192.10</t>
  </si>
  <si>
    <t>100004250122131354125860743133</t>
  </si>
  <si>
    <t>22 Jan 2025 15:35:23</t>
  </si>
  <si>
    <t xml:space="preserve">Transfer to BASHIR HAMIDU | MONIE POINT | 9066592205 </t>
  </si>
  <si>
    <t>9,292.10</t>
  </si>
  <si>
    <t>100004250122153529125869271160</t>
  </si>
  <si>
    <t>22 Jan 2025 15:56:10</t>
  </si>
  <si>
    <t>9,092.10</t>
  </si>
  <si>
    <t>100004250122155616125870764744</t>
  </si>
  <si>
    <t>22 Jan 2025 16:55:28</t>
  </si>
  <si>
    <t>8,882.10</t>
  </si>
  <si>
    <t>100004250122165535125874454563</t>
  </si>
  <si>
    <t>22 Jan 2025 16:58:26</t>
  </si>
  <si>
    <t xml:space="preserve">Transfer to  Shannon communication center dambare | MONIE POINT | 8235285192 </t>
  </si>
  <si>
    <t>410.00</t>
  </si>
  <si>
    <t>8,472.10</t>
  </si>
  <si>
    <t>100004250122165841125874743785</t>
  </si>
  <si>
    <t>22 Jan 2025 19:01:18</t>
  </si>
  <si>
    <t>8,212.10</t>
  </si>
  <si>
    <t>100004250122190122125882313201</t>
  </si>
  <si>
    <t>22 Jan 2025 20:16:57</t>
  </si>
  <si>
    <t>7,812.10</t>
  </si>
  <si>
    <t>250122010100920593612053</t>
  </si>
  <si>
    <t>23 Jan 2025 05:54:55</t>
  </si>
  <si>
    <t>23 Jan 2025</t>
  </si>
  <si>
    <t>800.00</t>
  </si>
  <si>
    <t>7,012.10</t>
  </si>
  <si>
    <t>250123010100923087442945</t>
  </si>
  <si>
    <t>23 Jan 2025 07:45:46</t>
  </si>
  <si>
    <t xml:space="preserve">Transfer from ALAMIN ABUBAKAR | MONIE POINT | 539****316 | AT129TRF|2MPT25gkb|1882333886920323072AT129TRF|2MPT25gkb|1882333886920323072ALAMIN ABUBA Trf for </t>
  </si>
  <si>
    <t>37,012.10</t>
  </si>
  <si>
    <t>090405250123084545584129671265</t>
  </si>
  <si>
    <t>23 Jan 2025 07:45:52</t>
  </si>
  <si>
    <t>36,962.10</t>
  </si>
  <si>
    <t>250123140200924144147676</t>
  </si>
  <si>
    <t>23 Jan 2025 08:16:50</t>
  </si>
  <si>
    <t xml:space="preserve">OPay Card Payment | 2039NBFC | 501230150546 | PALMPAY LIMITED        LA           LANG </t>
  </si>
  <si>
    <t>34,862.10</t>
  </si>
  <si>
    <t>POS</t>
  </si>
  <si>
    <t>250123330100924541990987</t>
  </si>
  <si>
    <t>23 Jan 2025 13:38:21</t>
  </si>
  <si>
    <t xml:space="preserve">Transfer to SULAIMAN SULAIMAN GALADIMA | Palmpay | 7019692518 </t>
  </si>
  <si>
    <t>14,862.10</t>
  </si>
  <si>
    <t>100004250123133826125918840632</t>
  </si>
  <si>
    <t>23 Jan 2025 13:56:38</t>
  </si>
  <si>
    <t>14,662.10</t>
  </si>
  <si>
    <t>100004250123135646125920784852</t>
  </si>
  <si>
    <t>23 Jan 2025 14:04:40</t>
  </si>
  <si>
    <t xml:space="preserve">Transfer to ABDULLAHI ABUBAKAR UMAR | OPay | 8147434736 </t>
  </si>
  <si>
    <t>13,662.10</t>
  </si>
  <si>
    <t>250123010100928908433428</t>
  </si>
  <si>
    <t>23 Jan 2025 16:08:33</t>
  </si>
  <si>
    <t xml:space="preserve">Transfer to ISAH SARKINASKI | OPay | 9040995053 </t>
  </si>
  <si>
    <t>12,662.10</t>
  </si>
  <si>
    <t>250123010100930546737690</t>
  </si>
  <si>
    <t>23 Jan 2025 16:14:02</t>
  </si>
  <si>
    <t>3,050.00</t>
  </si>
  <si>
    <t>9,612.10</t>
  </si>
  <si>
    <t>250123010100930815593028</t>
  </si>
  <si>
    <t>23 Jan 2025 16:17:24</t>
  </si>
  <si>
    <t>1,150.00</t>
  </si>
  <si>
    <t>8,462.10</t>
  </si>
  <si>
    <t>100004250123161728125927338011</t>
  </si>
  <si>
    <t>23 Jan 2025 16:24:46</t>
  </si>
  <si>
    <t>910.00</t>
  </si>
  <si>
    <t>7,552.10</t>
  </si>
  <si>
    <t>100004250123162458125927414344</t>
  </si>
  <si>
    <t>23 Jan 2025 19:53:21</t>
  </si>
  <si>
    <t>610.00</t>
  </si>
  <si>
    <t>6,942.10</t>
  </si>
  <si>
    <t>100004250123195326125942520590</t>
  </si>
  <si>
    <t>24 Jan 2025 07:20:36</t>
  </si>
  <si>
    <t>24 Jan 2025</t>
  </si>
  <si>
    <t>6,642.10</t>
  </si>
  <si>
    <t>250124010100937828999124</t>
  </si>
  <si>
    <t>24 Jan 2025 14:33:12</t>
  </si>
  <si>
    <t>5,142.10</t>
  </si>
  <si>
    <t>250124010100943424420145</t>
  </si>
  <si>
    <t>25 Jan 2025 09:31:38</t>
  </si>
  <si>
    <t>25 Jan 2025</t>
  </si>
  <si>
    <t>250125010100953611354226</t>
  </si>
  <si>
    <t>25 Jan 2025 09:34:06</t>
  </si>
  <si>
    <t xml:space="preserve">Transfer from FAHAD DARAMOLA | OPay | 806****763 </t>
  </si>
  <si>
    <t>8,642.10</t>
  </si>
  <si>
    <t>250125010100953833777865</t>
  </si>
  <si>
    <t>25 Jan 2025 09:46:19</t>
  </si>
  <si>
    <t>7,892.10</t>
  </si>
  <si>
    <t>100004250125094627126014895529</t>
  </si>
  <si>
    <t>25 Jan 2025 12:25:44</t>
  </si>
  <si>
    <t>2,390.00</t>
  </si>
  <si>
    <t>5,502.10</t>
  </si>
  <si>
    <t>100004250125122548126024468802</t>
  </si>
  <si>
    <t>25 Jan 2025 12:27:28</t>
  </si>
  <si>
    <t>4,752.10</t>
  </si>
  <si>
    <t>100004250125122734126025504367</t>
  </si>
  <si>
    <t>25 Jan 2025 12:43:20</t>
  </si>
  <si>
    <t>1,310.00</t>
  </si>
  <si>
    <t>3,442.10</t>
  </si>
  <si>
    <t>100004250125124326126024899754</t>
  </si>
  <si>
    <t>25 Jan 2025 16:01:24</t>
  </si>
  <si>
    <t xml:space="preserve">Transfer from Sani Usman | MONIE POINT | 546****168 | Sani Usman Trf for Customer/AT68_TRF2MPT2n8k41883183393347751936 </t>
  </si>
  <si>
    <t>24,333.00</t>
  </si>
  <si>
    <t>27,775.10</t>
  </si>
  <si>
    <t>090405250125170123008177215362</t>
  </si>
  <si>
    <t>25 Jan 2025 16:01:29</t>
  </si>
  <si>
    <t>27,725.10</t>
  </si>
  <si>
    <t>250125140200959218191968</t>
  </si>
  <si>
    <t>25 Jan 2025 16:18:07</t>
  </si>
  <si>
    <t xml:space="preserve">Transfer to ALI AYUBA | OPay | 9163596088 </t>
  </si>
  <si>
    <t>27,525.10</t>
  </si>
  <si>
    <t>250125010100959386916837</t>
  </si>
  <si>
    <t>25 Jan 2025 17:10:22</t>
  </si>
  <si>
    <t xml:space="preserve">Transfer to USMAN ABUBAKAR UMAR | United Bank For Africa | 2352585589 </t>
  </si>
  <si>
    <t>24,515.10</t>
  </si>
  <si>
    <t>100004250125171027126042412197</t>
  </si>
  <si>
    <t>25 Jan 2025 17:11:46</t>
  </si>
  <si>
    <t>2,200.00</t>
  </si>
  <si>
    <t>22,315.10</t>
  </si>
  <si>
    <t>250125010100960238572297</t>
  </si>
  <si>
    <t>25 Jan 2025 18:28:39</t>
  </si>
  <si>
    <t>20,315.10</t>
  </si>
  <si>
    <t>250125010100961389524067</t>
  </si>
  <si>
    <t>25 Jan 2025 19:12:33</t>
  </si>
  <si>
    <t>1,100.00</t>
  </si>
  <si>
    <t>19,215.10</t>
  </si>
  <si>
    <t>250125010100962103545403</t>
  </si>
  <si>
    <t>25 Jan 2025 19:55:30</t>
  </si>
  <si>
    <t>18,715.10</t>
  </si>
  <si>
    <t>250125010100962908624107</t>
  </si>
  <si>
    <t>25 Jan 2025 20:38:25</t>
  </si>
  <si>
    <t>18,615.10</t>
  </si>
  <si>
    <t>250125010100963440695879</t>
  </si>
  <si>
    <t>26 Jan 2025 03:24:41</t>
  </si>
  <si>
    <t>26 Jan 2025</t>
  </si>
  <si>
    <t>18,115.10</t>
  </si>
  <si>
    <t>250126100100965306456269</t>
  </si>
  <si>
    <t>26 Jan 2025 08:35:16</t>
  </si>
  <si>
    <t>4,500.00</t>
  </si>
  <si>
    <t>13,615.10</t>
  </si>
  <si>
    <t>250126010100967005360698</t>
  </si>
  <si>
    <t>26 Jan 2025 08:44:19</t>
  </si>
  <si>
    <t>450.00</t>
  </si>
  <si>
    <t>13,165.10</t>
  </si>
  <si>
    <t>100004250126084426126067774279</t>
  </si>
  <si>
    <t>26 Jan 2025 08:49:43</t>
  </si>
  <si>
    <t>12,865.10</t>
  </si>
  <si>
    <t>250126100100967288316894</t>
  </si>
  <si>
    <t>26 Jan 2025 08:51:56</t>
  </si>
  <si>
    <t>11,815.10</t>
  </si>
  <si>
    <t>100004250126085202126068081924</t>
  </si>
  <si>
    <t>26 Jan 2025 15:04:46</t>
  </si>
  <si>
    <t>11,315.10</t>
  </si>
  <si>
    <t>100004250126150451126087179961</t>
  </si>
  <si>
    <t>26 Jan 2025 20:23:14</t>
  </si>
  <si>
    <t>1,060.00</t>
  </si>
  <si>
    <t>10,255.10</t>
  </si>
  <si>
    <t>100004250126202318126105788007</t>
  </si>
  <si>
    <t>27 Jan 2025 08:33:03</t>
  </si>
  <si>
    <t>27 Jan 2025</t>
  </si>
  <si>
    <t xml:space="preserve">Transfer to IDRIS ABDULLAHI SHITU | OPay | 7019170450 </t>
  </si>
  <si>
    <t>10,105.10</t>
  </si>
  <si>
    <t>250127010100980073548896</t>
  </si>
  <si>
    <t>27 Jan 2025 13:27:55</t>
  </si>
  <si>
    <t xml:space="preserve">Transfer to MARY JOSHUA | OPay | 8131250159 </t>
  </si>
  <si>
    <t>9,705.10</t>
  </si>
  <si>
    <t>250127010100984099507338</t>
  </si>
  <si>
    <t>27 Jan 2025 13:55:03</t>
  </si>
  <si>
    <t>7,505.10</t>
  </si>
  <si>
    <t>100004250127135508126137112371</t>
  </si>
  <si>
    <t>27 Jan 2025 15:59:59</t>
  </si>
  <si>
    <t>7,305.10</t>
  </si>
  <si>
    <t>100004250127160003126144514916</t>
  </si>
  <si>
    <t>27 Jan 2025 17:44:27</t>
  </si>
  <si>
    <t xml:space="preserve">Transfer from VICTORIA - IBRAHIM | Palmpay | 705****684 | VICTORIA - IBRAHIM:7054602684 </t>
  </si>
  <si>
    <t>9,682.00</t>
  </si>
  <si>
    <t>16,987.10</t>
  </si>
  <si>
    <t>100033250127174427090048550926</t>
  </si>
  <si>
    <t>27 Jan 2025 17:45:27</t>
  </si>
  <si>
    <t>9,600.00</t>
  </si>
  <si>
    <t>7,387.10</t>
  </si>
  <si>
    <t>250127010100987535273066</t>
  </si>
  <si>
    <t>27 Jan 2025 19:22:42</t>
  </si>
  <si>
    <t>6,887.10</t>
  </si>
  <si>
    <t>100004250127192248126159482666</t>
  </si>
  <si>
    <t>28 Jan 2025 05:12:35</t>
  </si>
  <si>
    <t>28 Jan 2025</t>
  </si>
  <si>
    <t xml:space="preserve">Airtime | 9028534845 | AIR </t>
  </si>
  <si>
    <t>6,787.10</t>
  </si>
  <si>
    <t>250128100100992235673990</t>
  </si>
  <si>
    <t>28 Jan 2025 05:13:12</t>
  </si>
  <si>
    <t>250128010100992238938103</t>
  </si>
  <si>
    <t>28 Jan 2025 05:26:01</t>
  </si>
  <si>
    <t>6,287.10</t>
  </si>
  <si>
    <t>250128010100992292955978</t>
  </si>
  <si>
    <t>28 Jan 2025 12:24:35</t>
  </si>
  <si>
    <t xml:space="preserve">Transfer to NIMATALLAHI ENEYAMIRE YUSUF | OPay | 8123197672 </t>
  </si>
  <si>
    <t>1,287.10</t>
  </si>
  <si>
    <t>250128010100997179874096</t>
  </si>
  <si>
    <t>28 Jan 2025 13:19:49</t>
  </si>
  <si>
    <t xml:space="preserve">Transfer to ABDULWAHAB IBRAHIM | Sterling Bank | 0086356850 </t>
  </si>
  <si>
    <t>1,187.10</t>
  </si>
  <si>
    <t>100004250128131954126193400320</t>
  </si>
  <si>
    <t>28 Jan 2025 13:40:44</t>
  </si>
  <si>
    <t>2,837.10</t>
  </si>
  <si>
    <t>250128010100998281486692</t>
  </si>
  <si>
    <t>28 Jan 2025 13:41:49</t>
  </si>
  <si>
    <t xml:space="preserve">Transfer to  88 TAKEOUT CUISINE 2 | MONIE POINT | 5528781689 </t>
  </si>
  <si>
    <t>687.10</t>
  </si>
  <si>
    <t>100004250128134157126194634626</t>
  </si>
  <si>
    <t>28 Jan 2025 22:20:00</t>
  </si>
  <si>
    <t>487.10</t>
  </si>
  <si>
    <t>100004250128222011126225232518</t>
  </si>
  <si>
    <t>29 Jan 2025 07:22:55</t>
  </si>
  <si>
    <t>29 Jan 2025</t>
  </si>
  <si>
    <t>87.10</t>
  </si>
  <si>
    <t>250129010100007224179655</t>
  </si>
  <si>
    <t>29 Jan 2025 09:31:30</t>
  </si>
  <si>
    <t>887.10</t>
  </si>
  <si>
    <t>250129010100009208019815</t>
  </si>
  <si>
    <t>29 Jan 2025 09:34:25</t>
  </si>
  <si>
    <t>250129010100009256668422</t>
  </si>
  <si>
    <t>29 Jan 2025 21:19:03</t>
  </si>
  <si>
    <t xml:space="preserve">Transfer from KHAIRAT ZUBAIRU | OPay | 703****966 | Go buy yourself a house </t>
  </si>
  <si>
    <t>1,087.10</t>
  </si>
  <si>
    <t>250129010100019613018070</t>
  </si>
  <si>
    <t>29 Jan 2025 21:25:48</t>
  </si>
  <si>
    <t>837.10</t>
  </si>
  <si>
    <t>100004250129212553126285870349</t>
  </si>
  <si>
    <t>30 Jan 2025 09:35:11</t>
  </si>
  <si>
    <t>30 Jan 2025</t>
  </si>
  <si>
    <t>537.10</t>
  </si>
  <si>
    <t>250130010100024035274253</t>
  </si>
  <si>
    <t>30 Jan 2025 16:03:40</t>
  </si>
  <si>
    <t xml:space="preserve">Transfer from ABUBAKAR AMINAH UMAR | Guaranty Trust Bank | 023****860 | USSD NIP Transfer from  07062390824 to MUHAMMAD ABUBAKAR UMAR. 000013250130170340000120004002 </t>
  </si>
  <si>
    <t>1,537.10</t>
  </si>
  <si>
    <t>000013250130170340000120004002</t>
  </si>
  <si>
    <t>30 Jan 2025 16:06:29</t>
  </si>
  <si>
    <t xml:space="preserve">Transfer to SALISU YAHYA | OPay | 9052947852 </t>
  </si>
  <si>
    <t>250130010100029224524454</t>
  </si>
  <si>
    <t>31 Jan 2025 08:34:01</t>
  </si>
  <si>
    <t>31 Jan 2025</t>
  </si>
  <si>
    <t>37.10</t>
  </si>
  <si>
    <t>100004250131083405126357342155</t>
  </si>
  <si>
    <t>31 Jan 2025 20:13:11</t>
  </si>
  <si>
    <t xml:space="preserve">Transfer from UMAR AISHA | Guaranty Trust Bank | 023****265 | NIP Transfer to MUHAMMAD ABUBAKAR UMAR. 000013250131211310000122994053 </t>
  </si>
  <si>
    <t>20,037.10</t>
  </si>
  <si>
    <t>000013250131211310000122994053</t>
  </si>
  <si>
    <t>31 Jan 2025 20:13:16</t>
  </si>
  <si>
    <t>19,987.10</t>
  </si>
  <si>
    <t>250131140200048661207649</t>
  </si>
  <si>
    <t>31 Jan 2025 20:18:37</t>
  </si>
  <si>
    <t>20,087.10</t>
  </si>
  <si>
    <t>250131010100048886007518</t>
  </si>
  <si>
    <t>31 Jan 2025 20:19:11</t>
  </si>
  <si>
    <t>250131010100048772436215</t>
  </si>
  <si>
    <t>01 Feb 2025 08:31:00</t>
  </si>
  <si>
    <t>01 Feb 2025</t>
  </si>
  <si>
    <t>36,340.00</t>
  </si>
  <si>
    <t>36,427.10</t>
  </si>
  <si>
    <t>100033250201083100090055466012</t>
  </si>
  <si>
    <t>01 Feb 2025 08:31:06</t>
  </si>
  <si>
    <t>36,377.10</t>
  </si>
  <si>
    <t>250201140200053108588505</t>
  </si>
  <si>
    <t>01 Feb 2025 08:49:57</t>
  </si>
  <si>
    <t>35,377.10</t>
  </si>
  <si>
    <t>250201010100053508272772</t>
  </si>
  <si>
    <t>01 Feb 2025 08:50:17</t>
  </si>
  <si>
    <t>2,300.00</t>
  </si>
  <si>
    <t>33,077.10</t>
  </si>
  <si>
    <t>250201010100053411840674</t>
  </si>
  <si>
    <t>01 Feb 2025 12:59:20</t>
  </si>
  <si>
    <t>31,077.10</t>
  </si>
  <si>
    <t>250201010100057394299871</t>
  </si>
  <si>
    <t>01 Feb 2025 13:57:32</t>
  </si>
  <si>
    <t>30,377.10</t>
  </si>
  <si>
    <t>100004250201135737126443385556</t>
  </si>
  <si>
    <t>02 Feb 2025 05:22:35</t>
  </si>
  <si>
    <t>02 Feb 2025</t>
  </si>
  <si>
    <t>29,327.10</t>
  </si>
  <si>
    <t>100004250202052239126476651564</t>
  </si>
  <si>
    <t>02 Feb 2025 06:37:46</t>
  </si>
  <si>
    <t>28,827.10</t>
  </si>
  <si>
    <t>100004250202063751126477805450</t>
  </si>
  <si>
    <t>02 Feb 2025 08:04:52</t>
  </si>
  <si>
    <t>27,827.10</t>
  </si>
  <si>
    <t>250202010100068258104592</t>
  </si>
  <si>
    <t>02 Feb 2025 09:00:55</t>
  </si>
  <si>
    <t>26,827.10</t>
  </si>
  <si>
    <t>250202010100068918645037</t>
  </si>
  <si>
    <t>02 Feb 2025 14:44:28</t>
  </si>
  <si>
    <t xml:space="preserve">Mobile Data | 8153504455 | DataGlo </t>
  </si>
  <si>
    <t>810.00</t>
  </si>
  <si>
    <t>26,017.10</t>
  </si>
  <si>
    <t>250202110100073428263863</t>
  </si>
  <si>
    <t>02 Feb 2025 16:46:40</t>
  </si>
  <si>
    <t xml:space="preserve">Airtime | 9019851466 | AIR </t>
  </si>
  <si>
    <t>25,817.10</t>
  </si>
  <si>
    <t>250202100100075239005957</t>
  </si>
  <si>
    <t>03 Feb 2025 09:53:45</t>
  </si>
  <si>
    <t>03 Feb 2025</t>
  </si>
  <si>
    <t>25,567.10</t>
  </si>
  <si>
    <t>250203010100084019801135</t>
  </si>
  <si>
    <t>03 Feb 2025 10:36:18</t>
  </si>
  <si>
    <t>2,450.00</t>
  </si>
  <si>
    <t>23,117.10</t>
  </si>
  <si>
    <t>100004250203103622126542136415</t>
  </si>
  <si>
    <t>03 Feb 2025 12:59:18</t>
  </si>
  <si>
    <t>22,117.10</t>
  </si>
  <si>
    <t>250203010100086654934364</t>
  </si>
  <si>
    <t>03 Feb 2025 16:45:02</t>
  </si>
  <si>
    <t>19,117.10</t>
  </si>
  <si>
    <t>250203010100089790930077</t>
  </si>
  <si>
    <t>03 Feb 2025 17:53:45</t>
  </si>
  <si>
    <t>18,117.10</t>
  </si>
  <si>
    <t>250203010100091096054586</t>
  </si>
  <si>
    <t>03 Feb 2025 17:54:25</t>
  </si>
  <si>
    <t>17,217.10</t>
  </si>
  <si>
    <t>250203010100091146196285</t>
  </si>
  <si>
    <t>03 Feb 2025 19:08:05</t>
  </si>
  <si>
    <t>17,667.10</t>
  </si>
  <si>
    <t>250203010100092488141187</t>
  </si>
  <si>
    <t>03 Feb 2025 19:11:24</t>
  </si>
  <si>
    <t>440.00</t>
  </si>
  <si>
    <t>17,227.10</t>
  </si>
  <si>
    <t>100004250203191128126577964530</t>
  </si>
  <si>
    <t>03 Feb 2025 20:13:46</t>
  </si>
  <si>
    <t>16,977.10</t>
  </si>
  <si>
    <t>100004250203201352126582070629</t>
  </si>
  <si>
    <t>04 Feb 2025 07:24:53</t>
  </si>
  <si>
    <t>04 Feb 2025</t>
  </si>
  <si>
    <t xml:space="preserve">Transfer from YASIR USMAN ABBA | OPay | 903****979 </t>
  </si>
  <si>
    <t>37,934.00</t>
  </si>
  <si>
    <t>54,911.10</t>
  </si>
  <si>
    <t>250204010100097301059377</t>
  </si>
  <si>
    <t>04 Feb 2025 07:24:57</t>
  </si>
  <si>
    <t>54,861.10</t>
  </si>
  <si>
    <t>250204140200097493745509</t>
  </si>
  <si>
    <t>04 Feb 2025 07:25:45</t>
  </si>
  <si>
    <t>48,361.10</t>
  </si>
  <si>
    <t>250204010100097495524199</t>
  </si>
  <si>
    <t>04 Feb 2025 07:26:54</t>
  </si>
  <si>
    <t xml:space="preserve">Transfer to ALAMIN ABUBAKAR | MONIE POINT | 9060713380 </t>
  </si>
  <si>
    <t>18,361.10</t>
  </si>
  <si>
    <t>100004250204072659126594474795</t>
  </si>
  <si>
    <t>04 Feb 2025 07:34:33</t>
  </si>
  <si>
    <t>17,861.10</t>
  </si>
  <si>
    <t>250204100100097698053305</t>
  </si>
  <si>
    <t>04 Feb 2025 09:07:42</t>
  </si>
  <si>
    <t xml:space="preserve">Mobile Data | 9122812999 | DataAir </t>
  </si>
  <si>
    <t>17,061.10</t>
  </si>
  <si>
    <t>250204110100098855124965</t>
  </si>
  <si>
    <t>04 Feb 2025 15:18:27</t>
  </si>
  <si>
    <t xml:space="preserve">Transfer to haladu habibu | OPay | 8036266867 </t>
  </si>
  <si>
    <t>16,861.10</t>
  </si>
  <si>
    <t>250204010100104217872560</t>
  </si>
  <si>
    <t>04 Feb 2025 15:35:24</t>
  </si>
  <si>
    <t>14,661.10</t>
  </si>
  <si>
    <t>100004250204153528126623276289</t>
  </si>
  <si>
    <t>04 Feb 2025 15:54:40</t>
  </si>
  <si>
    <t>14,161.10</t>
  </si>
  <si>
    <t>100004250204155448126623496967</t>
  </si>
  <si>
    <t>04 Feb 2025 20:27:21</t>
  </si>
  <si>
    <t xml:space="preserve">Transfer to KASSIM - IBRAHIM | OPay | 8030757315 </t>
  </si>
  <si>
    <t>12,261.10</t>
  </si>
  <si>
    <t>250204010100109341943852</t>
  </si>
  <si>
    <t>05 Feb 2025 10:29:32</t>
  </si>
  <si>
    <t>05 Feb 2025</t>
  </si>
  <si>
    <t>760.00</t>
  </si>
  <si>
    <t>11,501.10</t>
  </si>
  <si>
    <t>100004250205102940126667780289</t>
  </si>
  <si>
    <t>05 Feb 2025 12:17:19</t>
  </si>
  <si>
    <t>11,001.10</t>
  </si>
  <si>
    <t>250205010100117073558741</t>
  </si>
  <si>
    <t>05 Feb 2025 13:45:13</t>
  </si>
  <si>
    <t>10,701.10</t>
  </si>
  <si>
    <t>250205010100118160352729</t>
  </si>
  <si>
    <t>05 Feb 2025 14:45:00</t>
  </si>
  <si>
    <t xml:space="preserve">Transfer to YETUNDE OMOTOYOSI AYENI | OPay | 8153504455 </t>
  </si>
  <si>
    <t>8,701.10</t>
  </si>
  <si>
    <t>250205010100118895565312</t>
  </si>
  <si>
    <t>06 Feb 2025 08:22:09</t>
  </si>
  <si>
    <t>06 Feb 2025</t>
  </si>
  <si>
    <t>7,701.10</t>
  </si>
  <si>
    <t>250206100100128647923750</t>
  </si>
  <si>
    <t>06 Feb 2025 09:37:56</t>
  </si>
  <si>
    <t xml:space="preserve">Transfer to POS Transfer-ALIYU ADAMU | MONIE POINT | 5899200507 </t>
  </si>
  <si>
    <t>180.00</t>
  </si>
  <si>
    <t>7,521.10</t>
  </si>
  <si>
    <t>100004250206093801126725549275</t>
  </si>
  <si>
    <t>06 Feb 2025 10:24:35</t>
  </si>
  <si>
    <t>7,321.10</t>
  </si>
  <si>
    <t>100004250206102440126729111142</t>
  </si>
  <si>
    <t>06 Feb 2025 10:45:13</t>
  </si>
  <si>
    <t>6,321.10</t>
  </si>
  <si>
    <t>250206010100130530303862</t>
  </si>
  <si>
    <t>06 Feb 2025 11:43:23</t>
  </si>
  <si>
    <t>6,171.10</t>
  </si>
  <si>
    <t>250206010100131436659131</t>
  </si>
  <si>
    <t>06 Feb 2025 15:10:14</t>
  </si>
  <si>
    <t>5,671.10</t>
  </si>
  <si>
    <t>100004250206151018126745372886</t>
  </si>
  <si>
    <t>06 Feb 2025 15:10:39</t>
  </si>
  <si>
    <t>4,971.10</t>
  </si>
  <si>
    <t>250206010100134111750449</t>
  </si>
  <si>
    <t>07 Feb 2025 15:50:52</t>
  </si>
  <si>
    <t>07 Feb 2025</t>
  </si>
  <si>
    <t xml:space="preserve">Transfer from AMINAH UMAR ABUBAKAR | OPay | 818****456 </t>
  </si>
  <si>
    <t>9,971.10</t>
  </si>
  <si>
    <t>250207010100150012211415</t>
  </si>
  <si>
    <t>07 Feb 2025 17:21:52</t>
  </si>
  <si>
    <t>9,671.10</t>
  </si>
  <si>
    <t>100004250207172157126817981388</t>
  </si>
  <si>
    <t>07 Feb 2025 17:22:07</t>
  </si>
  <si>
    <t>9,171.10</t>
  </si>
  <si>
    <t>250207100100151317321934</t>
  </si>
  <si>
    <t>07 Feb 2025 21:26:52</t>
  </si>
  <si>
    <t xml:space="preserve">Transfer to ABBA ABDULLAHI | Fidelity Bank | 6555308285 </t>
  </si>
  <si>
    <t>8,271.10</t>
  </si>
  <si>
    <t>100004250207212658126834059731</t>
  </si>
  <si>
    <t>08 Feb 2025 09:46:22</t>
  </si>
  <si>
    <t>08 Feb 2025</t>
  </si>
  <si>
    <t xml:space="preserve">Transfer from JAFAR  IBRAHIM | Access Bank | 078****481 | NIPMUHAMMAD ABUBAKAR UMAR8145015JAFAR  IBRAHIM </t>
  </si>
  <si>
    <t>10,271.10</t>
  </si>
  <si>
    <t>000014250208104621273434550619</t>
  </si>
  <si>
    <t>08 Feb 2025 09:58:10</t>
  </si>
  <si>
    <t xml:space="preserve">Transfer from MUSA JIBRIN DAL | OPay | 806****372 </t>
  </si>
  <si>
    <t>13,271.10</t>
  </si>
  <si>
    <t>250208170100160187504578</t>
  </si>
  <si>
    <t>08 Feb 2025 10:19:07</t>
  </si>
  <si>
    <t xml:space="preserve">Transfer to ANWAR IDRIS SULAIMAN | OPay | 9123426360 </t>
  </si>
  <si>
    <t>12,571.10</t>
  </si>
  <si>
    <t>250208010100160547747398</t>
  </si>
  <si>
    <t>08 Feb 2025 10:26:25</t>
  </si>
  <si>
    <t xml:space="preserve">Transfer to MAIMUNA ALIYU ABDULLAHI | OPay | 8032403377 </t>
  </si>
  <si>
    <t>860.00</t>
  </si>
  <si>
    <t>11,711.10</t>
  </si>
  <si>
    <t>250208010100160773166287</t>
  </si>
  <si>
    <t>08 Feb 2025 13:37:29</t>
  </si>
  <si>
    <t>10,711.10</t>
  </si>
  <si>
    <t>250208010100163538205507</t>
  </si>
  <si>
    <t>08 Feb 2025 16:19:24</t>
  </si>
  <si>
    <t>10,011.10</t>
  </si>
  <si>
    <t>250208010100165952338485</t>
  </si>
  <si>
    <t>08 Feb 2025 16:19:53</t>
  </si>
  <si>
    <t>9,011.10</t>
  </si>
  <si>
    <t>250208010100165721575352</t>
  </si>
  <si>
    <t>08 Feb 2025 16:33:30</t>
  </si>
  <si>
    <t xml:space="preserve">Transfer from UMAR AISHA | Guaranty Trust Bank | 023****265 | NIP Transfer to MUHAMMAD ABUBAKAR UMAR. 000013250208173330000139442000 </t>
  </si>
  <si>
    <t>109,011.10</t>
  </si>
  <si>
    <t>000013250208173330000139442000</t>
  </si>
  <si>
    <t>08 Feb 2025 16:33:35</t>
  </si>
  <si>
    <t>108,961.10</t>
  </si>
  <si>
    <t>250208140200166156029151</t>
  </si>
  <si>
    <t>08 Feb 2025 16:35:09</t>
  </si>
  <si>
    <t>8,961.10</t>
  </si>
  <si>
    <t>250208010100166112039792</t>
  </si>
  <si>
    <t>08 Feb 2025 16:37:05</t>
  </si>
  <si>
    <t>250208010100166071848084</t>
  </si>
  <si>
    <t>08 Feb 2025 16:37:11</t>
  </si>
  <si>
    <t>108,911.10</t>
  </si>
  <si>
    <t>250208140200166165719723</t>
  </si>
  <si>
    <t>08 Feb 2025 16:38:00</t>
  </si>
  <si>
    <t>8,911.10</t>
  </si>
  <si>
    <t>250208010100166167920717</t>
  </si>
  <si>
    <t>08 Feb 2025 17:52:40</t>
  </si>
  <si>
    <t xml:space="preserve">Transfer to  KAROFI INVESTIMENT | MONIE POINT | 5525270438 </t>
  </si>
  <si>
    <t>8,211.10</t>
  </si>
  <si>
    <t>100004250208175244126883854245</t>
  </si>
  <si>
    <t>09 Feb 2025 08:18:46</t>
  </si>
  <si>
    <t>09 Feb 2025</t>
  </si>
  <si>
    <t>6,711.10</t>
  </si>
  <si>
    <t>250209010100173741343806</t>
  </si>
  <si>
    <t>09 Feb 2025 16:26:43</t>
  </si>
  <si>
    <t xml:space="preserve">Transfer to  HAMDALA 5 ROYAL  | MONIE POINT | 8188476892 </t>
  </si>
  <si>
    <t>6,511.10</t>
  </si>
  <si>
    <t>100004250209162647126931118964</t>
  </si>
  <si>
    <t>09 Feb 2025 16:28:50</t>
  </si>
  <si>
    <t>350.00</t>
  </si>
  <si>
    <t>6,161.10</t>
  </si>
  <si>
    <t>100004250209162854126931344483</t>
  </si>
  <si>
    <t>09 Feb 2025 16:30:06</t>
  </si>
  <si>
    <t>5,961.10</t>
  </si>
  <si>
    <t>100004250209163016126931153601</t>
  </si>
  <si>
    <t>09 Feb 2025 16:42:10</t>
  </si>
  <si>
    <t xml:space="preserve">Transfer from MAMMAN, ONIMISI ABASS | Kuda MFB | 200****540 | going </t>
  </si>
  <si>
    <t>15,961.10</t>
  </si>
  <si>
    <t>090267250209164209836008225540</t>
  </si>
  <si>
    <t>09 Feb 2025 16:42:16</t>
  </si>
  <si>
    <t>15,911.10</t>
  </si>
  <si>
    <t>250209140200180127165416</t>
  </si>
  <si>
    <t>09 Feb 2025 19:50:55</t>
  </si>
  <si>
    <t xml:space="preserve">Transfer to YAHYA BABALALO ABUBAKAR | OPay | 9034121309 </t>
  </si>
  <si>
    <t>5,911.10</t>
  </si>
  <si>
    <t>250209010100183076420596</t>
  </si>
  <si>
    <t>09 Feb 2025 20:01:01</t>
  </si>
  <si>
    <t>5,461.10</t>
  </si>
  <si>
    <t>250209010100183358355842</t>
  </si>
  <si>
    <t>09 Feb 2025 21:35:20</t>
  </si>
  <si>
    <t>4,651.10</t>
  </si>
  <si>
    <t>250209110100184597714974</t>
  </si>
  <si>
    <t>10 Feb 2025 07:34:50</t>
  </si>
  <si>
    <t>10 Feb 2025</t>
  </si>
  <si>
    <t>4,451.10</t>
  </si>
  <si>
    <t>250210010100186911734627</t>
  </si>
  <si>
    <t>10 Feb 2025 14:01:02</t>
  </si>
  <si>
    <t>4,051.10</t>
  </si>
  <si>
    <t>100004250210140107126980097832</t>
  </si>
  <si>
    <t>10 Feb 2025 23:25:37</t>
  </si>
  <si>
    <t>3,551.10</t>
  </si>
  <si>
    <t>250210100100200568631755</t>
  </si>
  <si>
    <t>11 Feb 2025 08:32:13</t>
  </si>
  <si>
    <t>11 Feb 2025</t>
  </si>
  <si>
    <t>1,551.10</t>
  </si>
  <si>
    <t>250211010100202968404209</t>
  </si>
  <si>
    <t>11 Feb 2025 08:37:47</t>
  </si>
  <si>
    <t xml:space="preserve">Transfer to THANKGOD - ENEMARI | Palmpay | 8160273395 </t>
  </si>
  <si>
    <t>1,001.10</t>
  </si>
  <si>
    <t>100004250211083753127021916658</t>
  </si>
  <si>
    <t>11 Feb 2025 13:27:46</t>
  </si>
  <si>
    <t xml:space="preserve">Transfer from BELLO, MUHAMMAD BELLO | Kuda MFB | 200****471 | AAA </t>
  </si>
  <si>
    <t>133,243.00</t>
  </si>
  <si>
    <t>134,244.10</t>
  </si>
  <si>
    <t>090267250211142746321003265471</t>
  </si>
  <si>
    <t>11 Feb 2025 13:27:52</t>
  </si>
  <si>
    <t>134,194.10</t>
  </si>
  <si>
    <t>250211140200207213868865</t>
  </si>
  <si>
    <t>11 Feb 2025 13:29:17</t>
  </si>
  <si>
    <t>133,000.00</t>
  </si>
  <si>
    <t>1,194.10</t>
  </si>
  <si>
    <t>250211010100207316665622</t>
  </si>
  <si>
    <t>11 Feb 2025 14:15:07</t>
  </si>
  <si>
    <t>16,194.10</t>
  </si>
  <si>
    <t>250211010100207883850060</t>
  </si>
  <si>
    <t>11 Feb 2025 14:15:14</t>
  </si>
  <si>
    <t>16,144.10</t>
  </si>
  <si>
    <t>250211140200207750683070</t>
  </si>
  <si>
    <t>13 Feb 2025 06:02:22</t>
  </si>
  <si>
    <t>13 Feb 2025</t>
  </si>
  <si>
    <t>15,644.10</t>
  </si>
  <si>
    <t>250213100100231959987569</t>
  </si>
  <si>
    <t>13 Feb 2025 06:27:37</t>
  </si>
  <si>
    <t>20,644.10</t>
  </si>
  <si>
    <t>250213010100232175569324</t>
  </si>
  <si>
    <t>13 Feb 2025 06:40:05</t>
  </si>
  <si>
    <t>3,200.00</t>
  </si>
  <si>
    <t>17,444.10</t>
  </si>
  <si>
    <t>100004250213064010127138727810</t>
  </si>
  <si>
    <t>13 Feb 2025 11:04:01</t>
  </si>
  <si>
    <t>15,444.10</t>
  </si>
  <si>
    <t>100004250213110405127154232398</t>
  </si>
  <si>
    <t>13 Feb 2025 16:15:42</t>
  </si>
  <si>
    <t>14,444.10</t>
  </si>
  <si>
    <t>250213010100240840241627</t>
  </si>
  <si>
    <t>13 Feb 2025 18:34:38</t>
  </si>
  <si>
    <t>14,194.10</t>
  </si>
  <si>
    <t>100004250213183443127183918103</t>
  </si>
  <si>
    <t>14 Feb 2025 17:22:05</t>
  </si>
  <si>
    <t>14 Feb 2025</t>
  </si>
  <si>
    <t xml:space="preserve">Transfer to MICHEAL TONY | OPay | 9036762459 </t>
  </si>
  <si>
    <t>13,994.10</t>
  </si>
  <si>
    <t>250214010100258516995394</t>
  </si>
  <si>
    <t>14 Feb 2025 21:36:15</t>
  </si>
  <si>
    <t>13,494.10</t>
  </si>
  <si>
    <t>250214100100262805376447</t>
  </si>
  <si>
    <t>15 Feb 2025 18:58:58</t>
  </si>
  <si>
    <t>15 Feb 2025</t>
  </si>
  <si>
    <t>12,394.10</t>
  </si>
  <si>
    <t>250215010100276715341836</t>
  </si>
  <si>
    <t>15 Feb 2025 19:05:41</t>
  </si>
  <si>
    <t xml:space="preserve">Transfer to  Mubarak Kabir enterprises  | MONIE POINT | 8212528339 </t>
  </si>
  <si>
    <t>12,294.10</t>
  </si>
  <si>
    <t>100004250215190545127312690208</t>
  </si>
  <si>
    <t>16 Feb 2025 08:05:42</t>
  </si>
  <si>
    <t>16 Feb 2025</t>
  </si>
  <si>
    <t>12,094.10</t>
  </si>
  <si>
    <t>100004250216080546127330036241</t>
  </si>
  <si>
    <t>16 Feb 2025 08:10:04</t>
  </si>
  <si>
    <t xml:space="preserve">Transfer to ABDULBASIT ABDULYEKIN | OPay | 9036679039 </t>
  </si>
  <si>
    <t>11,594.10</t>
  </si>
  <si>
    <t>250216010100282259378776</t>
  </si>
  <si>
    <t>16 Feb 2025 11:48:39</t>
  </si>
  <si>
    <t xml:space="preserve">Transfer to  SELLING BREAD P O S | MONIE POINT | 8225759922 </t>
  </si>
  <si>
    <t>1,400.00</t>
  </si>
  <si>
    <t>10,194.10</t>
  </si>
  <si>
    <t>100004250216114844127341998549</t>
  </si>
  <si>
    <t>16 Feb 2025 11:54:12</t>
  </si>
  <si>
    <t xml:space="preserve">Transfer to NURA  ILIYA | Palmpay | 8034118734 </t>
  </si>
  <si>
    <t>9,994.10</t>
  </si>
  <si>
    <t>100004250216115421127342322989</t>
  </si>
  <si>
    <t>16 Feb 2025 11:57:38</t>
  </si>
  <si>
    <t>9,284.10</t>
  </si>
  <si>
    <t>100004250216115744127343362791</t>
  </si>
  <si>
    <t>16 Feb 2025 13:46:30</t>
  </si>
  <si>
    <t>8,524.10</t>
  </si>
  <si>
    <t>100004250216134634127348707267</t>
  </si>
  <si>
    <t>16 Feb 2025 17:09:03</t>
  </si>
  <si>
    <t>8,314.10</t>
  </si>
  <si>
    <t>100004250216170913127359741935</t>
  </si>
  <si>
    <t>16 Feb 2025 17:36:50</t>
  </si>
  <si>
    <t xml:space="preserve">Transfer from ABDULBASIT ABDULYEKIN | OPay | 903****039 </t>
  </si>
  <si>
    <t>9,014.10</t>
  </si>
  <si>
    <t>250216010100290140524174</t>
  </si>
  <si>
    <t>16 Feb 2025 19:02:09</t>
  </si>
  <si>
    <t xml:space="preserve">Transfer to LUKEMAN MUHAMMED | OPay | 8066467273 </t>
  </si>
  <si>
    <t>160.00</t>
  </si>
  <si>
    <t>8,854.10</t>
  </si>
  <si>
    <t>250216010100291714079190</t>
  </si>
  <si>
    <t>16 Feb 2025 19:02:48</t>
  </si>
  <si>
    <t>8,594.10</t>
  </si>
  <si>
    <t>100004250216190253127367687578</t>
  </si>
  <si>
    <t>17 Feb 2025 09:12:18</t>
  </si>
  <si>
    <t>17 Feb 2025</t>
  </si>
  <si>
    <t xml:space="preserve">Transfer to POS Transfer-umar sule | MONIE POINT | 5797802186 </t>
  </si>
  <si>
    <t>8,444.10</t>
  </si>
  <si>
    <t>100004250217091223127389478435</t>
  </si>
  <si>
    <t>17 Feb 2025 12:18:41</t>
  </si>
  <si>
    <t>7,794.10</t>
  </si>
  <si>
    <t>100004250217121846127399878338</t>
  </si>
  <si>
    <t>17 Feb 2025 16:56:39</t>
  </si>
  <si>
    <t>7,194.10</t>
  </si>
  <si>
    <t>100004250217165650127416374624</t>
  </si>
  <si>
    <t>17 Feb 2025 17:03:39</t>
  </si>
  <si>
    <t>6,984.10</t>
  </si>
  <si>
    <t>100004250217170344127418438705</t>
  </si>
  <si>
    <t>17 Feb 2025 17:10:30</t>
  </si>
  <si>
    <t xml:space="preserve">Transfer from UMAR AISHA | Guaranty Trust Bank | 023****265 | NIP Transfer to MUHAMMAD ABUBAKAR UMAR. 000013250217181030000156940537 </t>
  </si>
  <si>
    <t>11,984.10</t>
  </si>
  <si>
    <t>000013250217181030000156940537</t>
  </si>
  <si>
    <t>17 Feb 2025 17:10:55</t>
  </si>
  <si>
    <t xml:space="preserve">Transfer from KHAIRAT ZUBAIRU | OPay | 703****966 | use am chop life </t>
  </si>
  <si>
    <t>12,584.10</t>
  </si>
  <si>
    <t>250217010100305483205390</t>
  </si>
  <si>
    <t>17 Feb 2025 19:18:09</t>
  </si>
  <si>
    <t>12,074.10</t>
  </si>
  <si>
    <t>100004250217191814127427623805</t>
  </si>
  <si>
    <t>17 Feb 2025 20:07:05</t>
  </si>
  <si>
    <t>11,574.10</t>
  </si>
  <si>
    <t>250217100100308621829909</t>
  </si>
  <si>
    <t>18 Feb 2025 07:48:14</t>
  </si>
  <si>
    <t>18 Feb 2025</t>
  </si>
  <si>
    <t>2,550.00</t>
  </si>
  <si>
    <t>9,024.10</t>
  </si>
  <si>
    <t>100004250218074818127443916654</t>
  </si>
  <si>
    <t>18 Feb 2025 14:17:32</t>
  </si>
  <si>
    <t>8,724.10</t>
  </si>
  <si>
    <t>100004250218141740127469541845</t>
  </si>
  <si>
    <t>18 Feb 2025 18:14:22</t>
  </si>
  <si>
    <t>3,724.10</t>
  </si>
  <si>
    <t>250218010100321713924741</t>
  </si>
  <si>
    <t>18 Feb 2025 19:08:55</t>
  </si>
  <si>
    <t>2,224.10</t>
  </si>
  <si>
    <t>100004250218190900127488497280</t>
  </si>
  <si>
    <t>18 Feb 2025 19:26:47</t>
  </si>
  <si>
    <t>1,864.10</t>
  </si>
  <si>
    <t>100004250218192700127490765575</t>
  </si>
  <si>
    <t>19 Feb 2025 07:51:51</t>
  </si>
  <si>
    <t>19 Feb 2025</t>
  </si>
  <si>
    <t>1,414.10</t>
  </si>
  <si>
    <t>100004250219075156127505731225</t>
  </si>
  <si>
    <t>19 Feb 2025 07:55:31</t>
  </si>
  <si>
    <t>2,514.10</t>
  </si>
  <si>
    <t>250219010100327976288632</t>
  </si>
  <si>
    <t>19 Feb 2025 07:58:04</t>
  </si>
  <si>
    <t>2,214.10</t>
  </si>
  <si>
    <t>250219010100327982288880</t>
  </si>
  <si>
    <t>19 Feb 2025 12:39:15</t>
  </si>
  <si>
    <t xml:space="preserve">Airtime | 9134310640 | MTN </t>
  </si>
  <si>
    <t>1,714.10</t>
  </si>
  <si>
    <t>250219100100332230913744</t>
  </si>
  <si>
    <t>19 Feb 2025 17:17:48</t>
  </si>
  <si>
    <t>1,514.10</t>
  </si>
  <si>
    <t>100004250219171753127541030087</t>
  </si>
  <si>
    <t>19 Feb 2025 22:26:40</t>
  </si>
  <si>
    <t>1,014.10</t>
  </si>
  <si>
    <t>100004250219222645127558689161</t>
  </si>
  <si>
    <t>20 Feb 2025 07:07:03</t>
  </si>
  <si>
    <t>20 Feb 2025</t>
  </si>
  <si>
    <t>814.10</t>
  </si>
  <si>
    <t>250220010100342688815095</t>
  </si>
  <si>
    <t>20 Feb 2025 07:11:29</t>
  </si>
  <si>
    <t xml:space="preserve">Transfer from UMAR MUHAMMAD ABUBAKAR | Guaranty Trust Bank | 032****140 | NIP Transfer to MUHAMMAD ABUBAKAR UMAR. 000013250220081114000161543533 </t>
  </si>
  <si>
    <t>19,500.00</t>
  </si>
  <si>
    <t>20,314.10</t>
  </si>
  <si>
    <t>000013250220081114000161543533</t>
  </si>
  <si>
    <t>20 Feb 2025 07:11:35</t>
  </si>
  <si>
    <t>20,264.10</t>
  </si>
  <si>
    <t>250220140200342765296434</t>
  </si>
  <si>
    <t>20 Feb 2025 07:15:35</t>
  </si>
  <si>
    <t xml:space="preserve">Transfer to Umar Muhammad Abubakar(GSUBZ) | Palmpay | 6660944215 </t>
  </si>
  <si>
    <t>17,064.10</t>
  </si>
  <si>
    <t>100004250220071539127564110477</t>
  </si>
  <si>
    <t>20 Feb 2025 07:54:14</t>
  </si>
  <si>
    <t>16,514.10</t>
  </si>
  <si>
    <t>100004250220075430127566359851</t>
  </si>
  <si>
    <t>20 Feb 2025 07:57:15</t>
  </si>
  <si>
    <t>11,514.10</t>
  </si>
  <si>
    <t>250220010100343309972089</t>
  </si>
  <si>
    <t>20 Feb 2025 12:20:07</t>
  </si>
  <si>
    <t>10,814.10</t>
  </si>
  <si>
    <t>100004250220122011127582575472</t>
  </si>
  <si>
    <t>20 Feb 2025 12:21:28</t>
  </si>
  <si>
    <t>10,414.10</t>
  </si>
  <si>
    <t>250220010100347150670229</t>
  </si>
  <si>
    <t>20 Feb 2025 15:09:10</t>
  </si>
  <si>
    <t>8,414.10</t>
  </si>
  <si>
    <t>250220010100349580155232</t>
  </si>
  <si>
    <t>20 Feb 2025 16:26:14</t>
  </si>
  <si>
    <t>6,914.10</t>
  </si>
  <si>
    <t>250220010100350700548466</t>
  </si>
  <si>
    <t>20 Feb 2025 16:31:36</t>
  </si>
  <si>
    <t>7,914.10</t>
  </si>
  <si>
    <t>250220010100350753154573</t>
  </si>
  <si>
    <t>20 Feb 2025 16:32:00</t>
  </si>
  <si>
    <t>7,014.10</t>
  </si>
  <si>
    <t>250220010100350715095369</t>
  </si>
  <si>
    <t>20 Feb 2025 16:35:15</t>
  </si>
  <si>
    <t xml:space="preserve">Transfer from KHAIRAT ZUBAIRU | OPay | 703****966 | Thank you so much but i don'twant your money. </t>
  </si>
  <si>
    <t>8,514.10</t>
  </si>
  <si>
    <t>250220010100350811967149</t>
  </si>
  <si>
    <t>20 Feb 2025 17:24:20</t>
  </si>
  <si>
    <t>250220010100351488922659</t>
  </si>
  <si>
    <t>20 Feb 2025 17:38:25</t>
  </si>
  <si>
    <t>7,514.10</t>
  </si>
  <si>
    <t>250220010100351698083809</t>
  </si>
  <si>
    <t>20 Feb 2025 17:41:08</t>
  </si>
  <si>
    <t>6,004.10</t>
  </si>
  <si>
    <t>100004250220174112127602595384</t>
  </si>
  <si>
    <t>20 Feb 2025 19:33:07</t>
  </si>
  <si>
    <t>5,494.10</t>
  </si>
  <si>
    <t>100004250220193312127612007203</t>
  </si>
  <si>
    <t>21 Feb 2025 07:43:24</t>
  </si>
  <si>
    <t>21 Feb 2025</t>
  </si>
  <si>
    <t>5,594.10</t>
  </si>
  <si>
    <t>250221010100358632429031</t>
  </si>
  <si>
    <t>21 Feb 2025 07:44:34</t>
  </si>
  <si>
    <t>5,194.10</t>
  </si>
  <si>
    <t>100004250221074440127627337058</t>
  </si>
  <si>
    <t>21 Feb 2025 09:36:29</t>
  </si>
  <si>
    <t>4,994.10</t>
  </si>
  <si>
    <t>250221010100360607443387</t>
  </si>
  <si>
    <t>21 Feb 2025 12:12:03</t>
  </si>
  <si>
    <t>4,844.10</t>
  </si>
  <si>
    <t>100004250221121208127643252646</t>
  </si>
  <si>
    <t>21 Feb 2025 17:48:51</t>
  </si>
  <si>
    <t>4,594.10</t>
  </si>
  <si>
    <t>100004250221174855127665914989</t>
  </si>
  <si>
    <t>22 Feb 2025 08:51:02</t>
  </si>
  <si>
    <t>22 Feb 2025</t>
  </si>
  <si>
    <t xml:space="preserve">Transfer from CLINTON STEPHEN OMAJARI | OPay | 814****330 </t>
  </si>
  <si>
    <t>24,594.10</t>
  </si>
  <si>
    <t>250222010100375170836314</t>
  </si>
  <si>
    <t>22 Feb 2025 08:51:07</t>
  </si>
  <si>
    <t>24,544.10</t>
  </si>
  <si>
    <t>250222140200375221359542</t>
  </si>
  <si>
    <t>22 Feb 2025 08:52:05</t>
  </si>
  <si>
    <t>24,344.10</t>
  </si>
  <si>
    <t>100004250222085210127691588922</t>
  </si>
  <si>
    <t>22 Feb 2025 08:52:42</t>
  </si>
  <si>
    <t>19,344.10</t>
  </si>
  <si>
    <t>250222010100375332155354</t>
  </si>
  <si>
    <t>22 Feb 2025 08:58:22</t>
  </si>
  <si>
    <t>18,844.10</t>
  </si>
  <si>
    <t>100004250222085827127692290610</t>
  </si>
  <si>
    <t>22 Feb 2025 10:32:20</t>
  </si>
  <si>
    <t>18,244.10</t>
  </si>
  <si>
    <t>250222010100376876708645</t>
  </si>
  <si>
    <t>22 Feb 2025 11:56:12</t>
  </si>
  <si>
    <t>540.00</t>
  </si>
  <si>
    <t>17,704.10</t>
  </si>
  <si>
    <t>250222110100378274983194</t>
  </si>
  <si>
    <t>22 Feb 2025 12:23:30</t>
  </si>
  <si>
    <t>18,004.10</t>
  </si>
  <si>
    <t>250222010100378687287852</t>
  </si>
  <si>
    <t>22 Feb 2025 17:45:09</t>
  </si>
  <si>
    <t>17,804.10</t>
  </si>
  <si>
    <t>250222010100383609914573</t>
  </si>
  <si>
    <t>22 Feb 2025 17:46:01</t>
  </si>
  <si>
    <t>16,804.10</t>
  </si>
  <si>
    <t>250222010100383833204039</t>
  </si>
  <si>
    <t>22 Feb 2025 19:13:36</t>
  </si>
  <si>
    <t>15,804.10</t>
  </si>
  <si>
    <t>100004250222191341127732806178</t>
  </si>
  <si>
    <t>22 Feb 2025 19:14:38</t>
  </si>
  <si>
    <t xml:space="preserve">Airtime | 8036444545 | MTN </t>
  </si>
  <si>
    <t>15,304.10</t>
  </si>
  <si>
    <t>250222100100385172913799</t>
  </si>
  <si>
    <t>23 Feb 2025 07:20:48</t>
  </si>
  <si>
    <t>23 Feb 2025</t>
  </si>
  <si>
    <t>14,304.10</t>
  </si>
  <si>
    <t>250223010100389271277157</t>
  </si>
  <si>
    <t>23 Feb 2025 10:26:51</t>
  </si>
  <si>
    <t>13,804.10</t>
  </si>
  <si>
    <t>250223010100391686857495</t>
  </si>
  <si>
    <t>23 Feb 2025 10:53:16</t>
  </si>
  <si>
    <t>13,554.10</t>
  </si>
  <si>
    <t>100004250223105323127757634947</t>
  </si>
  <si>
    <t>23 Feb 2025 12:54:08</t>
  </si>
  <si>
    <t xml:space="preserve">Transfer to PETER RICHARD ANAMOMHE | OPay | 8121433008 </t>
  </si>
  <si>
    <t>13,354.10</t>
  </si>
  <si>
    <t>250223010100393544437307</t>
  </si>
  <si>
    <t>23 Feb 2025 13:29:50</t>
  </si>
  <si>
    <t>12,854.10</t>
  </si>
  <si>
    <t>100004250223132955127765538415</t>
  </si>
  <si>
    <t>23 Feb 2025 14:40:57</t>
  </si>
  <si>
    <t>12,354.10</t>
  </si>
  <si>
    <t>250223100100394966252943</t>
  </si>
  <si>
    <t>24 Feb 2025 15:18:02</t>
  </si>
  <si>
    <t>24 Feb 2025</t>
  </si>
  <si>
    <t>940.00</t>
  </si>
  <si>
    <t>11,414.10</t>
  </si>
  <si>
    <t>100004250224151808127830715548</t>
  </si>
  <si>
    <t>24 Feb 2025 20:21:31</t>
  </si>
  <si>
    <t xml:space="preserve">Transfer to I-AINTERNETCAFEANDGENMERCHANDISE | MONIE POINT | 8109597921 </t>
  </si>
  <si>
    <t>11,264.10</t>
  </si>
  <si>
    <t>100004250224202137127850264164</t>
  </si>
  <si>
    <t>24 Feb 2025 20:52:05</t>
  </si>
  <si>
    <t>10,764.10</t>
  </si>
  <si>
    <t>100004250224205209127852351642</t>
  </si>
  <si>
    <t>25 Feb 2025 11:21:15</t>
  </si>
  <si>
    <t>25 Feb 2025</t>
  </si>
  <si>
    <t>9,364.10</t>
  </si>
  <si>
    <t>250225010100422268300934</t>
  </si>
  <si>
    <t>25 Feb 2025 12:07:08</t>
  </si>
  <si>
    <t>8,664.10</t>
  </si>
  <si>
    <t>100004250225120713127880197268</t>
  </si>
  <si>
    <t>25 Feb 2025 13:03:33</t>
  </si>
  <si>
    <t>7,164.10</t>
  </si>
  <si>
    <t>250225010100423689112862</t>
  </si>
  <si>
    <t>25 Feb 2025 19:59:50</t>
  </si>
  <si>
    <t>6,164.10</t>
  </si>
  <si>
    <t>250225010100430244740779</t>
  </si>
  <si>
    <t>25 Feb 2025 21:05:45</t>
  </si>
  <si>
    <t>5,164.10</t>
  </si>
  <si>
    <t>250225010100431033308927</t>
  </si>
  <si>
    <t>26 Feb 2025 06:31:23</t>
  </si>
  <si>
    <t>26 Feb 2025</t>
  </si>
  <si>
    <t>4,964.10</t>
  </si>
  <si>
    <t>250226010100433481349831</t>
  </si>
  <si>
    <t>26 Feb 2025 07:12:10</t>
  </si>
  <si>
    <t>580.00</t>
  </si>
  <si>
    <t>4,384.10</t>
  </si>
  <si>
    <t>100004250226071215127922761100</t>
  </si>
  <si>
    <t>26 Feb 2025 12:38:48</t>
  </si>
  <si>
    <t>4,084.10</t>
  </si>
  <si>
    <t>100004250226123852127942499173</t>
  </si>
  <si>
    <t>26 Feb 2025 12:39:25</t>
  </si>
  <si>
    <t>3,934.10</t>
  </si>
  <si>
    <t>100004250226123929127943268117</t>
  </si>
  <si>
    <t>26 Feb 2025 13:29:57</t>
  </si>
  <si>
    <t>3,474.10</t>
  </si>
  <si>
    <t>100004250226133002127946732967</t>
  </si>
  <si>
    <t>26 Feb 2025 15:25:16</t>
  </si>
  <si>
    <t>3,174.10</t>
  </si>
  <si>
    <t>250226100100440798187500</t>
  </si>
  <si>
    <t>26 Feb 2025 16:36:11</t>
  </si>
  <si>
    <t>2,964.10</t>
  </si>
  <si>
    <t>100004250226163615127957166230</t>
  </si>
  <si>
    <t>26 Feb 2025 17:02:59</t>
  </si>
  <si>
    <t>2,364.10</t>
  </si>
  <si>
    <t>250226010100442434679288</t>
  </si>
  <si>
    <t>26 Feb 2025 19:29:41</t>
  </si>
  <si>
    <t>1,754.10</t>
  </si>
  <si>
    <t>100004250226192945127971776439</t>
  </si>
  <si>
    <t>27 Feb 2025 08:41:25</t>
  </si>
  <si>
    <t>27 Feb 2025</t>
  </si>
  <si>
    <t xml:space="preserve">Transfer to MARYAM  ZUBAIRU | Palmpay | 8100454556 </t>
  </si>
  <si>
    <t>1,294.10</t>
  </si>
  <si>
    <t>100004250227084130127989089896</t>
  </si>
  <si>
    <t>27 Feb 2025 18:43:29</t>
  </si>
  <si>
    <t>2,294.10</t>
  </si>
  <si>
    <t>250227010100459722788663</t>
  </si>
  <si>
    <t>28 Feb 2025 10:45:17</t>
  </si>
  <si>
    <t>28 Feb 2025</t>
  </si>
  <si>
    <t xml:space="preserve">Transfer from fatima machika abdullahi | OPay | 703****779 </t>
  </si>
  <si>
    <t>3,294.10</t>
  </si>
  <si>
    <t>250228010100468618547058</t>
  </si>
  <si>
    <t>28 Feb 2025 10:50:29</t>
  </si>
  <si>
    <t xml:space="preserve">Transfer from AKINYEMI WESLEY MAFO | OPay | 701****806 </t>
  </si>
  <si>
    <t>3,794.10</t>
  </si>
  <si>
    <t>250228010100468533878666</t>
  </si>
  <si>
    <t>28 Feb 2025 10:53:57</t>
  </si>
  <si>
    <t>794.10</t>
  </si>
  <si>
    <t>100004250228105402128061442296</t>
  </si>
  <si>
    <t>28 Feb 2025 19:08:11</t>
  </si>
  <si>
    <t xml:space="preserve">Transfer from KHAIRAT ZUBAIRU | OPay | 703****966 | Enjoy my boss </t>
  </si>
  <si>
    <t>5,794.10</t>
  </si>
  <si>
    <t>250228010100477004457600</t>
  </si>
  <si>
    <t>28 Feb 2025 20:13:13</t>
  </si>
  <si>
    <t>250228010100478091888904</t>
  </si>
  <si>
    <t>28 Feb 2025 20:14:51</t>
  </si>
  <si>
    <t>4,100.00</t>
  </si>
  <si>
    <t>3,694.10</t>
  </si>
  <si>
    <t>100004250228201456128101512922</t>
  </si>
  <si>
    <t>28 Feb 2025 20:30:17</t>
  </si>
  <si>
    <t>470.00</t>
  </si>
  <si>
    <t>3,224.10</t>
  </si>
  <si>
    <t>100004250228203021128101183110</t>
  </si>
  <si>
    <t>28 Feb 2025 21:16:01</t>
  </si>
  <si>
    <t>2,764.10</t>
  </si>
  <si>
    <t>100004250228211606128104303288</t>
  </si>
  <si>
    <t>01 Mar 2025 13:18:50</t>
  </si>
  <si>
    <t>01 Mar 2025</t>
  </si>
  <si>
    <t>2,564.10</t>
  </si>
  <si>
    <t>250301100100487841973496</t>
  </si>
  <si>
    <t>01 Mar 2025 13:43:23</t>
  </si>
  <si>
    <t>4,064.10</t>
  </si>
  <si>
    <t>250301010100488309640966</t>
  </si>
  <si>
    <t>01 Mar 2025 15:50:05</t>
  </si>
  <si>
    <t>3,764.10</t>
  </si>
  <si>
    <t>250301010100490276090048</t>
  </si>
  <si>
    <t>01 Mar 2025 15:50:28</t>
  </si>
  <si>
    <t>1,264.10</t>
  </si>
  <si>
    <t>250301010100490277197431</t>
  </si>
  <si>
    <t>01 Mar 2025 16:51:20</t>
  </si>
  <si>
    <t xml:space="preserve">Transfer from UMAR LUBABATU | Guaranty Trust Bank | 017****293 | NIP Transfer to MUHAMMAD ABUBAKAR UMAR. 000013250301175109000003193577 </t>
  </si>
  <si>
    <t>6,264.10</t>
  </si>
  <si>
    <t>000013250301175109000003193577</t>
  </si>
  <si>
    <t>01 Mar 2025 17:38:53</t>
  </si>
  <si>
    <t>5,614.10</t>
  </si>
  <si>
    <t>250301010100492086857606</t>
  </si>
  <si>
    <t>02 Mar 2025 09:59:16</t>
  </si>
  <si>
    <t>02 Mar 2025</t>
  </si>
  <si>
    <t>4,614.10</t>
  </si>
  <si>
    <t>250302010100500771837572</t>
  </si>
  <si>
    <t>02 Mar 2025 10:00:55</t>
  </si>
  <si>
    <t>3,714.10</t>
  </si>
  <si>
    <t>250302010100500763225048</t>
  </si>
  <si>
    <t>02 Mar 2025 12:05:01</t>
  </si>
  <si>
    <t>3,214.10</t>
  </si>
  <si>
    <t>100004250302120506128192258305</t>
  </si>
  <si>
    <t>02 Mar 2025 12:14:03</t>
  </si>
  <si>
    <t xml:space="preserve">Transfer to JAMES CHUKWU ANWUROKWU | OPay | 8145111126 </t>
  </si>
  <si>
    <t>2,864.10</t>
  </si>
  <si>
    <t>250302010100502715407369</t>
  </si>
  <si>
    <t>02 Mar 2025 12:29:43</t>
  </si>
  <si>
    <t xml:space="preserve">Transfer from SAHEED MOSHOOD SALMAN | OPay | 906****124 </t>
  </si>
  <si>
    <t>4,864.10</t>
  </si>
  <si>
    <t>250302010100502700983095</t>
  </si>
  <si>
    <t>02 Mar 2025 12:31:02</t>
  </si>
  <si>
    <t xml:space="preserve">Transfer to UTHMAN OLAMILEKAN MUNIRUDEEN | Palmpay | 9550322769 </t>
  </si>
  <si>
    <t>100004250302123107128193781038</t>
  </si>
  <si>
    <t>02 Mar 2025 15:55:28</t>
  </si>
  <si>
    <t>1,764.10</t>
  </si>
  <si>
    <t>250302010100505738598539</t>
  </si>
  <si>
    <t>02 Mar 2025 17:38:26</t>
  </si>
  <si>
    <t>250302010100507283089511</t>
  </si>
  <si>
    <t>03 Mar 2025 03:47:05</t>
  </si>
  <si>
    <t>03 Mar 2025</t>
  </si>
  <si>
    <t>100004250303034709128230047026</t>
  </si>
  <si>
    <t>03 Mar 2025 14:03:43</t>
  </si>
  <si>
    <t>714.10</t>
  </si>
  <si>
    <t>250303010100519864121166</t>
  </si>
  <si>
    <t>03 Mar 2025 16:26:50</t>
  </si>
  <si>
    <t>1,214.10</t>
  </si>
  <si>
    <t>250303010100522038102484</t>
  </si>
  <si>
    <t>04 Mar 2025 07:40:13</t>
  </si>
  <si>
    <t>04 Mar 2025</t>
  </si>
  <si>
    <t>214.10</t>
  </si>
  <si>
    <t>250304010100530763727219</t>
  </si>
  <si>
    <t>04 Mar 2025 13:58:11</t>
  </si>
  <si>
    <t>250304010100536423951858</t>
  </si>
  <si>
    <t>04 Mar 2025 14:49:55</t>
  </si>
  <si>
    <t>2,014.10</t>
  </si>
  <si>
    <t>250304010100537055772053</t>
  </si>
  <si>
    <t>04 Mar 2025 15:22:43</t>
  </si>
  <si>
    <t>250304010100537596423073</t>
  </si>
  <si>
    <t>04 Mar 2025 15:49:57</t>
  </si>
  <si>
    <t>114.10</t>
  </si>
  <si>
    <t>250304010100538073537126</t>
  </si>
  <si>
    <t>05 Mar 2025 13:25:44</t>
  </si>
  <si>
    <t>05 Mar 2025</t>
  </si>
  <si>
    <t>1,114.10</t>
  </si>
  <si>
    <t>250305010100552071130194</t>
  </si>
  <si>
    <t>05 Mar 2025 14:31:55</t>
  </si>
  <si>
    <t>100004250305143201128386553221</t>
  </si>
  <si>
    <t>05 Mar 2025 14:35:13</t>
  </si>
  <si>
    <t>614.10</t>
  </si>
  <si>
    <t>250305100100553051369431</t>
  </si>
  <si>
    <t>05 Mar 2025 15:45:02</t>
  </si>
  <si>
    <t>414.10</t>
  </si>
  <si>
    <t>250305010100554096448063</t>
  </si>
  <si>
    <t>06 Mar 2025 03:34:44</t>
  </si>
  <si>
    <t>06 Mar 2025</t>
  </si>
  <si>
    <t xml:space="preserve">Transfer to ABUBAKAR AMIRU | OPay | 8168128042 </t>
  </si>
  <si>
    <t>250306010100561479108101</t>
  </si>
  <si>
    <t>06 Mar 2025 15:21:01</t>
  </si>
  <si>
    <t xml:space="preserve">Airtime | 8020952457 | AIR </t>
  </si>
  <si>
    <t>250306100100570027188891</t>
  </si>
  <si>
    <t>07 Mar 2025 13:08:33</t>
  </si>
  <si>
    <t>07 Mar 2025</t>
  </si>
  <si>
    <t xml:space="preserve">Transfer from DANLADI NAPHTALI | OPay | 816****683 </t>
  </si>
  <si>
    <t>3,114.10</t>
  </si>
  <si>
    <t>250307010100584355701889</t>
  </si>
  <si>
    <t>07 Mar 2025 19:49:34</t>
  </si>
  <si>
    <t>8,114.10</t>
  </si>
  <si>
    <t>250307010100590885484442</t>
  </si>
  <si>
    <t>08 Mar 2025 04:16:38</t>
  </si>
  <si>
    <t>08 Mar 2025</t>
  </si>
  <si>
    <t>8,014.10</t>
  </si>
  <si>
    <t>100004250308041643128544416962</t>
  </si>
  <si>
    <t>08 Mar 2025 04:44:33</t>
  </si>
  <si>
    <t>5,014.10</t>
  </si>
  <si>
    <t>250308010100594368152432</t>
  </si>
  <si>
    <t>08 Mar 2025 07:56:46</t>
  </si>
  <si>
    <t>3,014.10</t>
  </si>
  <si>
    <t>250308010100595850699648</t>
  </si>
  <si>
    <t>08 Mar 2025 10:26:27</t>
  </si>
  <si>
    <t>100004250308102641128558787434</t>
  </si>
  <si>
    <t>08 Mar 2025 14:13:31</t>
  </si>
  <si>
    <t>250308010100601629060732</t>
  </si>
  <si>
    <t>08 Mar 2025 14:57:33</t>
  </si>
  <si>
    <t>250308010100602404450623</t>
  </si>
  <si>
    <t>08 Mar 2025 15:43:47</t>
  </si>
  <si>
    <t>100004250308154354128578972446</t>
  </si>
  <si>
    <t>08 Mar 2025 15:47:21</t>
  </si>
  <si>
    <t xml:space="preserve">Transfer from UMAR LUBABATU | Guaranty Trust Bank | 017****293 | NIP Transfer to MUHAMMAD ABUBAKAR UMAR. 000013250308164611000018074795 </t>
  </si>
  <si>
    <t>22,564.10</t>
  </si>
  <si>
    <t>000013250308164611000018074795</t>
  </si>
  <si>
    <t>08 Mar 2025 15:47:27</t>
  </si>
  <si>
    <t>22,514.10</t>
  </si>
  <si>
    <t>250308140200603041394752</t>
  </si>
  <si>
    <t>08 Mar 2025 15:54:45</t>
  </si>
  <si>
    <t xml:space="preserve">Transfer to USMAN SHUAIBU | MONIE POINT | 8063648965 </t>
  </si>
  <si>
    <t>9,504.10</t>
  </si>
  <si>
    <t>100004250308155450128579608003</t>
  </si>
  <si>
    <t>08 Mar 2025 17:04:39</t>
  </si>
  <si>
    <t xml:space="preserve">Transfer to ADANNA CHINONSO IBE | OPay | 8065002432 </t>
  </si>
  <si>
    <t>9,304.10</t>
  </si>
  <si>
    <t>250308010100604177842400</t>
  </si>
  <si>
    <t>08 Mar 2025 19:02:27</t>
  </si>
  <si>
    <t>8,304.10</t>
  </si>
  <si>
    <t>250308100100606487199780</t>
  </si>
  <si>
    <t>08 Mar 2025 21:16:05</t>
  </si>
  <si>
    <t xml:space="preserve">Transfer to POS Transfer - MUHAMMAD SANI | MONIE POINT | 8223124601 </t>
  </si>
  <si>
    <t>960.00</t>
  </si>
  <si>
    <t>7,344.10</t>
  </si>
  <si>
    <t>100004250308211609128602625164</t>
  </si>
  <si>
    <t>08 Mar 2025 21:57:39</t>
  </si>
  <si>
    <t>6,844.10</t>
  </si>
  <si>
    <t>250308100100609535993948</t>
  </si>
  <si>
    <t>09 Mar 2025 04:14:42</t>
  </si>
  <si>
    <t>09 Mar 2025</t>
  </si>
  <si>
    <t>370.00</t>
  </si>
  <si>
    <t>6,474.10</t>
  </si>
  <si>
    <t>100004250309041448128606584016</t>
  </si>
  <si>
    <t>09 Mar 2025 07:31:19</t>
  </si>
  <si>
    <t>21,474.10</t>
  </si>
  <si>
    <t>250309010100611513567259</t>
  </si>
  <si>
    <t>09 Mar 2025 07:31:31</t>
  </si>
  <si>
    <t>21,424.10</t>
  </si>
  <si>
    <t>250309140200611714719422</t>
  </si>
  <si>
    <t>09 Mar 2025 11:50:11</t>
  </si>
  <si>
    <t>21,224.10</t>
  </si>
  <si>
    <t>250309010100614845566896</t>
  </si>
  <si>
    <t>09 Mar 2025 16:02:13</t>
  </si>
  <si>
    <t>21,024.10</t>
  </si>
  <si>
    <t>250309010100618356551657</t>
  </si>
  <si>
    <t>09 Mar 2025 17:54:52</t>
  </si>
  <si>
    <t>19,974.10</t>
  </si>
  <si>
    <t>100004250309175457128642387954</t>
  </si>
  <si>
    <t>10 Mar 2025 03:29:26</t>
  </si>
  <si>
    <t>10 Mar 2025</t>
  </si>
  <si>
    <t>19,074.10</t>
  </si>
  <si>
    <t>250310010100624879037457</t>
  </si>
  <si>
    <t>10 Mar 2025 03:32:07</t>
  </si>
  <si>
    <t>18,974.10</t>
  </si>
  <si>
    <t>100004250310033211128659249294</t>
  </si>
  <si>
    <t>10 Mar 2025 04:09:29</t>
  </si>
  <si>
    <t>15,474.10</t>
  </si>
  <si>
    <t>100004250310040934128659401172</t>
  </si>
  <si>
    <t>10 Mar 2025 10:15:53</t>
  </si>
  <si>
    <t xml:space="preserve">Transfer to YAHAYA YAKUBU LAWI | OPay | 9151997177 </t>
  </si>
  <si>
    <t>14,874.10</t>
  </si>
  <si>
    <t>250310010100628599214021</t>
  </si>
  <si>
    <t>10 Mar 2025 11:27:52</t>
  </si>
  <si>
    <t>14,524.10</t>
  </si>
  <si>
    <t>100004250310112756128677224748</t>
  </si>
  <si>
    <t>10 Mar 2025 16:16:53</t>
  </si>
  <si>
    <t>1,070.00</t>
  </si>
  <si>
    <t>13,454.10</t>
  </si>
  <si>
    <t>100004250310161658128696048618</t>
  </si>
  <si>
    <t>11 Mar 2025 03:42:14</t>
  </si>
  <si>
    <t>11 Mar 2025</t>
  </si>
  <si>
    <t>12,404.10</t>
  </si>
  <si>
    <t>250311010100640407899668</t>
  </si>
  <si>
    <t>11 Mar 2025 12:46:13</t>
  </si>
  <si>
    <t xml:space="preserve">Transfer from MUHAMMAD ABUBAKAR UMAR | United Bank For Africa | 235****452 | MOB/UTO/Muhammad Abuba/for food/29190657231 </t>
  </si>
  <si>
    <t>17,404.10</t>
  </si>
  <si>
    <t>000004250311134611238475186898</t>
  </si>
  <si>
    <t>11 Mar 2025 13:26:44</t>
  </si>
  <si>
    <t>1,200.00</t>
  </si>
  <si>
    <t>16,204.10</t>
  </si>
  <si>
    <t>250311010100646914497817</t>
  </si>
  <si>
    <t>11 Mar 2025 13:42:55</t>
  </si>
  <si>
    <t xml:space="preserve">Transfer from Midel Digitals and E-commerce Agency - Joshua Osayamen | MONIE POINT | 641****727 | AT129TRF|2MPT3d7eg|1899455992831750144AT129TRF|2MPT3d7eg|1899455992831750144Midel Digita Trf for </t>
  </si>
  <si>
    <t>64,997.00</t>
  </si>
  <si>
    <t>81,201.10</t>
  </si>
  <si>
    <t>090405250311144253767129710040</t>
  </si>
  <si>
    <t>11 Mar 2025 13:43:01</t>
  </si>
  <si>
    <t>81,151.10</t>
  </si>
  <si>
    <t>250311140200647003874308</t>
  </si>
  <si>
    <t>11 Mar 2025 13:45:07</t>
  </si>
  <si>
    <t>17,151.10</t>
  </si>
  <si>
    <t>250311010100647161300247</t>
  </si>
  <si>
    <t>11 Mar 2025 14:02:09</t>
  </si>
  <si>
    <t>16,651.10</t>
  </si>
  <si>
    <t>250311100100647404951474</t>
  </si>
  <si>
    <t>11 Mar 2025 14:22:05</t>
  </si>
  <si>
    <t>16,151.10</t>
  </si>
  <si>
    <t>100004250311142209128748635917</t>
  </si>
  <si>
    <t>11 Mar 2025 15:23:36</t>
  </si>
  <si>
    <t>15,851.10</t>
  </si>
  <si>
    <t>250311010100648669531939</t>
  </si>
  <si>
    <t>11 Mar 2025 15:51:04</t>
  </si>
  <si>
    <t>20,851.10</t>
  </si>
  <si>
    <t>250311010100649047058936</t>
  </si>
  <si>
    <t>11 Mar 2025 17:36:36</t>
  </si>
  <si>
    <t>19,651.10</t>
  </si>
  <si>
    <t>100004250311173642128760038769</t>
  </si>
  <si>
    <t>11 Mar 2025 19:31:29</t>
  </si>
  <si>
    <t>19,451.10</t>
  </si>
  <si>
    <t>250311100100652977887623</t>
  </si>
  <si>
    <t>12 Mar 2025 00:12:27</t>
  </si>
  <si>
    <t>12 Mar 2025</t>
  </si>
  <si>
    <t xml:space="preserve">Transfer to UMAR SALISU | OPay | 7063431547 </t>
  </si>
  <si>
    <t>19,051.10</t>
  </si>
  <si>
    <t>250312010100656012498659</t>
  </si>
  <si>
    <t>12 Mar 2025 04:04:39</t>
  </si>
  <si>
    <t>18,951.10</t>
  </si>
  <si>
    <t>100004250312040443128780146605</t>
  </si>
  <si>
    <t>12 Mar 2025 10:55:17</t>
  </si>
  <si>
    <t xml:space="preserve">Transfer to  T DASUKI ISLAMIC &amp; GENERAL COSMETICS | MONIE POINT | 5534953340 </t>
  </si>
  <si>
    <t>18,351.10</t>
  </si>
  <si>
    <t>100004250312105521128796069736</t>
  </si>
  <si>
    <t>12 Mar 2025 17:43:55</t>
  </si>
  <si>
    <t>18,151.10</t>
  </si>
  <si>
    <t>100004250312174400128821618240</t>
  </si>
  <si>
    <t>12 Mar 2025 17:44:40</t>
  </si>
  <si>
    <t>310.00</t>
  </si>
  <si>
    <t>17,841.10</t>
  </si>
  <si>
    <t>100004250312174444128824166473</t>
  </si>
  <si>
    <t>13 Mar 2025 03:25:01</t>
  </si>
  <si>
    <t>13 Mar 2025</t>
  </si>
  <si>
    <t>16,941.10</t>
  </si>
  <si>
    <t>250313010100671994817091</t>
  </si>
  <si>
    <t>13 Mar 2025 03:28:20</t>
  </si>
  <si>
    <t>16,841.10</t>
  </si>
  <si>
    <t>100004250313032824128838991699</t>
  </si>
  <si>
    <t>13 Mar 2025 04:14:16</t>
  </si>
  <si>
    <t>16,641.10</t>
  </si>
  <si>
    <t>100004250313041420128840560582</t>
  </si>
  <si>
    <t>13 Mar 2025 12:19:47</t>
  </si>
  <si>
    <t xml:space="preserve">Transfer to DANJUMA ISMMAILLA | Momo Payment Service Bank | 8136314786 </t>
  </si>
  <si>
    <t>16,341.10</t>
  </si>
  <si>
    <t>100004250313121951128860255246</t>
  </si>
  <si>
    <t>13 Mar 2025 12:44:12</t>
  </si>
  <si>
    <t xml:space="preserve">Transfer from DAN ABBA DA TAMBAYA ENTERPRISES 2 | MONIE POINT | 469****183 | DAN ABBA DA  Trf for CustomerAT126TRF2MPT5x0ij1900165999419502592AT126TRF2MPT5x0ij19001659994195 </t>
  </si>
  <si>
    <t>18,341.10</t>
  </si>
  <si>
    <t>090405250313134412537126628460</t>
  </si>
  <si>
    <t>13 Mar 2025 15:11:09</t>
  </si>
  <si>
    <t>560.00</t>
  </si>
  <si>
    <t>17,781.10</t>
  </si>
  <si>
    <t>100004250313151116128871403256</t>
  </si>
  <si>
    <t>13 Mar 2025 17:54:34</t>
  </si>
  <si>
    <t>1,010.00</t>
  </si>
  <si>
    <t>16,771.10</t>
  </si>
  <si>
    <t>100004250313175439128881732052</t>
  </si>
  <si>
    <t>14 Mar 2025 09:05:17</t>
  </si>
  <si>
    <t>14 Mar 2025</t>
  </si>
  <si>
    <t>16,571.10</t>
  </si>
  <si>
    <t>250314010100690393747976</t>
  </si>
  <si>
    <t>14 Mar 2025 14:07:45</t>
  </si>
  <si>
    <t>15,571.10</t>
  </si>
  <si>
    <t>250314010100694610985358</t>
  </si>
  <si>
    <t>14 Mar 2025 20:23:24</t>
  </si>
  <si>
    <t>14,971.10</t>
  </si>
  <si>
    <t>250314010100701246912880</t>
  </si>
  <si>
    <t>15 Mar 2025 03:24:25</t>
  </si>
  <si>
    <t>15 Mar 2025</t>
  </si>
  <si>
    <t>14,471.10</t>
  </si>
  <si>
    <t>250315010100703793010793</t>
  </si>
  <si>
    <t>15 Mar 2025 07:35:23</t>
  </si>
  <si>
    <t xml:space="preserve">Transfer from UMAR LUBABATU | Guaranty Trust Bank | 017****293 | NIP Transfer to MUHAMMAD ABUBAKAR UMAR. 000013250315083445000030957955 </t>
  </si>
  <si>
    <t>19,471.10</t>
  </si>
  <si>
    <t>000013250315083445000030957955</t>
  </si>
  <si>
    <t>15 Mar 2025 11:09:35</t>
  </si>
  <si>
    <t>17,471.10</t>
  </si>
  <si>
    <t>100004250315110941128978380163</t>
  </si>
  <si>
    <t>15 Mar 2025 12:52:55</t>
  </si>
  <si>
    <t xml:space="preserve">Transfer from AMINU ABUBAKAR ALIYU | OPay | 703****582 </t>
  </si>
  <si>
    <t>21,971.10</t>
  </si>
  <si>
    <t>250315010100709998854818</t>
  </si>
  <si>
    <t>15 Mar 2025 12:58:12</t>
  </si>
  <si>
    <t xml:space="preserve">Transfer from FUNSHO VICTOR MATTHEW | OPay | 813****848 </t>
  </si>
  <si>
    <t>27,971.10</t>
  </si>
  <si>
    <t>250315010100710267445216</t>
  </si>
  <si>
    <t>15 Mar 2025 13:05:42</t>
  </si>
  <si>
    <t>32,471.10</t>
  </si>
  <si>
    <t>250315010100710041761015</t>
  </si>
  <si>
    <t>15 Mar 2025 13:08:11</t>
  </si>
  <si>
    <t>21,000.00</t>
  </si>
  <si>
    <t>11,471.10</t>
  </si>
  <si>
    <t>250315010100710240564843</t>
  </si>
  <si>
    <t>15 Mar 2025 13:19:26</t>
  </si>
  <si>
    <t>16,471.10</t>
  </si>
  <si>
    <t>250315010100710432429182</t>
  </si>
  <si>
    <t>15 Mar 2025 13:20:20</t>
  </si>
  <si>
    <t xml:space="preserve">Transfer to SAHABI ADAMU | OPay | 8139058891 </t>
  </si>
  <si>
    <t>2,800.00</t>
  </si>
  <si>
    <t>13,671.10</t>
  </si>
  <si>
    <t>250315010100710332873775</t>
  </si>
  <si>
    <t>15 Mar 2025 13:26:42</t>
  </si>
  <si>
    <t xml:space="preserve">Transfer to KHAMIS ADAM AMMANI | Access Bank | 0093067750 </t>
  </si>
  <si>
    <t>7,000.00</t>
  </si>
  <si>
    <t>6,671.10</t>
  </si>
  <si>
    <t>100004250315132647128986703924</t>
  </si>
  <si>
    <t>15 Mar 2025 15:02:55</t>
  </si>
  <si>
    <t>6,371.10</t>
  </si>
  <si>
    <t>100004250315150300128993075996</t>
  </si>
  <si>
    <t>15 Mar 2025 15:03:32</t>
  </si>
  <si>
    <t>4,371.10</t>
  </si>
  <si>
    <t>250315010100712106284908</t>
  </si>
  <si>
    <t>15 Mar 2025 15:05:47</t>
  </si>
  <si>
    <t>4,161.10</t>
  </si>
  <si>
    <t>100004250315150553128995141103</t>
  </si>
  <si>
    <t>15 Mar 2025 15:46:54</t>
  </si>
  <si>
    <t xml:space="preserve">Transfer from MUHAMMAD ABUBAKAR UMAR | United Bank For Africa | 235****452 | MOB/UTO/Muhammad Abuba/for food/29294669302 </t>
  </si>
  <si>
    <t>4,200.00</t>
  </si>
  <si>
    <t>8,361.10</t>
  </si>
  <si>
    <t>000004250315164653797674822190</t>
  </si>
  <si>
    <t>15 Mar 2025 17:02:26</t>
  </si>
  <si>
    <t>6,851.10</t>
  </si>
  <si>
    <t>100004250315170230129001660687</t>
  </si>
  <si>
    <t>15 Mar 2025 17:24:09</t>
  </si>
  <si>
    <t>6,351.10</t>
  </si>
  <si>
    <t>250315010100714136663236</t>
  </si>
  <si>
    <t>15 Mar 2025 18:57:28</t>
  </si>
  <si>
    <t>6,241.10</t>
  </si>
  <si>
    <t>100004250315185733129010080443</t>
  </si>
  <si>
    <t>16 Mar 2025 03:43:14</t>
  </si>
  <si>
    <t>16 Mar 2025</t>
  </si>
  <si>
    <t>5,091.10</t>
  </si>
  <si>
    <t>250316010100720154228723</t>
  </si>
  <si>
    <t>16 Mar 2025 03:43:51</t>
  </si>
  <si>
    <t>4,741.10</t>
  </si>
  <si>
    <t>100004250316034356129024692231</t>
  </si>
  <si>
    <t>16 Mar 2025 15:56:56</t>
  </si>
  <si>
    <t>7,741.10</t>
  </si>
  <si>
    <t>250316010100727957463539</t>
  </si>
  <si>
    <t>16 Mar 2025 17:24:57</t>
  </si>
  <si>
    <t xml:space="preserve">Transfer to USMAN RABIU | MONIE POINT | 5454499401 </t>
  </si>
  <si>
    <t>7,341.10</t>
  </si>
  <si>
    <t>100004250316172501129059902839</t>
  </si>
  <si>
    <t>16 Mar 2025 18:04:20</t>
  </si>
  <si>
    <t xml:space="preserve">Transfer to  FINE TIME SHISHA PALACE  | MONIE POINT | 8162979610 </t>
  </si>
  <si>
    <t>6,541.10</t>
  </si>
  <si>
    <t>100004250316180424129061625016</t>
  </si>
  <si>
    <t>16 Mar 2025 18:05:07</t>
  </si>
  <si>
    <t>6,331.10</t>
  </si>
  <si>
    <t>100004250316180512129061378825</t>
  </si>
  <si>
    <t>16 Mar 2025 18:46:02</t>
  </si>
  <si>
    <t>5,731.10</t>
  </si>
  <si>
    <t>250316010100730606784349</t>
  </si>
  <si>
    <t>16 Mar 2025 18:49:57</t>
  </si>
  <si>
    <t>5,471.10</t>
  </si>
  <si>
    <t>100004250316185001129064472723</t>
  </si>
  <si>
    <t>16 Mar 2025 19:36:23</t>
  </si>
  <si>
    <t>250316100100731311262477</t>
  </si>
  <si>
    <t>17 Mar 2025 03:32:35</t>
  </si>
  <si>
    <t>17 Mar 2025</t>
  </si>
  <si>
    <t>4,071.10</t>
  </si>
  <si>
    <t>250317010100734547682037</t>
  </si>
  <si>
    <t>17 Mar 2025 03:32:36</t>
  </si>
  <si>
    <t>4,471.10</t>
  </si>
  <si>
    <t>250317010100734554197800</t>
  </si>
  <si>
    <t>17 Mar 2025 17:19:04</t>
  </si>
  <si>
    <t>3,271.10</t>
  </si>
  <si>
    <t>250317010100744533907548</t>
  </si>
  <si>
    <t>17 Mar 2025 18:46:26</t>
  </si>
  <si>
    <t>2,721.10</t>
  </si>
  <si>
    <t>100004250317184631129123289264</t>
  </si>
  <si>
    <t>17 Mar 2025 19:37:04</t>
  </si>
  <si>
    <t>5,721.10</t>
  </si>
  <si>
    <t>250317010100746894891767</t>
  </si>
  <si>
    <t>18 Mar 2025 03:41:04</t>
  </si>
  <si>
    <t>18 Mar 2025</t>
  </si>
  <si>
    <t>5,421.10</t>
  </si>
  <si>
    <t>100004250318034108129136933229</t>
  </si>
  <si>
    <t>18 Mar 2025 04:05:22</t>
  </si>
  <si>
    <t>5,021.10</t>
  </si>
  <si>
    <t>100004250318040527129137867832</t>
  </si>
  <si>
    <t>18 Mar 2025 04:07:34</t>
  </si>
  <si>
    <t xml:space="preserve">Transfer from AMINA HARUNA | MONIE POINT | 101****705 | Rvsl of Trf to AMINA H/AT68_APR_TRSFAP_TRSF57302531581901847396852117504001 </t>
  </si>
  <si>
    <t>090405250318050733935841479063</t>
  </si>
  <si>
    <t>18 Mar 2025 04:08:19</t>
  </si>
  <si>
    <t>100004250318040823129136839925</t>
  </si>
  <si>
    <t>18 Mar 2025 07:56:04</t>
  </si>
  <si>
    <t>4,811.10</t>
  </si>
  <si>
    <t>100004250318075608129142952980</t>
  </si>
  <si>
    <t>18 Mar 2025 09:43:01</t>
  </si>
  <si>
    <t>4,551.10</t>
  </si>
  <si>
    <t>100004250318094305129149210213</t>
  </si>
  <si>
    <t>18 Mar 2025 16:47:28</t>
  </si>
  <si>
    <t>3,851.10</t>
  </si>
  <si>
    <t>250318010100759370786266</t>
  </si>
  <si>
    <t>18 Mar 2025 17:05:30</t>
  </si>
  <si>
    <t>4,291.10</t>
  </si>
  <si>
    <t>250318010100759816960135</t>
  </si>
  <si>
    <t>18 Mar 2025 17:06:21</t>
  </si>
  <si>
    <t>670.00</t>
  </si>
  <si>
    <t>3,621.10</t>
  </si>
  <si>
    <t>100004250318170626129177354037</t>
  </si>
  <si>
    <t>18 Mar 2025 17:27:08</t>
  </si>
  <si>
    <t xml:space="preserve">Transfer to RUKKAYAH UMAR ABUBAKAR | OPay | 9043174092 </t>
  </si>
  <si>
    <t>3,121.10</t>
  </si>
  <si>
    <t>250318010100760032687389</t>
  </si>
  <si>
    <t>18 Mar 2025 18:30:30</t>
  </si>
  <si>
    <t>2,911.10</t>
  </si>
  <si>
    <t>100004250318183036129183006833</t>
  </si>
  <si>
    <t>19 Mar 2025 09:01:59</t>
  </si>
  <si>
    <t>19 Mar 2025</t>
  </si>
  <si>
    <t>3,311.10</t>
  </si>
  <si>
    <t>250319010100768341139646</t>
  </si>
  <si>
    <t>19 Mar 2025 09:02:33</t>
  </si>
  <si>
    <t>100004250319090237129206360738</t>
  </si>
  <si>
    <t>19 Mar 2025 16:41:31</t>
  </si>
  <si>
    <t>7,911.10</t>
  </si>
  <si>
    <t>250319010100774675181661</t>
  </si>
  <si>
    <t>19 Mar 2025 16:58:45</t>
  </si>
  <si>
    <t>7,211.10</t>
  </si>
  <si>
    <t>250319010100775028790267</t>
  </si>
  <si>
    <t>19 Mar 2025 17:01:56</t>
  </si>
  <si>
    <t>250319010100775141441403</t>
  </si>
  <si>
    <t>19 Mar 2025 17:28:10</t>
  </si>
  <si>
    <t>6,411.10</t>
  </si>
  <si>
    <t>250319010100775674105844</t>
  </si>
  <si>
    <t>19 Mar 2025 17:46:44</t>
  </si>
  <si>
    <t>5,511.10</t>
  </si>
  <si>
    <t>100004250319174648129239719709</t>
  </si>
  <si>
    <t>20 Mar 2025 10:00:04</t>
  </si>
  <si>
    <t>20 Mar 2025</t>
  </si>
  <si>
    <t xml:space="preserve">Transfer from JIBRIN+YUNUS+YUSUF | FCMB(First City Monument Bank PLC) | 200****345 | QR TRF FRM JIBRIN YUNUS YUSUF </t>
  </si>
  <si>
    <t>10,511.10</t>
  </si>
  <si>
    <t>09FG250320105933262UCUG8K</t>
  </si>
  <si>
    <t>20 Mar 2025 10:36:53</t>
  </si>
  <si>
    <t>250320010100785008166972</t>
  </si>
  <si>
    <t>20 Mar 2025 16:07:30</t>
  </si>
  <si>
    <t>8,511.10</t>
  </si>
  <si>
    <t>100004250320160742129291541192</t>
  </si>
  <si>
    <t>20 Mar 2025 18:16:20</t>
  </si>
  <si>
    <t>3,511.10</t>
  </si>
  <si>
    <t>100004250320181624129300220713</t>
  </si>
  <si>
    <t>21 Mar 2025 11:11:50</t>
  </si>
  <si>
    <t>21 Mar 2025</t>
  </si>
  <si>
    <t xml:space="preserve">Transfer from ALKASIM ABDULRAHMAN IBRAHIM | Kuda MFB | 300****520 | Sent from Kuda Business </t>
  </si>
  <si>
    <t>161,343.00</t>
  </si>
  <si>
    <t>164,854.10</t>
  </si>
  <si>
    <t>090267250321111150138000655520</t>
  </si>
  <si>
    <t>21 Mar 2025 11:11:56</t>
  </si>
  <si>
    <t>164,804.10</t>
  </si>
  <si>
    <t>250321140200801244112868</t>
  </si>
  <si>
    <t>21 Mar 2025 11:13:46</t>
  </si>
  <si>
    <t>129,800.00</t>
  </si>
  <si>
    <t>35,004.10</t>
  </si>
  <si>
    <t>250321010100801215064606</t>
  </si>
  <si>
    <t>21 Mar 2025 11:14:15</t>
  </si>
  <si>
    <t>28,004.10</t>
  </si>
  <si>
    <t>250321010100801347358722</t>
  </si>
  <si>
    <t>21 Mar 2025 11:19:46</t>
  </si>
  <si>
    <t>23,004.10</t>
  </si>
  <si>
    <t>100004250321111951129333139092</t>
  </si>
  <si>
    <t>21 Mar 2025 11:25:16</t>
  </si>
  <si>
    <t>22,504.10</t>
  </si>
  <si>
    <t>250321100100801424755625</t>
  </si>
  <si>
    <t>21 Mar 2025 12:06:50</t>
  </si>
  <si>
    <t>22,004.10</t>
  </si>
  <si>
    <t>250321010100801936674578</t>
  </si>
  <si>
    <t>21 Mar 2025 15:24:06</t>
  </si>
  <si>
    <t xml:space="preserve">Transfer to FUNSHO VICTOR MATTHEW | OPay | 8130151848 </t>
  </si>
  <si>
    <t>19,504.10</t>
  </si>
  <si>
    <t>250321010100804842480786</t>
  </si>
  <si>
    <t>21 Mar 2025 16:00:07</t>
  </si>
  <si>
    <t>19,004.10</t>
  </si>
  <si>
    <t>250321010100805484956860</t>
  </si>
  <si>
    <t>21 Mar 2025 16:35:32</t>
  </si>
  <si>
    <t xml:space="preserve">Transfer from SULAIMAN SULAIMAN GALADIMA | Palmpay | 701****518 | SULAIMAN SULAIMAN GALADIMA:7019692518 </t>
  </si>
  <si>
    <t>24,004.10</t>
  </si>
  <si>
    <t>100033250321163532810524550534</t>
  </si>
  <si>
    <t>21 Mar 2025 16:43:27</t>
  </si>
  <si>
    <t>19,804.10</t>
  </si>
  <si>
    <t>250321010100806197077967</t>
  </si>
  <si>
    <t>21 Mar 2025 21:32:28</t>
  </si>
  <si>
    <t>19,404.10</t>
  </si>
  <si>
    <t>100004250321213250129373736500</t>
  </si>
  <si>
    <t>22 Mar 2025 08:53:57</t>
  </si>
  <si>
    <t>22 Mar 2025</t>
  </si>
  <si>
    <t>1,800.00</t>
  </si>
  <si>
    <t>17,604.10</t>
  </si>
  <si>
    <t>250322010100814695058084</t>
  </si>
  <si>
    <t>22 Mar 2025 09:24:12</t>
  </si>
  <si>
    <t>15,504.10</t>
  </si>
  <si>
    <t>100004250322092418129386152188</t>
  </si>
  <si>
    <t>22 Mar 2025 10:01:07</t>
  </si>
  <si>
    <t xml:space="preserve">Transfer to MANNIRU NUHU | OPay | 9120722131 </t>
  </si>
  <si>
    <t>15,404.10</t>
  </si>
  <si>
    <t>250322010100815774148804</t>
  </si>
  <si>
    <t>22 Mar 2025 11:03:37</t>
  </si>
  <si>
    <t xml:space="preserve">Transfer to CHRISTIAN UGOCHUKWU OFFIA | Palmpay | 9554032351 </t>
  </si>
  <si>
    <t>13,404.10</t>
  </si>
  <si>
    <t>100004250322110342129392336084</t>
  </si>
  <si>
    <t>22 Mar 2025 11:22:10</t>
  </si>
  <si>
    <t xml:space="preserve">Transfer to IBRAHIM MUSA | OPay | 9161318817 </t>
  </si>
  <si>
    <t>12,904.10</t>
  </si>
  <si>
    <t>250322010100816954228323</t>
  </si>
  <si>
    <t>22 Mar 2025 12:14:13</t>
  </si>
  <si>
    <t>11,904.10</t>
  </si>
  <si>
    <t>100004250322121428129397406130</t>
  </si>
  <si>
    <t>22 Mar 2025 17:44:56</t>
  </si>
  <si>
    <t>11,044.10</t>
  </si>
  <si>
    <t>100004250322174500129418467310</t>
  </si>
  <si>
    <t>23 Mar 2025 10:36:34</t>
  </si>
  <si>
    <t>23 Mar 2025</t>
  </si>
  <si>
    <t>9,544.10</t>
  </si>
  <si>
    <t>250323010100831205234486</t>
  </si>
  <si>
    <t>23 Mar 2025 15:38:39</t>
  </si>
  <si>
    <t>8,744.10</t>
  </si>
  <si>
    <t>250323010100835287860699</t>
  </si>
  <si>
    <t>23 Mar 2025 17:32:42</t>
  </si>
  <si>
    <t>8,294.10</t>
  </si>
  <si>
    <t>100004250323173246129469805868</t>
  </si>
  <si>
    <t>23 Mar 2025 22:05:30</t>
  </si>
  <si>
    <t>7,294.10</t>
  </si>
  <si>
    <t>250323010100841005686420</t>
  </si>
  <si>
    <t>24 Mar 2025 09:37:35</t>
  </si>
  <si>
    <t>24 Mar 2025</t>
  </si>
  <si>
    <t>6,744.10</t>
  </si>
  <si>
    <t>100004250324093741129499429395</t>
  </si>
  <si>
    <t>24 Mar 2025 13:24:34</t>
  </si>
  <si>
    <t>6,544.10</t>
  </si>
  <si>
    <t>250324100100848635798801</t>
  </si>
  <si>
    <t>24 Mar 2025 14:39:58</t>
  </si>
  <si>
    <t xml:space="preserve">Transfer from MUHAMMAD  ALIYU | Palmpay | 813****342 | MUHAMMAD  ALIYU:8136401342 </t>
  </si>
  <si>
    <t>63,421.00</t>
  </si>
  <si>
    <t>69,965.10</t>
  </si>
  <si>
    <t>100033250324143958090122892956</t>
  </si>
  <si>
    <t>24 Mar 2025 14:40:04</t>
  </si>
  <si>
    <t>69,915.10</t>
  </si>
  <si>
    <t>250324140200849434503009</t>
  </si>
  <si>
    <t>24 Mar 2025 14:41:25</t>
  </si>
  <si>
    <t>63,000.00</t>
  </si>
  <si>
    <t>6,915.10</t>
  </si>
  <si>
    <t>250324010100849537493153</t>
  </si>
  <si>
    <t>24 Mar 2025 14:48:16</t>
  </si>
  <si>
    <t>4,815.10</t>
  </si>
  <si>
    <t>100004250324144820129517375786</t>
  </si>
  <si>
    <t>24 Mar 2025 14:58:31</t>
  </si>
  <si>
    <t>3,915.10</t>
  </si>
  <si>
    <t>250324010100849966373824</t>
  </si>
  <si>
    <t>25 Mar 2025 03:33:31</t>
  </si>
  <si>
    <t>25 Mar 2025</t>
  </si>
  <si>
    <t xml:space="preserve">Transfer from UMAR MUHAMMAD ABUBAKAR | Guaranty Trust Bank | 032****140 | NIP Transfer to MUHAMMAD ABUBAKAR UMAR. 000013250325043241000050276987 </t>
  </si>
  <si>
    <t>23,915.10</t>
  </si>
  <si>
    <t>000013250325043241000050276987</t>
  </si>
  <si>
    <t>25 Mar 2025 03:33:36</t>
  </si>
  <si>
    <t>23,865.10</t>
  </si>
  <si>
    <t>250325140200857812815340</t>
  </si>
  <si>
    <t>25 Mar 2025 03:40:58</t>
  </si>
  <si>
    <t>1,580.00</t>
  </si>
  <si>
    <t>22,285.10</t>
  </si>
  <si>
    <t>250325010100857838223739</t>
  </si>
  <si>
    <t>25 Mar 2025 03:42:47</t>
  </si>
  <si>
    <t>21,785.10</t>
  </si>
  <si>
    <t>250325100100857861386171</t>
  </si>
  <si>
    <t>25 Mar 2025 15:18:27</t>
  </si>
  <si>
    <t>20,285.10</t>
  </si>
  <si>
    <t>250325010100866130095780</t>
  </si>
  <si>
    <t>25 Mar 2025 17:44:22</t>
  </si>
  <si>
    <t>18,885.10</t>
  </si>
  <si>
    <t>100004250325174427129589099705</t>
  </si>
  <si>
    <t>25 Mar 2025 18:06:04</t>
  </si>
  <si>
    <t>13,885.10</t>
  </si>
  <si>
    <t>100004250325180608129592857674</t>
  </si>
  <si>
    <t>26 Mar 2025 04:10:14</t>
  </si>
  <si>
    <t>26 Mar 2025</t>
  </si>
  <si>
    <t>12,885.10</t>
  </si>
  <si>
    <t>250326010100874026640805</t>
  </si>
  <si>
    <t>26 Mar 2025 14:27:49</t>
  </si>
  <si>
    <t xml:space="preserve">Transfer to BENARDINE AMARACHI AJIBO | Palmpay | 9034728234 </t>
  </si>
  <si>
    <t>11,885.10</t>
  </si>
  <si>
    <t>100004250326142754129636860942</t>
  </si>
  <si>
    <t>26 Mar 2025 16:29:02</t>
  </si>
  <si>
    <t>11,385.10</t>
  </si>
  <si>
    <t>100004250326162913129646161978</t>
  </si>
  <si>
    <t>26 Mar 2025 16:52:56</t>
  </si>
  <si>
    <t>11,185.10</t>
  </si>
  <si>
    <t>250326010100883757930645</t>
  </si>
  <si>
    <t>26 Mar 2025 19:05:19</t>
  </si>
  <si>
    <t xml:space="preserve">Transfer to AISHA KAMILU MUHAMMAD | OPay | 7010110981 </t>
  </si>
  <si>
    <t>10,185.10</t>
  </si>
  <si>
    <t>250326010100885975035755</t>
  </si>
  <si>
    <t>26 Mar 2025 20:23:11</t>
  </si>
  <si>
    <t xml:space="preserve">Transfer from ABDULAZEEZ SALEH | OPay | 706****877 </t>
  </si>
  <si>
    <t>12,185.10</t>
  </si>
  <si>
    <t>250326010100887419193885</t>
  </si>
  <si>
    <t>27 Mar 2025 09:24:07</t>
  </si>
  <si>
    <t>27 Mar 2025</t>
  </si>
  <si>
    <t>11,685.10</t>
  </si>
  <si>
    <t>250327100100893006334402</t>
  </si>
  <si>
    <t>27 Mar 2025 16:10:48</t>
  </si>
  <si>
    <t xml:space="preserve">Mobile Data | 7033715966 | DataMtn | 1GB Daily Plan + 1.5mins </t>
  </si>
  <si>
    <t>250327110100899152109456</t>
  </si>
  <si>
    <t>27 Mar 2025 16:14:45</t>
  </si>
  <si>
    <t>10,685.10</t>
  </si>
  <si>
    <t>100004250327161450129705853756</t>
  </si>
  <si>
    <t>27 Mar 2025 16:16:05</t>
  </si>
  <si>
    <t>9,685.10</t>
  </si>
  <si>
    <t>250327010100899422578743</t>
  </si>
  <si>
    <t>27 Mar 2025 16:21:58</t>
  </si>
  <si>
    <t>7,585.10</t>
  </si>
  <si>
    <t>100004250327162204129707222087</t>
  </si>
  <si>
    <t>28 Mar 2025 09:43:20</t>
  </si>
  <si>
    <t>28 Mar 2025</t>
  </si>
  <si>
    <t xml:space="preserve">Transfer from SULEIMAN ABBA JAMO | Stanbic-ibtc Bank Plc | 003****479 | MUHAMMAD ABUBAKAR UM </t>
  </si>
  <si>
    <t>10,585.10</t>
  </si>
  <si>
    <t>000012250328104319465680501582</t>
  </si>
  <si>
    <t>28 Mar 2025 13:19:24</t>
  </si>
  <si>
    <t>20,050.00</t>
  </si>
  <si>
    <t>30,635.10</t>
  </si>
  <si>
    <t>250328010100913435308659</t>
  </si>
  <si>
    <t>28 Mar 2025 13:19:31</t>
  </si>
  <si>
    <t>30,585.10</t>
  </si>
  <si>
    <t>250328140200913585591225</t>
  </si>
  <si>
    <t>28 Mar 2025 14:41:32</t>
  </si>
  <si>
    <t xml:space="preserve">Transfer to CLINTON STEPHEN OMAJARI | OPay | 8143435330 </t>
  </si>
  <si>
    <t>20,585.10</t>
  </si>
  <si>
    <t>250328010100914863004481</t>
  </si>
  <si>
    <t>28 Mar 2025 16:39:38</t>
  </si>
  <si>
    <t>21,085.10</t>
  </si>
  <si>
    <t>250328010100916531949228</t>
  </si>
  <si>
    <t>28 Mar 2025 17:35:37</t>
  </si>
  <si>
    <t xml:space="preserve">Transfer to THANKGOD - ENEMARI | PalmPay | 8160273395 </t>
  </si>
  <si>
    <t>6,100.00</t>
  </si>
  <si>
    <t>14,985.10</t>
  </si>
  <si>
    <t>100004250328173543129780284239</t>
  </si>
  <si>
    <t>28 Mar 2025 17:38:59</t>
  </si>
  <si>
    <t>14,185.10</t>
  </si>
  <si>
    <t>250328010100917882620145</t>
  </si>
  <si>
    <t>29 Mar 2025 06:38:20</t>
  </si>
  <si>
    <t>29 Mar 2025</t>
  </si>
  <si>
    <t>250329010100924445985874</t>
  </si>
  <si>
    <t>29 Mar 2025 17:00:56</t>
  </si>
  <si>
    <t>9,985.10</t>
  </si>
  <si>
    <t>250329100100934520338055</t>
  </si>
  <si>
    <t>29 Mar 2025 19:28:19</t>
  </si>
  <si>
    <t xml:space="preserve">Transfer to Umar Muhammad Abubakar(GSUBZ) | PalmPay | 6660944215 </t>
  </si>
  <si>
    <t>9,085.10</t>
  </si>
  <si>
    <t>100004250329192824129857172711</t>
  </si>
  <si>
    <t>29 Mar 2025 19:39:09</t>
  </si>
  <si>
    <t xml:space="preserve">Transfer from KHAIRAT ZUBAIRU | OPay | 703****966 | thankyou </t>
  </si>
  <si>
    <t>9,485.10</t>
  </si>
  <si>
    <t>250329010100937773760568</t>
  </si>
  <si>
    <t>30 Mar 2025 06:59:53</t>
  </si>
  <si>
    <t>30 Mar 2025</t>
  </si>
  <si>
    <t>8,985.10</t>
  </si>
  <si>
    <t>250330100100942812237795</t>
  </si>
  <si>
    <t>30 Mar 2025 13:27:53</t>
  </si>
  <si>
    <t>3,985.10</t>
  </si>
  <si>
    <t>100004250330132757129892495011</t>
  </si>
  <si>
    <t>30 Mar 2025 18:31:40</t>
  </si>
  <si>
    <t>250330010100952611326756</t>
  </si>
  <si>
    <t>31 Mar 2025 11:02:52</t>
  </si>
  <si>
    <t>31 Mar 2025</t>
  </si>
  <si>
    <t xml:space="preserve">Mobile Data | 7041906444 | DataMtn | 2.5GB 2 Day Plan </t>
  </si>
  <si>
    <t>801.00</t>
  </si>
  <si>
    <t>8,184.10</t>
  </si>
  <si>
    <t>250331110100961510761869</t>
  </si>
  <si>
    <t>31 Mar 2025 11:16:48</t>
  </si>
  <si>
    <t xml:space="preserve">Transfer to AMINA MUHAMMAD SANI | OPay | 9037789000 </t>
  </si>
  <si>
    <t>5,684.10</t>
  </si>
  <si>
    <t>250331010100961778370351</t>
  </si>
  <si>
    <t>01 Apr 2025 09:43:47</t>
  </si>
  <si>
    <t>01 Apr 2025</t>
  </si>
  <si>
    <t xml:space="preserve">Transfer to POS Transfer - MUSA JIBRIN | MONIE POINT | 8163730452 </t>
  </si>
  <si>
    <t>4,784.10</t>
  </si>
  <si>
    <t>100004250401094351129993769480</t>
  </si>
  <si>
    <t>01 Apr 2025 13:53:28</t>
  </si>
  <si>
    <t>4,284.10</t>
  </si>
  <si>
    <t>100004250401135332130008331823</t>
  </si>
  <si>
    <t>02 Apr 2025 11:09:04</t>
  </si>
  <si>
    <t>02 Apr 2025</t>
  </si>
  <si>
    <t>2,784.10</t>
  </si>
  <si>
    <t>100004250402110908130059756420</t>
  </si>
  <si>
    <t>02 Apr 2025 17:18:33</t>
  </si>
  <si>
    <t xml:space="preserve">Transfer to JABIR MUHAMMAD SAEED | Stanbic-ibtc Bank Plc | 0019961319 </t>
  </si>
  <si>
    <t>1,784.10</t>
  </si>
  <si>
    <t>100004250402171837130082525570</t>
  </si>
  <si>
    <t>02 Apr 2025 18:09:38</t>
  </si>
  <si>
    <t>784.10</t>
  </si>
  <si>
    <t>250402010100000723972804</t>
  </si>
  <si>
    <t>03 Apr 2025 10:19:43</t>
  </si>
  <si>
    <t>03 Apr 2025</t>
  </si>
  <si>
    <t>USSD</t>
  </si>
  <si>
    <t>250403010100009582727642</t>
  </si>
  <si>
    <t>03 Apr 2025 10:20:19</t>
  </si>
  <si>
    <t>100004250403102023130114793323</t>
  </si>
  <si>
    <t>04 Apr 2025 05:29:03</t>
  </si>
  <si>
    <t>04 Apr 2025</t>
  </si>
  <si>
    <t>5,784.10</t>
  </si>
  <si>
    <t>250404010100023043591681</t>
  </si>
  <si>
    <t>04 Apr 2025 10:07:59</t>
  </si>
  <si>
    <t>6,584.10</t>
  </si>
  <si>
    <t>250404010100026975190246</t>
  </si>
  <si>
    <t>04 Apr 2025 11:49:33</t>
  </si>
  <si>
    <t>100004250404114938130186582298</t>
  </si>
  <si>
    <t>04 Apr 2025 13:37:29</t>
  </si>
  <si>
    <t xml:space="preserve">Transfer from UMAR AISHA | Guaranty Trust Bank | 023****265 | NIP Transfer to MUHAMMAD ABUBAKAR UMAR. 000013250404143628000074002581 </t>
  </si>
  <si>
    <t>8,784.10</t>
  </si>
  <si>
    <t>000013250404143628000074002581</t>
  </si>
  <si>
    <t>04 Apr 2025 13:37:56</t>
  </si>
  <si>
    <t xml:space="preserve">Transfer to POS Transfer- ABUBAKAR AUWAL | MONIE POINT | 5858664494 </t>
  </si>
  <si>
    <t>2,684.10</t>
  </si>
  <si>
    <t>100004250404133800130192494429</t>
  </si>
  <si>
    <t>05 Apr 2025 05:58:13</t>
  </si>
  <si>
    <t>05 Apr 2025</t>
  </si>
  <si>
    <t>2,184.10</t>
  </si>
  <si>
    <t>250405100100040732242628</t>
  </si>
  <si>
    <t>05 Apr 2025 07:12:55</t>
  </si>
  <si>
    <t>1,034.10</t>
  </si>
  <si>
    <t>100004250405071259130231427655</t>
  </si>
  <si>
    <t>05 Apr 2025 12:41:46</t>
  </si>
  <si>
    <t xml:space="preserve">Transfer from UMAR PETER ALHASSAN | OPay | 907****517 </t>
  </si>
  <si>
    <t>5,034.10</t>
  </si>
  <si>
    <t>250405010100047065478465</t>
  </si>
  <si>
    <t>05 Apr 2025 14:45:23</t>
  </si>
  <si>
    <t>4,534.10</t>
  </si>
  <si>
    <t>250405100100049175780760</t>
  </si>
  <si>
    <t>05 Apr 2025 16:07:57</t>
  </si>
  <si>
    <t>21,250.00</t>
  </si>
  <si>
    <t>25,784.10</t>
  </si>
  <si>
    <t>250405010100050248864715</t>
  </si>
  <si>
    <t>05 Apr 2025 16:08:02</t>
  </si>
  <si>
    <t>25,734.10</t>
  </si>
  <si>
    <t>250405140200050043208512</t>
  </si>
  <si>
    <t>05 Apr 2025 16:09:31</t>
  </si>
  <si>
    <t>27,434.10</t>
  </si>
  <si>
    <t>250405010100050302983415</t>
  </si>
  <si>
    <t>05 Apr 2025 16:10:25</t>
  </si>
  <si>
    <t>6,434.10</t>
  </si>
  <si>
    <t>250405010100050255158965</t>
  </si>
  <si>
    <t>05 Apr 2025 18:12:28</t>
  </si>
  <si>
    <t>100004250405181232130275102824</t>
  </si>
  <si>
    <t>05 Apr 2025 18:27:03</t>
  </si>
  <si>
    <t>3,434.10</t>
  </si>
  <si>
    <t>100004250405182710130275547736</t>
  </si>
  <si>
    <t>05 Apr 2025 19:36:42</t>
  </si>
  <si>
    <t>2,934.10</t>
  </si>
  <si>
    <t>250405010100053880543117</t>
  </si>
  <si>
    <t>06 Apr 2025 06:34:57</t>
  </si>
  <si>
    <t>06 Apr 2025</t>
  </si>
  <si>
    <t>250406010100058219811196</t>
  </si>
  <si>
    <t>06 Apr 2025 08:59:02</t>
  </si>
  <si>
    <t>100004250406085906130300806341</t>
  </si>
  <si>
    <t>06 Apr 2025 09:15:41</t>
  </si>
  <si>
    <t>2,734.10</t>
  </si>
  <si>
    <t>100004250406091546130301847489</t>
  </si>
  <si>
    <t>06 Apr 2025 09:33:50</t>
  </si>
  <si>
    <t xml:space="preserve">Transfer to ABDULBAKI NASURU | OPay | 9049336518 </t>
  </si>
  <si>
    <t>2,434.10</t>
  </si>
  <si>
    <t>250406010100060360797573</t>
  </si>
  <si>
    <t>06 Apr 2025 09:41:36</t>
  </si>
  <si>
    <t xml:space="preserve">Transfer to  Shannon communication center dambare | MONIE POINT | 8235285192 | The  </t>
  </si>
  <si>
    <t>1,884.10</t>
  </si>
  <si>
    <t>100004250406094141130302874124</t>
  </si>
  <si>
    <t>06 Apr 2025 10:35:49</t>
  </si>
  <si>
    <t>1,424.10</t>
  </si>
  <si>
    <t>100004250406103555130305388347</t>
  </si>
  <si>
    <t>06 Apr 2025 21:10:40</t>
  </si>
  <si>
    <t>1,314.10</t>
  </si>
  <si>
    <t>100004250406211045130342654540</t>
  </si>
  <si>
    <t>06 Apr 2025 22:19:35</t>
  </si>
  <si>
    <t>250406100100071858437635</t>
  </si>
  <si>
    <t>06 Apr 2025 23:10:09</t>
  </si>
  <si>
    <t>914.10</t>
  </si>
  <si>
    <t>250406100100071983853796</t>
  </si>
  <si>
    <t>07 Apr 2025 05:47:02</t>
  </si>
  <si>
    <t>07 Apr 2025</t>
  </si>
  <si>
    <t>250407100100072809036204</t>
  </si>
  <si>
    <t>07 Apr 2025 08:15:30</t>
  </si>
  <si>
    <t xml:space="preserve">Transfer from NEOCLASS GLOBAL SERVICES NEOCLASS GLOBA | Sterling Bank | 051****291 | Transfer from NEOCLASS GLOBAL SERVICES NEOCLASS GLOBA to MUHAMMAD ABUBAKAR UMAR </t>
  </si>
  <si>
    <t>781,135.00</t>
  </si>
  <si>
    <t>781,849.10</t>
  </si>
  <si>
    <t>000001250407091522698846963058</t>
  </si>
  <si>
    <t>07 Apr 2025 08:15:35</t>
  </si>
  <si>
    <t>781,799.10</t>
  </si>
  <si>
    <t>250407140200074666377075</t>
  </si>
  <si>
    <t>07 Apr 2025 08:17:11</t>
  </si>
  <si>
    <t>781,000.00</t>
  </si>
  <si>
    <t>799.10</t>
  </si>
  <si>
    <t>250407010100074823484290</t>
  </si>
  <si>
    <t>07 Apr 2025 17:54:51</t>
  </si>
  <si>
    <t>149.10</t>
  </si>
  <si>
    <t>250407010100083764570579</t>
  </si>
  <si>
    <t>07 Apr 2025 18:21:34</t>
  </si>
  <si>
    <t>49.10</t>
  </si>
  <si>
    <t>250407100100084210866984</t>
  </si>
  <si>
    <t>09 Apr 2025 22:42:44</t>
  </si>
  <si>
    <t>09 Apr 2025</t>
  </si>
  <si>
    <t xml:space="preserve">Transfer from UMAR MUHAMMAD ABUBAKAR | Guaranty Trust Bank | 032****140 | NIP Transfer to MUHAMMAD ABUBAKAR UMAR. 000013250409234225000085442446 </t>
  </si>
  <si>
    <t>20,049.10</t>
  </si>
  <si>
    <t>000013250409234225000085442446</t>
  </si>
  <si>
    <t>09 Apr 2025 22:42:49</t>
  </si>
  <si>
    <t>19,999.10</t>
  </si>
  <si>
    <t>250409140200121431075694</t>
  </si>
  <si>
    <t>09 Apr 2025 22:46:29</t>
  </si>
  <si>
    <t>7,999.10</t>
  </si>
  <si>
    <t>250409100100121434277710</t>
  </si>
  <si>
    <t>09 Apr 2025 23:16:19</t>
  </si>
  <si>
    <t>7,499.10</t>
  </si>
  <si>
    <t>250409100100121895953157</t>
  </si>
  <si>
    <t>10 Apr 2025 07:54:54</t>
  </si>
  <si>
    <t>10 Apr 2025</t>
  </si>
  <si>
    <t>62,000.00</t>
  </si>
  <si>
    <t>69,499.10</t>
  </si>
  <si>
    <t>250410010100123876121089</t>
  </si>
  <si>
    <t>10 Apr 2025 07:55:00</t>
  </si>
  <si>
    <t>69,449.10</t>
  </si>
  <si>
    <t>250410140200124003422651</t>
  </si>
  <si>
    <t>10 Apr 2025 07:56:35</t>
  </si>
  <si>
    <t xml:space="preserve">Fixed Deposit </t>
  </si>
  <si>
    <t>39,449.10</t>
  </si>
  <si>
    <t>250410140200123785276101</t>
  </si>
  <si>
    <t>10 Apr 2025 09:07:23</t>
  </si>
  <si>
    <t xml:space="preserve">Transfer to  AL FURQAN RESTAURANT 1 | MONIE POINT | 5528042357 </t>
  </si>
  <si>
    <t>1,600.00</t>
  </si>
  <si>
    <t>37,849.10</t>
  </si>
  <si>
    <t>100004250410090727130543238560</t>
  </si>
  <si>
    <t>10 Apr 2025 10:17:08</t>
  </si>
  <si>
    <t>22,849.10</t>
  </si>
  <si>
    <t>250410010100126126118431</t>
  </si>
  <si>
    <t>10 Apr 2025 12:46:00</t>
  </si>
  <si>
    <t xml:space="preserve">Transfer to MUHAMMAD SHEHU SAMBO | OPay | 9012551250 </t>
  </si>
  <si>
    <t>12,849.10</t>
  </si>
  <si>
    <t>250410010100128559845475</t>
  </si>
  <si>
    <t>10 Apr 2025 22:51:10</t>
  </si>
  <si>
    <t xml:space="preserve">Transfer to MICHALLE DIDAMS MAISAMARI | OPay | 9162882444 </t>
  </si>
  <si>
    <t>11,349.10</t>
  </si>
  <si>
    <t>250410010100137985354533</t>
  </si>
  <si>
    <t>11 Apr 2025 07:26:46</t>
  </si>
  <si>
    <t>11 Apr 2025</t>
  </si>
  <si>
    <t>10,749.10</t>
  </si>
  <si>
    <t>250411010100139666114795</t>
  </si>
  <si>
    <t>11 Apr 2025 07:28:21</t>
  </si>
  <si>
    <t>8,549.10</t>
  </si>
  <si>
    <t>250411010100139814080420</t>
  </si>
  <si>
    <t>11 Apr 2025 16:57:32</t>
  </si>
  <si>
    <t xml:space="preserve">Transfer to MUAZU HARUNA | PalmPay | 8901514679 </t>
  </si>
  <si>
    <t>7,349.10</t>
  </si>
  <si>
    <t>100004250411165736130637061514</t>
  </si>
  <si>
    <t>12 Apr 2025 13:14:33</t>
  </si>
  <si>
    <t>12 Apr 2025</t>
  </si>
  <si>
    <t>9,349.10</t>
  </si>
  <si>
    <t>250412010100162239005184</t>
  </si>
  <si>
    <t>12 Apr 2025 13:17:29</t>
  </si>
  <si>
    <t>8,749.10</t>
  </si>
  <si>
    <t>100004250412131734130684778139</t>
  </si>
  <si>
    <t>12 Apr 2025 15:47:32</t>
  </si>
  <si>
    <t xml:space="preserve">Transfer from HARUNA MOHAMMED ENTERPRISE SERVICES	 | Kuda MFB | 300****812 | Sent from Kuda Business </t>
  </si>
  <si>
    <t>303,693.00</t>
  </si>
  <si>
    <t>312,442.10</t>
  </si>
  <si>
    <t>090267250412154731414000196812</t>
  </si>
  <si>
    <t>12 Apr 2025 15:47:37</t>
  </si>
  <si>
    <t>312,392.10</t>
  </si>
  <si>
    <t>250412140200164557424611</t>
  </si>
  <si>
    <t>12 Apr 2025 15:48:49</t>
  </si>
  <si>
    <t>271,600.00</t>
  </si>
  <si>
    <t>40,792.10</t>
  </si>
  <si>
    <t>250412010100164610192083</t>
  </si>
  <si>
    <t>12 Apr 2025 16:03:56</t>
  </si>
  <si>
    <t>37,792.10</t>
  </si>
  <si>
    <t>250412010100164953003778</t>
  </si>
  <si>
    <t>12 Apr 2025 16:06:58</t>
  </si>
  <si>
    <t>35,692.10</t>
  </si>
  <si>
    <t>100004250412160703130695545597</t>
  </si>
  <si>
    <t>12 Apr 2025 16:16:48</t>
  </si>
  <si>
    <t>35,192.10</t>
  </si>
  <si>
    <t>250412100100165199059684</t>
  </si>
  <si>
    <t>12 Apr 2025 16:48:48</t>
  </si>
  <si>
    <t xml:space="preserve">Transfer to  HASHIMU - AHMED | MONIE POINT | 6897831740 </t>
  </si>
  <si>
    <t>32,092.10</t>
  </si>
  <si>
    <t>100004250412164854130699358195</t>
  </si>
  <si>
    <t>12 Apr 2025 18:28:38</t>
  </si>
  <si>
    <t>5,810.00</t>
  </si>
  <si>
    <t>26,282.10</t>
  </si>
  <si>
    <t>100004250412182845130706000408</t>
  </si>
  <si>
    <t>12 Apr 2025 18:35:07</t>
  </si>
  <si>
    <t>24,072.10</t>
  </si>
  <si>
    <t>100004250412183517130706338154</t>
  </si>
  <si>
    <t>12 Apr 2025 21:56:55</t>
  </si>
  <si>
    <t>23,962.10</t>
  </si>
  <si>
    <t>100004250412215701130718420553</t>
  </si>
  <si>
    <t>13 Apr 2025 09:13:47</t>
  </si>
  <si>
    <t>13 Apr 2025</t>
  </si>
  <si>
    <t>1,030.00</t>
  </si>
  <si>
    <t>22,932.10</t>
  </si>
  <si>
    <t>100004250413091353130730201749</t>
  </si>
  <si>
    <t>13 Apr 2025 13:30:08</t>
  </si>
  <si>
    <t>12,932.10</t>
  </si>
  <si>
    <t>250413010100178600630860</t>
  </si>
  <si>
    <t>13 Apr 2025 16:48:48</t>
  </si>
  <si>
    <t>11,932.10</t>
  </si>
  <si>
    <t>250413010100181282126100</t>
  </si>
  <si>
    <t>13 Apr 2025 20:22:29</t>
  </si>
  <si>
    <t>10,932.10</t>
  </si>
  <si>
    <t>250413010100184906723513</t>
  </si>
  <si>
    <t>13 Apr 2025 21:31:24</t>
  </si>
  <si>
    <t>10,782.10</t>
  </si>
  <si>
    <t>100004250413213133130771289735</t>
  </si>
  <si>
    <t>14 Apr 2025 05:57:58</t>
  </si>
  <si>
    <t>14 Apr 2025</t>
  </si>
  <si>
    <t>15,782.10</t>
  </si>
  <si>
    <t>250414010100187750443107</t>
  </si>
  <si>
    <t>14 Apr 2025 08:19:12</t>
  </si>
  <si>
    <t>13,782.10</t>
  </si>
  <si>
    <t>250414010100189395828011</t>
  </si>
  <si>
    <t>14 Apr 2025 08:49:38</t>
  </si>
  <si>
    <t>13,282.10</t>
  </si>
  <si>
    <t>250414100100189989865193</t>
  </si>
  <si>
    <t>14 Apr 2025 10:05:42</t>
  </si>
  <si>
    <t>11,882.10</t>
  </si>
  <si>
    <t>100004250414100548130789903903</t>
  </si>
  <si>
    <t>14 Apr 2025 11:39:40</t>
  </si>
  <si>
    <t>1,850.00</t>
  </si>
  <si>
    <t>10,032.10</t>
  </si>
  <si>
    <t>100004250414113946130795071711</t>
  </si>
  <si>
    <t>14 Apr 2025 13:02:20</t>
  </si>
  <si>
    <t>7,032.10</t>
  </si>
  <si>
    <t>250414010100193952545205</t>
  </si>
  <si>
    <t>14 Apr 2025 15:51:46</t>
  </si>
  <si>
    <t>6,032.10</t>
  </si>
  <si>
    <t>250414010100196536988625</t>
  </si>
  <si>
    <t>14 Apr 2025 17:19:19</t>
  </si>
  <si>
    <t>9,032.10</t>
  </si>
  <si>
    <t>250414010100197980554333</t>
  </si>
  <si>
    <t>14 Apr 2025 17:23:38</t>
  </si>
  <si>
    <t>4,320.00</t>
  </si>
  <si>
    <t>13,352.10</t>
  </si>
  <si>
    <t>250414010100198074175908</t>
  </si>
  <si>
    <t>14 Apr 2025 17:35:57</t>
  </si>
  <si>
    <t>12,452.10</t>
  </si>
  <si>
    <t>100004250414173603130820442804</t>
  </si>
  <si>
    <t>14 Apr 2025 18:04:11</t>
  </si>
  <si>
    <t>1,110.00</t>
  </si>
  <si>
    <t>11,342.10</t>
  </si>
  <si>
    <t>100004250414180418130822327864</t>
  </si>
  <si>
    <t>14 Apr 2025 20:59:55</t>
  </si>
  <si>
    <t xml:space="preserve">Airtime | 8164706884 | MTN </t>
  </si>
  <si>
    <t>11,142.10</t>
  </si>
  <si>
    <t>250414100100201970053600</t>
  </si>
  <si>
    <t>15 Apr 2025 07:27:35</t>
  </si>
  <si>
    <t>15 Apr 2025</t>
  </si>
  <si>
    <t>9,942.10</t>
  </si>
  <si>
    <t>100004250415072743130840716300</t>
  </si>
  <si>
    <t>15 Apr 2025 07:55:39</t>
  </si>
  <si>
    <t>9,642.10</t>
  </si>
  <si>
    <t>250415010100205637884257</t>
  </si>
  <si>
    <t>15 Apr 2025 15:16:06</t>
  </si>
  <si>
    <t>9,142.10</t>
  </si>
  <si>
    <t>100004250415151610130872445269</t>
  </si>
  <si>
    <t>15 Apr 2025 18:05:15</t>
  </si>
  <si>
    <t>250415010100215086050107</t>
  </si>
  <si>
    <t>16 Apr 2025 07:29:10</t>
  </si>
  <si>
    <t>16 Apr 2025</t>
  </si>
  <si>
    <t>8,442.10</t>
  </si>
  <si>
    <t>250416010100221565454881</t>
  </si>
  <si>
    <t>16 Apr 2025 08:24:25</t>
  </si>
  <si>
    <t>7,642.10</t>
  </si>
  <si>
    <t>100004250416082430130908886451</t>
  </si>
  <si>
    <t>16 Apr 2025 11:23:06</t>
  </si>
  <si>
    <t>7,442.10</t>
  </si>
  <si>
    <t>250416100100225508810680</t>
  </si>
  <si>
    <t>16 Apr 2025 13:23:04</t>
  </si>
  <si>
    <t xml:space="preserve">Transfer to SULEIMAN UMAR | OPay | 9017484316 </t>
  </si>
  <si>
    <t>7,242.10</t>
  </si>
  <si>
    <t>250416010100227175973180</t>
  </si>
  <si>
    <t>16 Apr 2025 13:24:04</t>
  </si>
  <si>
    <t xml:space="preserve">Transfer to SUKUNTUNI VENTURE | SmartCash Payment Service Bank | 5555219996 </t>
  </si>
  <si>
    <t>5,742.10</t>
  </si>
  <si>
    <t>100004250416132408130927895654</t>
  </si>
  <si>
    <t>16 Apr 2025 13:26:28</t>
  </si>
  <si>
    <t>5,342.10</t>
  </si>
  <si>
    <t>250416010100227393418029</t>
  </si>
  <si>
    <t>16 Apr 2025 18:26:25</t>
  </si>
  <si>
    <t>5,242.10</t>
  </si>
  <si>
    <t>100004250416182629130948811275</t>
  </si>
  <si>
    <t>16 Apr 2025 19:08:26</t>
  </si>
  <si>
    <t>1,210.00</t>
  </si>
  <si>
    <t>4,032.10</t>
  </si>
  <si>
    <t>100004250416190830130952729174</t>
  </si>
  <si>
    <t>17 Apr 2025 03:14:13</t>
  </si>
  <si>
    <t>17 Apr 2025</t>
  </si>
  <si>
    <t xml:space="preserve">Transfer from EMMANUEL adekunle | MONIE POINT | 535****525 | AT132_TRF|2MPT1ry0d|1912706130280173568-AT132_TRF|2MPT1ry0d|1912706130280173568-EMMANUEL ade Trf for </t>
  </si>
  <si>
    <t>15,945.00</t>
  </si>
  <si>
    <t>19,977.10</t>
  </si>
  <si>
    <t>090405250417041412668132302212</t>
  </si>
  <si>
    <t>17 Apr 2025 03:14:19</t>
  </si>
  <si>
    <t>19,927.10</t>
  </si>
  <si>
    <t>250417140200236950368271</t>
  </si>
  <si>
    <t>17 Apr 2025 05:48:07</t>
  </si>
  <si>
    <t>17,927.10</t>
  </si>
  <si>
    <t>250417010100237291255425</t>
  </si>
  <si>
    <t>17 Apr 2025 05:59:06</t>
  </si>
  <si>
    <t>17,427.10</t>
  </si>
  <si>
    <t>250417100100237290566503</t>
  </si>
  <si>
    <t>17 Apr 2025 09:53:44</t>
  </si>
  <si>
    <t xml:space="preserve">Transfer to POS Transfer - ABDULMAJEED HIBATULLAHI | MONIE POINT | 5528042357 </t>
  </si>
  <si>
    <t>15,527.10</t>
  </si>
  <si>
    <t>100004250417095348130983067993</t>
  </si>
  <si>
    <t>17 Apr 2025 10:57:04</t>
  </si>
  <si>
    <t>14,527.10</t>
  </si>
  <si>
    <t>250417010100241582765706</t>
  </si>
  <si>
    <t>17 Apr 2025 12:57:48</t>
  </si>
  <si>
    <t>14,427.10</t>
  </si>
  <si>
    <t>100004250417125800130995022305</t>
  </si>
  <si>
    <t>17 Apr 2025 15:47:07</t>
  </si>
  <si>
    <t>11,427.10</t>
  </si>
  <si>
    <t>250417010100246104417152</t>
  </si>
  <si>
    <t>17 Apr 2025 17:03:38</t>
  </si>
  <si>
    <t>10,427.10</t>
  </si>
  <si>
    <t>250417010100247543956150</t>
  </si>
  <si>
    <t>17 Apr 2025 19:39:26</t>
  </si>
  <si>
    <t>10,277.10</t>
  </si>
  <si>
    <t>100004250417193933131027982187</t>
  </si>
  <si>
    <t>18 Apr 2025 20:09:07</t>
  </si>
  <si>
    <t>18 Apr 2025</t>
  </si>
  <si>
    <t>9,627.10</t>
  </si>
  <si>
    <t>100004250418200912131102928713</t>
  </si>
  <si>
    <t>19 Apr 2025 07:51:45</t>
  </si>
  <si>
    <t>19 Apr 2025</t>
  </si>
  <si>
    <t>8,827.10</t>
  </si>
  <si>
    <t>250419010100271810983105</t>
  </si>
  <si>
    <t>19 Apr 2025 18:24:54</t>
  </si>
  <si>
    <t>8,627.10</t>
  </si>
  <si>
    <t>250419100100282115477419</t>
  </si>
  <si>
    <t>20 Apr 2025 08:17:55</t>
  </si>
  <si>
    <t>20 Apr 2025</t>
  </si>
  <si>
    <t>8,127.10</t>
  </si>
  <si>
    <t>250420100100288724291868</t>
  </si>
  <si>
    <t>20 Apr 2025 15:10:40</t>
  </si>
  <si>
    <t>7,527.10</t>
  </si>
  <si>
    <t>100004250420151049131201578096</t>
  </si>
  <si>
    <t>21 Apr 2025 11:12:17</t>
  </si>
  <si>
    <t>21 Apr 2025</t>
  </si>
  <si>
    <t xml:space="preserve">Mobile Data | 7033715966 | DataMtn | 3.2GB 2 Days Plan </t>
  </si>
  <si>
    <t>6,527.10</t>
  </si>
  <si>
    <t>250421110100306475766017</t>
  </si>
  <si>
    <t>22 Apr 2025 03:26:00</t>
  </si>
  <si>
    <t>22 Apr 2025</t>
  </si>
  <si>
    <t>56,527.10</t>
  </si>
  <si>
    <t>250422010100317100086418</t>
  </si>
  <si>
    <t>22 Apr 2025 03:26:10</t>
  </si>
  <si>
    <t>56,477.10</t>
  </si>
  <si>
    <t>250422140200317043618849</t>
  </si>
  <si>
    <t>22 Apr 2025 03:26:50</t>
  </si>
  <si>
    <t>58,977.10</t>
  </si>
  <si>
    <t>250422010100317100196082</t>
  </si>
  <si>
    <t>22 Apr 2025 03:27:45</t>
  </si>
  <si>
    <t>11,977.10</t>
  </si>
  <si>
    <t>250422010100317121555504</t>
  </si>
  <si>
    <t>22 Apr 2025 03:31:29</t>
  </si>
  <si>
    <t xml:space="preserve">Transfer from UMAR PETER ALHASSAN | PalmPay | 912****999 | UMAR PETER ALHASSAN:9122812999 </t>
  </si>
  <si>
    <t>13,977.10</t>
  </si>
  <si>
    <t>100033250422033128620980980172</t>
  </si>
  <si>
    <t>22 Apr 2025 03:35:38</t>
  </si>
  <si>
    <t>13,477.10</t>
  </si>
  <si>
    <t>250422100100317109391872</t>
  </si>
  <si>
    <t>22 Apr 2025 03:41:37</t>
  </si>
  <si>
    <t>100004250422034141131283695951</t>
  </si>
  <si>
    <t>22 Apr 2025 07:36:37</t>
  </si>
  <si>
    <t>11,277.10</t>
  </si>
  <si>
    <t>100004250422073650131288951218</t>
  </si>
  <si>
    <t>22 Apr 2025 08:56:12</t>
  </si>
  <si>
    <t>10,527.10</t>
  </si>
  <si>
    <t>100004250422085617131292020242</t>
  </si>
  <si>
    <t>22 Apr 2025 12:15:18</t>
  </si>
  <si>
    <t>250422010100322970065809</t>
  </si>
  <si>
    <t>22 Apr 2025 13:22:25</t>
  </si>
  <si>
    <t>7,027.10</t>
  </si>
  <si>
    <t>250422010100323902138617</t>
  </si>
  <si>
    <t>22 Apr 2025 20:32:54</t>
  </si>
  <si>
    <t xml:space="preserve">Transfer to POS Transfer-MUHAMMAD MUAZU ADAMU | MONIE POINT | 5925494201 </t>
  </si>
  <si>
    <t>6,717.10</t>
  </si>
  <si>
    <t>100004250422203258131338201754</t>
  </si>
  <si>
    <t>22 Apr 2025 21:42:46</t>
  </si>
  <si>
    <t>6,607.10</t>
  </si>
  <si>
    <t>100004250422214253131341162009</t>
  </si>
  <si>
    <t>23 Apr 2025 05:47:00</t>
  </si>
  <si>
    <t>23 Apr 2025</t>
  </si>
  <si>
    <t xml:space="preserve">Transfer from UMAR PETER ALHASSAN | PalmPay | 907****517 | UMAR PETER ALHASSAN:9078777517 </t>
  </si>
  <si>
    <t>46,607.10</t>
  </si>
  <si>
    <t>100033250423054700090163293024</t>
  </si>
  <si>
    <t>23 Apr 2025 05:47:06</t>
  </si>
  <si>
    <t>46,557.10</t>
  </si>
  <si>
    <t>250423140200333264195917</t>
  </si>
  <si>
    <t>23 Apr 2025 06:13:05</t>
  </si>
  <si>
    <t>31,557.10</t>
  </si>
  <si>
    <t>250423140200333284799339</t>
  </si>
  <si>
    <t>23 Apr 2025 06:14:44</t>
  </si>
  <si>
    <t>28,557.10</t>
  </si>
  <si>
    <t>250423010100333400930593</t>
  </si>
  <si>
    <t>23 Apr 2025 06:36:53</t>
  </si>
  <si>
    <t>28,057.10</t>
  </si>
  <si>
    <t>250423100100333694138564</t>
  </si>
  <si>
    <t>23 Apr 2025 06:37:33</t>
  </si>
  <si>
    <t>27,557.10</t>
  </si>
  <si>
    <t>250423100100333565707376</t>
  </si>
  <si>
    <t>23 Apr 2025 09:00:47</t>
  </si>
  <si>
    <t>26,557.10</t>
  </si>
  <si>
    <t>250423010100335696233758</t>
  </si>
  <si>
    <t>23 Apr 2025 09:34:55</t>
  </si>
  <si>
    <t xml:space="preserve">Transfer to JAMIU ADEKUNLE BABATUNDE | OPay | 8164706884 | For stew  </t>
  </si>
  <si>
    <t>23,557.10</t>
  </si>
  <si>
    <t>250423010100336350481281</t>
  </si>
  <si>
    <t>23 Apr 2025 09:49:03</t>
  </si>
  <si>
    <t>21,557.10</t>
  </si>
  <si>
    <t>250423010100336466503218</t>
  </si>
  <si>
    <t>23 Apr 2025 09:59:36</t>
  </si>
  <si>
    <t xml:space="preserve">Transfer to YOMI-S DELIGHT CATERING SERVICES - Yomis Delight | MONIE POINT | 5476282823 </t>
  </si>
  <si>
    <t>19,257.10</t>
  </si>
  <si>
    <t>100004250423095940131355953532</t>
  </si>
  <si>
    <t>23 Apr 2025 12:36:40</t>
  </si>
  <si>
    <t>19,057.10</t>
  </si>
  <si>
    <t>250423010100338992400114</t>
  </si>
  <si>
    <t>23 Apr 2025 13:25:18</t>
  </si>
  <si>
    <t>17,557.10</t>
  </si>
  <si>
    <t>250423010100339521312459</t>
  </si>
  <si>
    <t>23 Apr 2025 15:06:02</t>
  </si>
  <si>
    <t xml:space="preserve">Transfer from KELECHI KALU UBI | PalmPay | 906****513 | KELECHI KALU UBI:9066812513 </t>
  </si>
  <si>
    <t>155,539.00</t>
  </si>
  <si>
    <t>173,096.10</t>
  </si>
  <si>
    <t>100033250423150601090163973817</t>
  </si>
  <si>
    <t>23 Apr 2025 15:06:07</t>
  </si>
  <si>
    <t>173,046.10</t>
  </si>
  <si>
    <t>250423140200341050622008</t>
  </si>
  <si>
    <t>23 Apr 2025 15:07:50</t>
  </si>
  <si>
    <t xml:space="preserve">Transfer to AMINU ABUBAKAR ALIYU | OPay | 7039720582 </t>
  </si>
  <si>
    <t>155,000.00</t>
  </si>
  <si>
    <t>18,046.10</t>
  </si>
  <si>
    <t>250423010100341185108759</t>
  </si>
  <si>
    <t>23 Apr 2025 16:11:13</t>
  </si>
  <si>
    <t>16,746.10</t>
  </si>
  <si>
    <t>100004250423161119131380643262</t>
  </si>
  <si>
    <t>23 Apr 2025 16:15:34</t>
  </si>
  <si>
    <t xml:space="preserve">Transfer from ABDULMALIK ABIDEMI ABDULRAASHEED | OPay | 703****938 </t>
  </si>
  <si>
    <t>19,746.10</t>
  </si>
  <si>
    <t>250423010100342230170834</t>
  </si>
  <si>
    <t>24 Apr 2025 08:07:06</t>
  </si>
  <si>
    <t>24 Apr 2025</t>
  </si>
  <si>
    <t>19,546.10</t>
  </si>
  <si>
    <t>250424010100351199273063</t>
  </si>
  <si>
    <t>24 Apr 2025 09:12:46</t>
  </si>
  <si>
    <t xml:space="preserve">Mobile Data | 7064802004 | DataMtn | 1GB Daily Plan + 1.5mins </t>
  </si>
  <si>
    <t>19,046.10</t>
  </si>
  <si>
    <t>250424110100352090861078</t>
  </si>
  <si>
    <t>24 Apr 2025 10:39:33</t>
  </si>
  <si>
    <t xml:space="preserve">Transfer to ABUBAKAR NAKAKA HUSSAINI | OPay | 9031776173 </t>
  </si>
  <si>
    <t>17,046.10</t>
  </si>
  <si>
    <t>250424010100353420534251</t>
  </si>
  <si>
    <t>24 Apr 2025 16:20:07</t>
  </si>
  <si>
    <t xml:space="preserve">Transfer to POS Transfer-ADAMU SALISU | MONIE POINT | 5718072948 </t>
  </si>
  <si>
    <t>16,546.10</t>
  </si>
  <si>
    <t>100004250424162013131443319374</t>
  </si>
  <si>
    <t>24 Apr 2025 18:28:51</t>
  </si>
  <si>
    <t>16,096.10</t>
  </si>
  <si>
    <t>250424010100360978449639</t>
  </si>
  <si>
    <t>24 Apr 2025 18:35:48</t>
  </si>
  <si>
    <t xml:space="preserve">Transfer to POS Transfer - IBRAHIM LAWANHAMID | MONIE POINT | 8188476892 </t>
  </si>
  <si>
    <t>15,796.10</t>
  </si>
  <si>
    <t>100004250424183552131453211605</t>
  </si>
  <si>
    <t>24 Apr 2025 18:42:39</t>
  </si>
  <si>
    <t>15,646.10</t>
  </si>
  <si>
    <t>100004250424184244131453831626</t>
  </si>
  <si>
    <t>24 Apr 2025 19:03:15</t>
  </si>
  <si>
    <t>15,146.10</t>
  </si>
  <si>
    <t>250424010100361655886982</t>
  </si>
  <si>
    <t>25 Apr 2025 08:38:29</t>
  </si>
  <si>
    <t>25 Apr 2025</t>
  </si>
  <si>
    <t>14,996.10</t>
  </si>
  <si>
    <t>100004250425083832131478170746</t>
  </si>
  <si>
    <t>25 Apr 2025 10:38:27</t>
  </si>
  <si>
    <t xml:space="preserve">Transfer to NAFISAT ABDULLAHI | OPay | 8136191323 </t>
  </si>
  <si>
    <t>12,496.10</t>
  </si>
  <si>
    <t>250425010100370216088482</t>
  </si>
  <si>
    <t>25 Apr 2025 14:18:41</t>
  </si>
  <si>
    <t>11,996.10</t>
  </si>
  <si>
    <t>250425010100373688711032</t>
  </si>
  <si>
    <t>25 Apr 2025 18:47:09</t>
  </si>
  <si>
    <t>9,796.10</t>
  </si>
  <si>
    <t>250425010100378246975236</t>
  </si>
  <si>
    <t>25 Apr 2025 20:58:18</t>
  </si>
  <si>
    <t>8,996.10</t>
  </si>
  <si>
    <t>100004250425205822131528489512</t>
  </si>
  <si>
    <t>26 Apr 2025 09:15:44</t>
  </si>
  <si>
    <t>26 Apr 2025</t>
  </si>
  <si>
    <t>7,996.10</t>
  </si>
  <si>
    <t>250426010100385644618719</t>
  </si>
  <si>
    <t>26 Apr 2025 17:59:30</t>
  </si>
  <si>
    <t xml:space="preserve">Mobile Data | 7033715966 | DataMtn | 2.5GB 2 Day Plan </t>
  </si>
  <si>
    <t>7,096.10</t>
  </si>
  <si>
    <t>250426110100394165638645</t>
  </si>
  <si>
    <t>26 Apr 2025 18:19:45</t>
  </si>
  <si>
    <t>6,446.10</t>
  </si>
  <si>
    <t>100004250426181952131581299986</t>
  </si>
  <si>
    <t>26 Apr 2025 20:13:26</t>
  </si>
  <si>
    <t>56,446.10</t>
  </si>
  <si>
    <t>250426010100396631600706</t>
  </si>
  <si>
    <t>26 Apr 2025 20:13:31</t>
  </si>
  <si>
    <t>56,396.10</t>
  </si>
  <si>
    <t>250426140200396582074141</t>
  </si>
  <si>
    <t>26 Apr 2025 20:17:13</t>
  </si>
  <si>
    <t xml:space="preserve">Transfer to UMAR PETER ALHASSAN | PalmPay | 9078777517 </t>
  </si>
  <si>
    <t>47,500.00</t>
  </si>
  <si>
    <t>8,896.10</t>
  </si>
  <si>
    <t>100004250426201718131589183125</t>
  </si>
  <si>
    <t>26 Apr 2025 21:38:14</t>
  </si>
  <si>
    <t>7,396.10</t>
  </si>
  <si>
    <t>250426010100397737113063</t>
  </si>
  <si>
    <t>26 Apr 2025 23:11:18</t>
  </si>
  <si>
    <t xml:space="preserve">Mobile Data | 7044485384 | DataMtn | 2.5GB 2 Day Plan </t>
  </si>
  <si>
    <t>6,496.10</t>
  </si>
  <si>
    <t>250426110100398627888934</t>
  </si>
  <si>
    <t>27 Apr 2025 08:52:50</t>
  </si>
  <si>
    <t>27 Apr 2025</t>
  </si>
  <si>
    <t>9,496.10</t>
  </si>
  <si>
    <t>100033250427085250090167719606</t>
  </si>
  <si>
    <t>27 Apr 2025 09:17:40</t>
  </si>
  <si>
    <t>250427010100401656288572</t>
  </si>
  <si>
    <t>27 Apr 2025 11:40:47</t>
  </si>
  <si>
    <t>6,246.10</t>
  </si>
  <si>
    <t>100004250427114051131614892636</t>
  </si>
  <si>
    <t>27 Apr 2025 12:22:30</t>
  </si>
  <si>
    <t>5,946.10</t>
  </si>
  <si>
    <t>100004250427122235131615604620</t>
  </si>
  <si>
    <t>27 Apr 2025 16:53:42</t>
  </si>
  <si>
    <t>4,946.10</t>
  </si>
  <si>
    <t>250427010100408208354814</t>
  </si>
  <si>
    <t>27 Apr 2025 18:08:25</t>
  </si>
  <si>
    <t>1,946.10</t>
  </si>
  <si>
    <t>250427010100409295651347</t>
  </si>
  <si>
    <t>27 Apr 2025 20:31:22</t>
  </si>
  <si>
    <t>1,796.10</t>
  </si>
  <si>
    <t>100004250427203128131645289569</t>
  </si>
  <si>
    <t>28 Apr 2025 09:16:37</t>
  </si>
  <si>
    <t>28 Apr 2025</t>
  </si>
  <si>
    <t>1,646.10</t>
  </si>
  <si>
    <t>100004250428091641131663128033</t>
  </si>
  <si>
    <t>28 Apr 2025 10:36:22</t>
  </si>
  <si>
    <t>250428010100418215512451</t>
  </si>
  <si>
    <t>28 Apr 2025 10:36:30</t>
  </si>
  <si>
    <t xml:space="preserve">OWealth Withdrawal(Transaction Payment) </t>
  </si>
  <si>
    <t>2,646.10</t>
  </si>
  <si>
    <t>250428010200418316863300</t>
  </si>
  <si>
    <t>28 Apr 2025 10:47:53</t>
  </si>
  <si>
    <t>1,096.10</t>
  </si>
  <si>
    <t>100004250428104759131669143605</t>
  </si>
  <si>
    <t>28 Apr 2025 16:53:59</t>
  </si>
  <si>
    <t>896.10</t>
  </si>
  <si>
    <t>100004250428165404131693978888</t>
  </si>
  <si>
    <t>28 Apr 2025 17:00:55</t>
  </si>
  <si>
    <t>786.10</t>
  </si>
  <si>
    <t>100004250428170059131694056838</t>
  </si>
  <si>
    <t>28 Apr 2025 17:52:10</t>
  </si>
  <si>
    <t>626.10</t>
  </si>
  <si>
    <t>100004250428175214131696711909</t>
  </si>
  <si>
    <t>29 Apr 2025 07:57:16</t>
  </si>
  <si>
    <t>29 Apr 2025</t>
  </si>
  <si>
    <t>2,626.10</t>
  </si>
  <si>
    <t>250429010100431863120064</t>
  </si>
  <si>
    <t>29 Apr 2025 08:01:29</t>
  </si>
  <si>
    <t>526.10</t>
  </si>
  <si>
    <t>100004250429080135131719971124</t>
  </si>
  <si>
    <t>29 Apr 2025 09:51:23</t>
  </si>
  <si>
    <t>100004250429095131131725235473</t>
  </si>
  <si>
    <t>29 Apr 2025 09:51:30</t>
  </si>
  <si>
    <t>1,176.10</t>
  </si>
  <si>
    <t>250429010200433677625903</t>
  </si>
  <si>
    <t>29 Apr 2025 11:31:52</t>
  </si>
  <si>
    <t>126.10</t>
  </si>
  <si>
    <t>250429010100435253862814</t>
  </si>
  <si>
    <t>29 Apr 2025 13:13:29</t>
  </si>
  <si>
    <t>100004250429131334131739154492</t>
  </si>
  <si>
    <t>29 Apr 2025 13:13:33</t>
  </si>
  <si>
    <t>926.10</t>
  </si>
  <si>
    <t>250429010200436547802803</t>
  </si>
  <si>
    <t>29 Apr 2025 14:58:58</t>
  </si>
  <si>
    <t xml:space="preserve">Transfer to ABDULJALAL DARAMOLA | OPay | 9060058509 </t>
  </si>
  <si>
    <t>250429010100438146568072</t>
  </si>
  <si>
    <t>29 Apr 2025 14:59:05</t>
  </si>
  <si>
    <t>250429010200438096271443</t>
  </si>
  <si>
    <t>29 Apr 2025 19:52:22</t>
  </si>
  <si>
    <t>250429010100443789034169</t>
  </si>
  <si>
    <t>29 Apr 2025 19:52:28</t>
  </si>
  <si>
    <t>2,126.10</t>
  </si>
  <si>
    <t>250429010200443587838646</t>
  </si>
  <si>
    <t>30 Apr 2025 08:45:59</t>
  </si>
  <si>
    <t>30 Apr 2025</t>
  </si>
  <si>
    <t xml:space="preserve">Transfer from MUHAMMAD USMAN AHMAD | Access Bank | 069****137 | TRFFRM MUHAMMAD USMAN AHMAD TO MUHAMMAD ABUBAKAR UMAR </t>
  </si>
  <si>
    <t>10,126.10</t>
  </si>
  <si>
    <t>000014250430094558253041086038</t>
  </si>
  <si>
    <t>30 Apr 2025 08:46:05</t>
  </si>
  <si>
    <t>10,076.10</t>
  </si>
  <si>
    <t>250430140200449294171859</t>
  </si>
  <si>
    <t>30 Apr 2025 09:15:41</t>
  </si>
  <si>
    <t>9,376.10</t>
  </si>
  <si>
    <t>100004250430091545131788420521</t>
  </si>
  <si>
    <t>30 Apr 2025 09:18:18</t>
  </si>
  <si>
    <t xml:space="preserve">Transfer to SULAIMAN SULAIMAN GALADIMA | OPay | 8062143079 </t>
  </si>
  <si>
    <t>8,176.10</t>
  </si>
  <si>
    <t>250430010100449897630295</t>
  </si>
  <si>
    <t>30 Apr 2025 11:12:42</t>
  </si>
  <si>
    <t>8,676.10</t>
  </si>
  <si>
    <t>250430010100451749636437</t>
  </si>
  <si>
    <t>30 Apr 2025 11:15:35</t>
  </si>
  <si>
    <t>9,176.10</t>
  </si>
  <si>
    <t>250430010100451661072316</t>
  </si>
  <si>
    <t>30 Apr 2025 11:16:06</t>
  </si>
  <si>
    <t xml:space="preserve">Transfer to MUHAMMAD JALALUDDEEN SULAIMAN | OPay | 7037541763 </t>
  </si>
  <si>
    <t>2,180.00</t>
  </si>
  <si>
    <t>6,996.10</t>
  </si>
  <si>
    <t>250430010100451711373750</t>
  </si>
  <si>
    <t>30 Apr 2025 11:35:29</t>
  </si>
  <si>
    <t>250430100100452067565548</t>
  </si>
  <si>
    <t>30 Apr 2025 12:48:23</t>
  </si>
  <si>
    <t xml:space="preserve">Transfer to ABDULRASHEED SIYAKA | MONIE POINT | 8180361846 </t>
  </si>
  <si>
    <t>4,396.10</t>
  </si>
  <si>
    <t>100004250430124828131803228810</t>
  </si>
  <si>
    <t>30 Apr 2025 17:59:22</t>
  </si>
  <si>
    <t>4,196.10</t>
  </si>
  <si>
    <t>250430010100458397422606</t>
  </si>
  <si>
    <t>30 Apr 2025 19:56:55</t>
  </si>
  <si>
    <t xml:space="preserve">Transfer to POS Transfer - ZAKIYU FARUK | MONIE POINT | 5319395923 </t>
  </si>
  <si>
    <t>2,696.10</t>
  </si>
  <si>
    <t>100004250430195700131836229280</t>
  </si>
  <si>
    <t>30 Apr 2025 21:07:13</t>
  </si>
  <si>
    <t xml:space="preserve">Transfer to POS Transfer - UMAR  SALISU | MONIE POINT | 8162979610 </t>
  </si>
  <si>
    <t>2,286.10</t>
  </si>
  <si>
    <t>100004250430210718131840007333</t>
  </si>
  <si>
    <t>01 May 2025 09:24:55</t>
  </si>
  <si>
    <t>01 May 2025</t>
  </si>
  <si>
    <t>2,136.10</t>
  </si>
  <si>
    <t>100004250501092459131857873907</t>
  </si>
  <si>
    <t>01 May 2025 10:25:36</t>
  </si>
  <si>
    <t xml:space="preserve">Mobile Data | 7033715966 | DataMtn | 2GB 2 Days Plan </t>
  </si>
  <si>
    <t>1,386.10</t>
  </si>
  <si>
    <t>250501110100468289407549</t>
  </si>
  <si>
    <t>01 May 2025 11:46:38</t>
  </si>
  <si>
    <t>250501010100469899480483</t>
  </si>
  <si>
    <t>01 May 2025 11:46:44</t>
  </si>
  <si>
    <t>6,386.10</t>
  </si>
  <si>
    <t>250501010200469848882800</t>
  </si>
  <si>
    <t>01 May 2025 13:52:07</t>
  </si>
  <si>
    <t xml:space="preserve">Transfer from UMAR LUBABATU | Guaranty Trust Bank | 017****293 | NIP Transfer to MUHAMMAD ABUBAKAR UMAR. 000013250501145105000130761187 </t>
  </si>
  <si>
    <t>8,386.10</t>
  </si>
  <si>
    <t>000013250501145105000130761187</t>
  </si>
  <si>
    <t>01 May 2025 16:36:18</t>
  </si>
  <si>
    <t>7,836.10</t>
  </si>
  <si>
    <t>100004250501163634131888001587</t>
  </si>
  <si>
    <t>01 May 2025 20:15:35</t>
  </si>
  <si>
    <t>7,136.10</t>
  </si>
  <si>
    <t>100004250501201540131904728609</t>
  </si>
  <si>
    <t>02 May 2025 08:41:16</t>
  </si>
  <si>
    <t>02 May 2025</t>
  </si>
  <si>
    <t>6,136.10</t>
  </si>
  <si>
    <t>250502010100484124071318</t>
  </si>
  <si>
    <t>02 May 2025 08:41:35</t>
  </si>
  <si>
    <t>5,636.10</t>
  </si>
  <si>
    <t>250502100100484074877977</t>
  </si>
  <si>
    <t>02 May 2025 08:51:43</t>
  </si>
  <si>
    <t>5,536.10</t>
  </si>
  <si>
    <t>250502010100484411151886</t>
  </si>
  <si>
    <t>02 May 2025 09:53:24</t>
  </si>
  <si>
    <t>5,236.10</t>
  </si>
  <si>
    <t>250502010100485722671185</t>
  </si>
  <si>
    <t>02 May 2025 16:08:51</t>
  </si>
  <si>
    <t>4,686.10</t>
  </si>
  <si>
    <t>100004250502160855131955578293</t>
  </si>
  <si>
    <t>02 May 2025 18:02:49</t>
  </si>
  <si>
    <t>4,086.10</t>
  </si>
  <si>
    <t>100004250502180258131962326182</t>
  </si>
  <si>
    <t>02 May 2025 19:38:42</t>
  </si>
  <si>
    <t>3,936.10</t>
  </si>
  <si>
    <t>100004250502193846131971264855</t>
  </si>
  <si>
    <t>03 May 2025 09:05:38</t>
  </si>
  <si>
    <t>03 May 2025</t>
  </si>
  <si>
    <t>3,536.10</t>
  </si>
  <si>
    <t>100004250503090543131993869624</t>
  </si>
  <si>
    <t>03 May 2025 09:58:08</t>
  </si>
  <si>
    <t>3,386.10</t>
  </si>
  <si>
    <t>250503010100504849943686</t>
  </si>
  <si>
    <t>03 May 2025 10:35:25</t>
  </si>
  <si>
    <t xml:space="preserve">Transfer to PRINCE PETER OLU | MONIE POINT | 7067359137 | The  </t>
  </si>
  <si>
    <t>100004250503103531131999227634</t>
  </si>
  <si>
    <t>03 May 2025 10:35:30</t>
  </si>
  <si>
    <t>6,486.10</t>
  </si>
  <si>
    <t>250503010200505332560527</t>
  </si>
  <si>
    <t>03 May 2025 11:34:20</t>
  </si>
  <si>
    <t xml:space="preserve">Transfer to ABIODUN MICHEAL OGUNBAYO | OPay | 8166470919 </t>
  </si>
  <si>
    <t>386.10</t>
  </si>
  <si>
    <t>250503010100506596946917</t>
  </si>
  <si>
    <t>03 May 2025 16:06:26</t>
  </si>
  <si>
    <t>5,386.10</t>
  </si>
  <si>
    <t>250503010100511414886226</t>
  </si>
  <si>
    <t>03 May 2025 18:40:54</t>
  </si>
  <si>
    <t>4,736.10</t>
  </si>
  <si>
    <t>100004250503184059132038047237</t>
  </si>
  <si>
    <t>03 May 2025 19:49:20</t>
  </si>
  <si>
    <t xml:space="preserve">Transfer to  cool Drink | MONIE POINT | 8278611402 </t>
  </si>
  <si>
    <t>4,526.10</t>
  </si>
  <si>
    <t>100004250503194924132042197721</t>
  </si>
  <si>
    <t>03 May 2025 20:22:28</t>
  </si>
  <si>
    <t>4,026.10</t>
  </si>
  <si>
    <t>250503100100516797649960</t>
  </si>
  <si>
    <t>04 May 2025 05:12:44</t>
  </si>
  <si>
    <t>04 May 2025</t>
  </si>
  <si>
    <t>250504100100520130127707</t>
  </si>
  <si>
    <t>04 May 2025 05:12:49</t>
  </si>
  <si>
    <t>9,026.10</t>
  </si>
  <si>
    <t>250504010200520228692018</t>
  </si>
  <si>
    <t>04 May 2025 08:22:40</t>
  </si>
  <si>
    <t xml:space="preserve">Transfer from UMAR AISHA ABUBAKAR | United Bank For Africa | 211****238 | MOB/UTO/Muhammad Abuba/house rent/30362996592 </t>
  </si>
  <si>
    <t>170,000.00</t>
  </si>
  <si>
    <t>174,026.10</t>
  </si>
  <si>
    <t>000004250504092238743409487892</t>
  </si>
  <si>
    <t>04 May 2025 08:22:45</t>
  </si>
  <si>
    <t>173,976.10</t>
  </si>
  <si>
    <t>250504140200522631899980</t>
  </si>
  <si>
    <t>04 May 2025 08:53:09</t>
  </si>
  <si>
    <t>173,176.10</t>
  </si>
  <si>
    <t>250504010100523016033488</t>
  </si>
  <si>
    <t>04 May 2025 09:18:49</t>
  </si>
  <si>
    <t>173,026.10</t>
  </si>
  <si>
    <t>100004250504091853132063851876</t>
  </si>
  <si>
    <t>04 May 2025 12:45:24</t>
  </si>
  <si>
    <t>172,626.10</t>
  </si>
  <si>
    <t>100004250504124528132075957270</t>
  </si>
  <si>
    <t>04 May 2025 15:16:56</t>
  </si>
  <si>
    <t>171,626.10</t>
  </si>
  <si>
    <t>250504010100529095887189</t>
  </si>
  <si>
    <t>04 May 2025 18:08:20</t>
  </si>
  <si>
    <t>170,926.10</t>
  </si>
  <si>
    <t>100004250504180824132095937150</t>
  </si>
  <si>
    <t>04 May 2025 18:44:04</t>
  </si>
  <si>
    <t>170,426.10</t>
  </si>
  <si>
    <t>250504010100532461290329</t>
  </si>
  <si>
    <t>04 May 2025 18:56:58</t>
  </si>
  <si>
    <t>170,266.10</t>
  </si>
  <si>
    <t>100004250504185703132099707402</t>
  </si>
  <si>
    <t>05 May 2025 07:10:28</t>
  </si>
  <si>
    <t>05 May 2025</t>
  </si>
  <si>
    <t xml:space="preserve">Transfer to MM MONEXS GLOBAL - MM MONEXS | MONIE POINT | 8161123801 </t>
  </si>
  <si>
    <t>100004250505071034132117283497</t>
  </si>
  <si>
    <t>05 May 2025 07:10:34</t>
  </si>
  <si>
    <t>173,366.10</t>
  </si>
  <si>
    <t>250505010200538395492427</t>
  </si>
  <si>
    <t>05 May 2025 10:06:53</t>
  </si>
  <si>
    <t>250505010100541301727825</t>
  </si>
  <si>
    <t>05 May 2025 10:07:00</t>
  </si>
  <si>
    <t>180,266.10</t>
  </si>
  <si>
    <t>250505010200541499582866</t>
  </si>
  <si>
    <t>05 May 2025 14:11:27</t>
  </si>
  <si>
    <t>250505010100545295435296</t>
  </si>
  <si>
    <t>05 May 2025 14:11:32</t>
  </si>
  <si>
    <t>180,216.10</t>
  </si>
  <si>
    <t>250505140200545245501567</t>
  </si>
  <si>
    <t>05 May 2025 17:32:33</t>
  </si>
  <si>
    <t>182,216.10</t>
  </si>
  <si>
    <t>250505010100548833470885</t>
  </si>
  <si>
    <t>05 May 2025 17:37:29</t>
  </si>
  <si>
    <t>250505010100548651226341</t>
  </si>
  <si>
    <t>06 May 2025 07:22:25</t>
  </si>
  <si>
    <t>06 May 2025</t>
  </si>
  <si>
    <t>179,816.10</t>
  </si>
  <si>
    <t>100004250506072232132184819044</t>
  </si>
  <si>
    <t>06 May 2025 07:38:23</t>
  </si>
  <si>
    <t>176,716.10</t>
  </si>
  <si>
    <t>100004250506073839132185308407</t>
  </si>
  <si>
    <t>06 May 2025 08:44:27</t>
  </si>
  <si>
    <t xml:space="preserve">Transfer to POS Transfer-ABDULRASHEED ONIMISI ISMAILA | MONIE POINT | 5019975722 </t>
  </si>
  <si>
    <t>174,616.10</t>
  </si>
  <si>
    <t>100004250506084432132190525454</t>
  </si>
  <si>
    <t>06 May 2025 17:23:12</t>
  </si>
  <si>
    <t xml:space="preserve">Transfer to GREAT AMEE GLOBAL VENTURES | First Bank Of Nigeria | 2045631780 </t>
  </si>
  <si>
    <t>172,506.10</t>
  </si>
  <si>
    <t>100004250506172316132227670012</t>
  </si>
  <si>
    <t>07 May 2025 05:24:02</t>
  </si>
  <si>
    <t>07 May 2025</t>
  </si>
  <si>
    <t>172,006.10</t>
  </si>
  <si>
    <t>250507100100572918372764</t>
  </si>
  <si>
    <t>07 May 2025 05:54:53</t>
  </si>
  <si>
    <t>171,806.10</t>
  </si>
  <si>
    <t>100004250507055458132250685067</t>
  </si>
  <si>
    <t>07 May 2025 07:17:35</t>
  </si>
  <si>
    <t>171,156.10</t>
  </si>
  <si>
    <t>100004250507071739132254151532</t>
  </si>
  <si>
    <t>07 May 2025 09:30:40</t>
  </si>
  <si>
    <t>172,156.10</t>
  </si>
  <si>
    <t>250507010100576270086805</t>
  </si>
  <si>
    <t>07 May 2025 11:40:48</t>
  </si>
  <si>
    <t>160,000.00</t>
  </si>
  <si>
    <t>12,156.10</t>
  </si>
  <si>
    <t>250507010100578623522534</t>
  </si>
  <si>
    <t>07 May 2025 12:14:45</t>
  </si>
  <si>
    <t>8,056.10</t>
  </si>
  <si>
    <t>250507010100579274152287</t>
  </si>
  <si>
    <t>07 May 2025 12:23:07</t>
  </si>
  <si>
    <t>7,006.10</t>
  </si>
  <si>
    <t>250507010100579194222576</t>
  </si>
  <si>
    <t>07 May 2025 12:53:17</t>
  </si>
  <si>
    <t xml:space="preserve">Transfer from MUBARAK BASHIR | PalmPay | 816****942 | MUBARAK BASHIR:8169897942 </t>
  </si>
  <si>
    <t>17,006.10</t>
  </si>
  <si>
    <t>100033250507125317090181384305</t>
  </si>
  <si>
    <t>07 May 2025 12:53:19</t>
  </si>
  <si>
    <t>16,956.10</t>
  </si>
  <si>
    <t>250507140200579783047527</t>
  </si>
  <si>
    <t>07 May 2025 12:54:39</t>
  </si>
  <si>
    <t>8,500.00</t>
  </si>
  <si>
    <t>8,456.10</t>
  </si>
  <si>
    <t>250507010100579684360031</t>
  </si>
  <si>
    <t>07 May 2025 13:44:14</t>
  </si>
  <si>
    <t>5,500.00</t>
  </si>
  <si>
    <t>2,956.10</t>
  </si>
  <si>
    <t>250507010100580274931056</t>
  </si>
  <si>
    <t>07 May 2025 15:14:10</t>
  </si>
  <si>
    <t>0.00</t>
  </si>
  <si>
    <t>250507010100581942516762</t>
  </si>
  <si>
    <t>07 May 2025 15:14:14</t>
  </si>
  <si>
    <t>143.90</t>
  </si>
  <si>
    <t>250507010200581790380006</t>
  </si>
  <si>
    <t>07 May 2025 15:17:33</t>
  </si>
  <si>
    <t>100004250507151738132287366895</t>
  </si>
  <si>
    <t>07 May 2025 15:17:37</t>
  </si>
  <si>
    <t>250507010200582002231873</t>
  </si>
  <si>
    <t>07 May 2025 18:32:39</t>
  </si>
  <si>
    <t xml:space="preserve">Transfer to FELICITA CHIOMA ALFRED | OPay | 8169817024 </t>
  </si>
  <si>
    <t>250507010100585469170411</t>
  </si>
  <si>
    <t>07 May 2025 18:32:56</t>
  </si>
  <si>
    <t>250507010200585723200842</t>
  </si>
  <si>
    <t>07 May 2025 19:03:10</t>
  </si>
  <si>
    <t xml:space="preserve">Transfer to IFEOMA MBAH | OPay | 8027884320 </t>
  </si>
  <si>
    <t>250507010100586095136518</t>
  </si>
  <si>
    <t>07 May 2025 19:03:17</t>
  </si>
  <si>
    <t>250507010200586145692150</t>
  </si>
  <si>
    <t>07 May 2025 19:43:23</t>
  </si>
  <si>
    <t>250507100100587096374841</t>
  </si>
  <si>
    <t>07 May 2025 19:43:51</t>
  </si>
  <si>
    <t>250507010200586996553453</t>
  </si>
  <si>
    <t>08 May 2025 07:23:11</t>
  </si>
  <si>
    <t>08 May 2025</t>
  </si>
  <si>
    <t xml:space="preserve">Transfer from MICHAEL OGENAIGIAGUKPE OSHIOKHUE | OPay | 905****246 </t>
  </si>
  <si>
    <t>250508010100591585167974</t>
  </si>
  <si>
    <t>08 May 2025 07:51:56</t>
  </si>
  <si>
    <t xml:space="preserve">Transfer to POS Transfer- OKPALA IKENNA DANIEL | MONIE POINT | 5859073723 </t>
  </si>
  <si>
    <t>100004250508075202132321917555</t>
  </si>
  <si>
    <t>08 May 2025 11:41:29</t>
  </si>
  <si>
    <t>100004250508114133132337268752</t>
  </si>
  <si>
    <t>08 May 2025 19:06:56</t>
  </si>
  <si>
    <t xml:space="preserve">Transfer to FAITH OGECHI RICHARD | Access Bank | 0086976500 </t>
  </si>
  <si>
    <t>100004250508190703132368971634</t>
  </si>
  <si>
    <t>09 May 2025 07:24:51</t>
  </si>
  <si>
    <t>09 May 2025</t>
  </si>
  <si>
    <t>100004250509072458132387420935</t>
  </si>
  <si>
    <t>09 May 2025 07:24:58</t>
  </si>
  <si>
    <t>250509010200609248873727</t>
  </si>
  <si>
    <t>09 May 2025 08:14:31</t>
  </si>
  <si>
    <t xml:space="preserve">Transfer from UMAR LUBABATU | Guaranty Trust Bank | 017****293 | NIP Transfer to MUHAMMAD ABUBAKAR UMAR. 000013250509091340000147805164 </t>
  </si>
  <si>
    <t>000013250509091340000147805164</t>
  </si>
  <si>
    <t>09 May 2025 08:14:32</t>
  </si>
  <si>
    <t>9,950.00</t>
  </si>
  <si>
    <t>250509140200609990075653</t>
  </si>
  <si>
    <t>09 May 2025 08:39:25</t>
  </si>
  <si>
    <t>9,050.00</t>
  </si>
  <si>
    <t>250509110100610446020144</t>
  </si>
  <si>
    <t>09 May 2025 08:45:28</t>
  </si>
  <si>
    <t xml:space="preserve">Transfer to OKOYE ROSEMARY AMAKA | Guaranty Trust Bank | 0020688036 </t>
  </si>
  <si>
    <t>8,350.00</t>
  </si>
  <si>
    <t>100004250509084532132391816237</t>
  </si>
  <si>
    <t>09 May 2025 08:45:53</t>
  </si>
  <si>
    <t>7,950.00</t>
  </si>
  <si>
    <t>100004250509084558132391821566</t>
  </si>
  <si>
    <t>09 May 2025 13:15:17</t>
  </si>
  <si>
    <t xml:space="preserve">Transfer to POS Transfer-NKEM BLESSING OHAYI | MONIE POINT | 5833156569 </t>
  </si>
  <si>
    <t>6,450.00</t>
  </si>
  <si>
    <t>100004250509131523132410531389</t>
  </si>
  <si>
    <t>09 May 2025 18:12:29</t>
  </si>
  <si>
    <t xml:space="preserve">Transfer to PETER RUTH | MONIE POINT | 8026241391 </t>
  </si>
  <si>
    <t>4,350.00</t>
  </si>
  <si>
    <t>100004250509181235132433914876</t>
  </si>
  <si>
    <t>10 May 2025 04:15:20</t>
  </si>
  <si>
    <t>10 May 2025</t>
  </si>
  <si>
    <t xml:space="preserve">OWealth Withdrawal </t>
  </si>
  <si>
    <t>5,868.29</t>
  </si>
  <si>
    <t>10,218.29</t>
  </si>
  <si>
    <t>250510010200625772793142</t>
  </si>
  <si>
    <t>10 May 2025 04:15:55</t>
  </si>
  <si>
    <t>9,018.29</t>
  </si>
  <si>
    <t>250510100100625770841496</t>
  </si>
  <si>
    <t>10 May 2025 07:47:56</t>
  </si>
  <si>
    <t>7,518.29</t>
  </si>
  <si>
    <t>100004250510074802132456093278</t>
  </si>
  <si>
    <t>10 May 2025 13:22:07</t>
  </si>
  <si>
    <t xml:space="preserve">Transfer to JOSEPH BAMIGBOYE | MONIE POINT | 9036340107 </t>
  </si>
  <si>
    <t>6,768.29</t>
  </si>
  <si>
    <t>100004250510132211132476308136</t>
  </si>
  <si>
    <t>10 May 2025 19:40:40</t>
  </si>
  <si>
    <t xml:space="preserve">Transfer to WISDOM CHINEDU MGBENWELU | PalmPay | 8901596471 </t>
  </si>
  <si>
    <t>4,668.29</t>
  </si>
  <si>
    <t>100004250510194044132506709394</t>
  </si>
  <si>
    <t>10 May 2025 20:44:43</t>
  </si>
  <si>
    <t xml:space="preserve">Transfer to BLESSING EZIAFA OKOFU | United Bank For Africa | 2305859990 </t>
  </si>
  <si>
    <t>3,808.29</t>
  </si>
  <si>
    <t>100004250510204448132511578732</t>
  </si>
  <si>
    <t>11 May 2025 08:46:55</t>
  </si>
  <si>
    <t>11 May 2025</t>
  </si>
  <si>
    <t xml:space="preserve">Transfer from SHUAIB ABDULWASIU | OPay | 701****113 </t>
  </si>
  <si>
    <t>5,808.29</t>
  </si>
  <si>
    <t>250511010100646444437172</t>
  </si>
  <si>
    <t>11 May 2025 08:51:01</t>
  </si>
  <si>
    <t xml:space="preserve">Transfer from BLUE RIDGE MICROFINANCE BANK LTD | OPay | 955****982 </t>
  </si>
  <si>
    <t>28,000.00</t>
  </si>
  <si>
    <t>33,808.29</t>
  </si>
  <si>
    <t>250511010200646360332926</t>
  </si>
  <si>
    <t>11 May 2025 09:22:01</t>
  </si>
  <si>
    <t>13,808.29</t>
  </si>
  <si>
    <t>250511010100646903373292</t>
  </si>
  <si>
    <t>11 May 2025 09:22:22</t>
  </si>
  <si>
    <t>13,308.29</t>
  </si>
  <si>
    <t>250511100100646849821981</t>
  </si>
  <si>
    <t>11 May 2025 10:19:17</t>
  </si>
  <si>
    <t>12,908.29</t>
  </si>
  <si>
    <t>250511010100647642120615</t>
  </si>
  <si>
    <t>11 May 2025 10:22:15</t>
  </si>
  <si>
    <t xml:space="preserve">Transfer to GLORIA O ONYEMA | Union Bank Of Nigeria | 0021813484 </t>
  </si>
  <si>
    <t>11,708.29</t>
  </si>
  <si>
    <t>100004250511102219132530138699</t>
  </si>
  <si>
    <t>11 May 2025 18:24:04</t>
  </si>
  <si>
    <t xml:space="preserve">Transfer from UMAR AISHA ABUBAKAR | United Bank For Africa | 211****238 | MOB/UTO/Muhammad Abuba/foodstuffs /30523891311 </t>
  </si>
  <si>
    <t>31,708.29</t>
  </si>
  <si>
    <t>000004250511192359655429320619</t>
  </si>
  <si>
    <t>11 May 2025 18:24:06</t>
  </si>
  <si>
    <t>31,658.29</t>
  </si>
  <si>
    <t>250511140200655139851630</t>
  </si>
  <si>
    <t>11 May 2025 18:53:02</t>
  </si>
  <si>
    <t xml:space="preserve">EaseMoni loan repayment </t>
  </si>
  <si>
    <t>11,658.29</t>
  </si>
  <si>
    <t>250511140200655814149975</t>
  </si>
  <si>
    <t>11 May 2025 19:53:27</t>
  </si>
  <si>
    <t>11,558.29</t>
  </si>
  <si>
    <t>100004250511195332132564587544</t>
  </si>
  <si>
    <t>11 May 2025 19:57:36</t>
  </si>
  <si>
    <t>9,458.29</t>
  </si>
  <si>
    <t>250511010100656960112998</t>
  </si>
  <si>
    <t>11 May 2025 19:58:46</t>
  </si>
  <si>
    <t>9,008.29</t>
  </si>
  <si>
    <t>250511010100656882216290</t>
  </si>
  <si>
    <t>12 May 2025 13:40:43</t>
  </si>
  <si>
    <t>12 May 2025</t>
  </si>
  <si>
    <t>7,408.29</t>
  </si>
  <si>
    <t>100004250512134048132600194377</t>
  </si>
  <si>
    <t>13 May 2025 12:30:46</t>
  </si>
  <si>
    <t>13 May 2025</t>
  </si>
  <si>
    <t xml:space="preserve">Transfer to ABDULJAMINU MUHAMMAD | Momo Payment Service Bank | 8039646062 </t>
  </si>
  <si>
    <t>6,608.29</t>
  </si>
  <si>
    <t>100004250513123053132659286675</t>
  </si>
  <si>
    <t>13 May 2025 12:33:54</t>
  </si>
  <si>
    <t>5,558.29</t>
  </si>
  <si>
    <t>100004250513123400132659308754</t>
  </si>
  <si>
    <t>13 May 2025 19:28:09</t>
  </si>
  <si>
    <t xml:space="preserve">Transfer to AGATHA CHINELO EZEMBAKWE | OPay | 8066672196 </t>
  </si>
  <si>
    <t>2,358.29</t>
  </si>
  <si>
    <t>250513010100690954225177</t>
  </si>
  <si>
    <t>14 May 2025 09:41:27</t>
  </si>
  <si>
    <t>14 May 2025</t>
  </si>
  <si>
    <t>4,358.29</t>
  </si>
  <si>
    <t>250514010100698122861964</t>
  </si>
  <si>
    <t>14 May 2025 10:29:08</t>
  </si>
  <si>
    <t>4,158.29</t>
  </si>
  <si>
    <t>250514100100698722273143</t>
  </si>
  <si>
    <t>14 May 2025 10:55:12</t>
  </si>
  <si>
    <t>5,158.29</t>
  </si>
  <si>
    <t>250514010100699077734131</t>
  </si>
  <si>
    <t>14 May 2025 13:54:01</t>
  </si>
  <si>
    <t xml:space="preserve">Transfer to ESTHER OLUEBUBE EZEORU | Access Bank | 0083432106 </t>
  </si>
  <si>
    <t>3,158.29</t>
  </si>
  <si>
    <t>100004250514135406132729266545</t>
  </si>
  <si>
    <t>14 May 2025 19:20:31</t>
  </si>
  <si>
    <t>100004250514192036132752632735</t>
  </si>
  <si>
    <t>15 May 2025 08:28:39</t>
  </si>
  <si>
    <t>15 May 2025</t>
  </si>
  <si>
    <t>2,158.29</t>
  </si>
  <si>
    <t>250515100100714105024241</t>
  </si>
  <si>
    <t>15 May 2025 13:53:19</t>
  </si>
  <si>
    <t xml:space="preserve">Transfer to MUNIRAT OVAYOZA JIMOH | OPay | 7041906444 </t>
  </si>
  <si>
    <t>1,658.29</t>
  </si>
  <si>
    <t>250515010100719434258575</t>
  </si>
  <si>
    <t>15 May 2025 18:55:42</t>
  </si>
  <si>
    <t>1,508.29</t>
  </si>
  <si>
    <t>100004250515185547132811753813</t>
  </si>
  <si>
    <t>15 May 2025 23:00:21</t>
  </si>
  <si>
    <t>1,308.29</t>
  </si>
  <si>
    <t>250515100100728410317626</t>
  </si>
  <si>
    <t>15 May 2025 23:38:44</t>
  </si>
  <si>
    <t>1,008.29</t>
  </si>
  <si>
    <t>250515100100728426650123</t>
  </si>
  <si>
    <t>16 May 2025 12:28:51</t>
  </si>
  <si>
    <t>16 May 2025</t>
  </si>
  <si>
    <t>6,008.29</t>
  </si>
  <si>
    <t>250516010100735678377959</t>
  </si>
  <si>
    <t>16 May 2025 18:20:47</t>
  </si>
  <si>
    <t xml:space="preserve">Transfer to EBEH CHRISTIANA NDIDI | First Bank Of Nigeria | 3024558528 </t>
  </si>
  <si>
    <t>1,550.00</t>
  </si>
  <si>
    <t>4,458.29</t>
  </si>
  <si>
    <t>100004250516182053132876597074</t>
  </si>
  <si>
    <t>16 May 2025 18:37:19</t>
  </si>
  <si>
    <t xml:space="preserve">Transfer to CHIBUZOR THADDEUS UZOMA | OPay | 8060667939 </t>
  </si>
  <si>
    <t>2,600.00</t>
  </si>
  <si>
    <t>1,858.29</t>
  </si>
  <si>
    <t>250516010100742184312856</t>
  </si>
  <si>
    <t>17 May 2025 07:14:40</t>
  </si>
  <si>
    <t>17 May 2025</t>
  </si>
  <si>
    <t>258.29</t>
  </si>
  <si>
    <t>100004250517071445132898621162</t>
  </si>
  <si>
    <t>17 May 2025 08:03:52</t>
  </si>
  <si>
    <t xml:space="preserve">Transfer from ABUBAKAR UMAR UMAR | United Bank For Africa | 207****915 | MOB/UTO/Muhammad Abuba/sent/30634294289 </t>
  </si>
  <si>
    <t>2,258.29</t>
  </si>
  <si>
    <t>000004250517090350519671280471</t>
  </si>
  <si>
    <t>17 May 2025 08:46:54</t>
  </si>
  <si>
    <t>250517100100749951599496</t>
  </si>
  <si>
    <t>17 May 2025 13:27:17</t>
  </si>
  <si>
    <t>250517010100754487516064</t>
  </si>
  <si>
    <t>17 May 2025 16:41:55</t>
  </si>
  <si>
    <t>1,158.29</t>
  </si>
  <si>
    <t>250517010100757927459311</t>
  </si>
  <si>
    <t>17 May 2025 16:55:28</t>
  </si>
  <si>
    <t>1,608.29</t>
  </si>
  <si>
    <t>250517010100757902832386</t>
  </si>
  <si>
    <t>18 May 2025 08:23:50</t>
  </si>
  <si>
    <t>18 May 2025</t>
  </si>
  <si>
    <t>108.29</t>
  </si>
  <si>
    <t>100004250518082354132964181113</t>
  </si>
  <si>
    <t>18 May 2025 15:46:56</t>
  </si>
  <si>
    <t xml:space="preserve">Transfer from SHIRLEY | Zenith Bank | 228****098 |  Trs </t>
  </si>
  <si>
    <t>5,108.29</t>
  </si>
  <si>
    <t>000015250518164656000002866634</t>
  </si>
  <si>
    <t>18 May 2025 16:13:00</t>
  </si>
  <si>
    <t xml:space="preserve">Transfer to POS Transfer - BELLO MUSA GARBA | MONIE POINT | 5433827588 </t>
  </si>
  <si>
    <t>5,100.00</t>
  </si>
  <si>
    <t>8.29</t>
  </si>
  <si>
    <t>100004250518161305132990391492</t>
  </si>
  <si>
    <t>19 May 2025 18:29:30</t>
  </si>
  <si>
    <t>19 May 2025</t>
  </si>
  <si>
    <t xml:space="preserve">Transfer from MUBARAK RISKUA BASHAR | OPay | 703****102 </t>
  </si>
  <si>
    <t>2,008.29</t>
  </si>
  <si>
    <t>250519010100792746692490</t>
  </si>
  <si>
    <t>19 May 2025 18:40:09</t>
  </si>
  <si>
    <t>1,708.29</t>
  </si>
  <si>
    <t>250519100100793066743011</t>
  </si>
  <si>
    <t>19 May 2025 18:46:37</t>
  </si>
  <si>
    <t>3,708.29</t>
  </si>
  <si>
    <t>250519010100793255317788</t>
  </si>
  <si>
    <t>19 May 2025 18:50:14</t>
  </si>
  <si>
    <t>3,600.00</t>
  </si>
  <si>
    <t>250519010100793372865962</t>
  </si>
  <si>
    <t>19 May 2025 19:16:19</t>
  </si>
  <si>
    <t>708.29</t>
  </si>
  <si>
    <t>250519010100793758689666</t>
  </si>
  <si>
    <t>19 May 2025 19:18:24</t>
  </si>
  <si>
    <t>598.29</t>
  </si>
  <si>
    <t>100004250519191828133067797990</t>
  </si>
  <si>
    <t>20 May 2025 16:11:47</t>
  </si>
  <si>
    <t>20 May 2025</t>
  </si>
  <si>
    <t xml:space="preserve">Transfer from KHAIRAT ZUBAIRU | OPay | 703****966 | Abeg by card </t>
  </si>
  <si>
    <t>1,598.29</t>
  </si>
  <si>
    <t>250520010100807409031660</t>
  </si>
  <si>
    <t>20 May 2025 16:47:02</t>
  </si>
  <si>
    <t xml:space="preserve">Mobile Data | 8147735015 | DataMtn | 2GB + 2mins Monthly Plan </t>
  </si>
  <si>
    <t>98.29</t>
  </si>
  <si>
    <t>250520110100807817296799</t>
  </si>
  <si>
    <t>21 May 2025 12:11:39</t>
  </si>
  <si>
    <t>21 May 2025</t>
  </si>
  <si>
    <t>1,198.29</t>
  </si>
  <si>
    <t>250521010100820691001863</t>
  </si>
  <si>
    <t>21 May 2025 12:29:49</t>
  </si>
  <si>
    <t xml:space="preserve">Transfer to GREAT AMEE GLOBAL VENTURES   | OPay | 8061618318 </t>
  </si>
  <si>
    <t>148.29</t>
  </si>
  <si>
    <t>250521180100820943066214</t>
  </si>
  <si>
    <t>22 May 2025 04:27:22</t>
  </si>
  <si>
    <t>22 May 2025</t>
  </si>
  <si>
    <t xml:space="preserve">Transfer from UMAR MUHAMMAD ABUBAKAR | Guaranty Trust Bank | 032****140 | NIP Transfer to MUHAMMAD ABUBAKAR UMAR. 000013250522052559000173309789 </t>
  </si>
  <si>
    <t>19,900.00</t>
  </si>
  <si>
    <t>20,048.29</t>
  </si>
  <si>
    <t>000013250522052559000173309789</t>
  </si>
  <si>
    <t>22 May 2025 04:27:23</t>
  </si>
  <si>
    <t>19,998.29</t>
  </si>
  <si>
    <t>250522140200832200923225</t>
  </si>
  <si>
    <t>22 May 2025 04:28:26</t>
  </si>
  <si>
    <t>16,998.29</t>
  </si>
  <si>
    <t>100004250522042831133205278839</t>
  </si>
  <si>
    <t>22 May 2025 05:07:32</t>
  </si>
  <si>
    <t>16,498.29</t>
  </si>
  <si>
    <t>250522100100832267863504</t>
  </si>
  <si>
    <t>22 May 2025 07:10:47</t>
  </si>
  <si>
    <t>16,298.29</t>
  </si>
  <si>
    <t>100004250522071051133210041739</t>
  </si>
  <si>
    <t>22 May 2025 09:00:47</t>
  </si>
  <si>
    <t xml:space="preserve">Mobile Data | 7065930318 | DataMtn | 2.5GB 2 Day Plan </t>
  </si>
  <si>
    <t>15,398.29</t>
  </si>
  <si>
    <t>250522110100835164742338</t>
  </si>
  <si>
    <t>22 May 2025 10:57:57</t>
  </si>
  <si>
    <t>12,298.29</t>
  </si>
  <si>
    <t>100004250522105801133222676384</t>
  </si>
  <si>
    <t>22 May 2025 13:35:27</t>
  </si>
  <si>
    <t>11,088.29</t>
  </si>
  <si>
    <t>100004250522133532133233824166</t>
  </si>
  <si>
    <t>23 May 2025 12:50:36</t>
  </si>
  <si>
    <t>23 May 2025</t>
  </si>
  <si>
    <t>8,988.29</t>
  </si>
  <si>
    <t>100004250523125040133296369298</t>
  </si>
  <si>
    <t>25 May 2025 07:44:59</t>
  </si>
  <si>
    <t>25 May 2025</t>
  </si>
  <si>
    <t>8,088.29</t>
  </si>
  <si>
    <t>250525100100886672757853</t>
  </si>
  <si>
    <t>25 May 2025 09:03:20</t>
  </si>
  <si>
    <t>4,088.29</t>
  </si>
  <si>
    <t>250525010100887774523024</t>
  </si>
  <si>
    <t>25 May 2025 15:07:43</t>
  </si>
  <si>
    <t>5,088.29</t>
  </si>
  <si>
    <t>250525010100893265530068</t>
  </si>
  <si>
    <t>25 May 2025 15:08:29</t>
  </si>
  <si>
    <t xml:space="preserve">Transfer to Ahmed Suleiman | MONIE POINT | 5517248959 </t>
  </si>
  <si>
    <t>88.29</t>
  </si>
  <si>
    <t>100004250525150835133430634067</t>
  </si>
  <si>
    <t>28 May 2025 09:46:30</t>
  </si>
  <si>
    <t>28 May 2025</t>
  </si>
  <si>
    <t xml:space="preserve">Transfer from JAMIU ADEKUNLE BABATUNDE | PalmPay | 816****884 | JAMIU ADEKUNLE BABATUNDE:8164706884 </t>
  </si>
  <si>
    <t>2,088.29</t>
  </si>
  <si>
    <t>100033250528094629262360542430</t>
  </si>
  <si>
    <t>28 May 2025 09:52:18</t>
  </si>
  <si>
    <t xml:space="preserve">Mobile Data | 8147735015 | DataMtn | 2.5GB 2 Day Plan </t>
  </si>
  <si>
    <t>1,188.29</t>
  </si>
  <si>
    <t>250528110100940504118040</t>
  </si>
  <si>
    <t>28 May 2025 13:04:50</t>
  </si>
  <si>
    <t xml:space="preserve">Transfer from ADAM MUSA MUSA | OPay | 916****274 </t>
  </si>
  <si>
    <t>2,188.29</t>
  </si>
  <si>
    <t>250528010100943728410422</t>
  </si>
  <si>
    <t>28 May 2025 13:05:57</t>
  </si>
  <si>
    <t>100004250528130601133615835583</t>
  </si>
  <si>
    <t>30 May 2025 21:17:02</t>
  </si>
  <si>
    <t>30 May 2025</t>
  </si>
  <si>
    <t>1,088.29</t>
  </si>
  <si>
    <t>250530010100988944905437</t>
  </si>
  <si>
    <t>31 May 2025 06:49:27</t>
  </si>
  <si>
    <t>31 May 2025</t>
  </si>
  <si>
    <t xml:space="preserve">Transfer from UMAR LUBABATU | Guaranty Trust Bank | 017****293 | NIP Transfer to MUHAMMAD ABUBAKAR UMAR. 000013250531074919000193540790 </t>
  </si>
  <si>
    <t>6,088.29</t>
  </si>
  <si>
    <t>000013250531074919000193540790</t>
  </si>
  <si>
    <t>31 May 2025 06:56:54</t>
  </si>
  <si>
    <t>5,188.29</t>
  </si>
  <si>
    <t>250531110100992160732477</t>
  </si>
  <si>
    <t>31 May 2025 06:57:50</t>
  </si>
  <si>
    <t>4,988.29</t>
  </si>
  <si>
    <t>250531100100992213593875</t>
  </si>
  <si>
    <t>31 May 2025 10:00:48</t>
  </si>
  <si>
    <t>488.29</t>
  </si>
  <si>
    <t>100004250531100053133808513388</t>
  </si>
  <si>
    <t>01 Jun 2025 07:25:18</t>
  </si>
  <si>
    <t>01 Jun 2025</t>
  </si>
  <si>
    <t xml:space="preserve">Airtime | 9013134710 | AIR </t>
  </si>
  <si>
    <t>388.29</t>
  </si>
  <si>
    <t>250601100100011814466164</t>
  </si>
  <si>
    <t>02 Jun 2025 13:34:59</t>
  </si>
  <si>
    <t>02 Jun 2025</t>
  </si>
  <si>
    <t xml:space="preserve">Transfer from STELLA ADURAGBEMI OMOKAYODE | OPay | 705****928 </t>
  </si>
  <si>
    <t>3,388.29</t>
  </si>
  <si>
    <t>250602010100035855369332</t>
  </si>
  <si>
    <t>02 Jun 2025 13:37:07</t>
  </si>
  <si>
    <t>288.29</t>
  </si>
  <si>
    <t>250602010100035912184178</t>
  </si>
  <si>
    <t>03 Jun 2025 04:48:43</t>
  </si>
  <si>
    <t>03 Jun 2025</t>
  </si>
  <si>
    <t xml:space="preserve">Transfer from UGHELU CHARLES CHUKWUDALU | First Bank Of Nigeria | 308****194 | FBNMOBILE:MUHAMMAD ABUBAKAR UMAR/CHARLES </t>
  </si>
  <si>
    <t>50,288.29</t>
  </si>
  <si>
    <t>000016250603054840000073364522</t>
  </si>
  <si>
    <t>03 Jun 2025 04:48:45</t>
  </si>
  <si>
    <t>50,238.29</t>
  </si>
  <si>
    <t>250603140200046802084154</t>
  </si>
  <si>
    <t>03 Jun 2025 06:08:22</t>
  </si>
  <si>
    <t>13,469.00</t>
  </si>
  <si>
    <t>36,769.29</t>
  </si>
  <si>
    <t>250603140200047365614895</t>
  </si>
  <si>
    <t>03 Jun 2025 07:00:15</t>
  </si>
  <si>
    <t>35,969.29</t>
  </si>
  <si>
    <t>100004250603070019134003061469</t>
  </si>
  <si>
    <t>03 Jun 2025 07:25:30</t>
  </si>
  <si>
    <t xml:space="preserve">Transfer to STELLA ADURAGBEMI OMOKAYODE | OPay | 7059249928 </t>
  </si>
  <si>
    <t>32,969.29</t>
  </si>
  <si>
    <t>250603010100048473664039</t>
  </si>
  <si>
    <t>03 Jun 2025 07:31:32</t>
  </si>
  <si>
    <t>32,519.29</t>
  </si>
  <si>
    <t>100004250603073137134005678192</t>
  </si>
  <si>
    <t>03 Jun 2025 07:57:13</t>
  </si>
  <si>
    <t xml:space="preserve">Transfer to EMMANUEL CHUKWUEMEKA ONYEAGIRI | OPay | 9160792270 </t>
  </si>
  <si>
    <t>9,000.00</t>
  </si>
  <si>
    <t>23,519.29</t>
  </si>
  <si>
    <t>250603010100048926045079</t>
  </si>
  <si>
    <t>03 Jun 2025 08:25:25</t>
  </si>
  <si>
    <t xml:space="preserve">Transfer to SOMTO EMMANUEL ENWELUZOR | OPay | 9130263766 </t>
  </si>
  <si>
    <t>23,019.29</t>
  </si>
  <si>
    <t>250603010100049525249478</t>
  </si>
  <si>
    <t>03 Jun 2025 13:09:26</t>
  </si>
  <si>
    <t xml:space="preserve">Transfer to MUHAMMED ABDULLAHI | SmartCash Payment Service Bank | 8024484674 </t>
  </si>
  <si>
    <t>22,519.29</t>
  </si>
  <si>
    <t>100004250603130932134028874620</t>
  </si>
  <si>
    <t>03 Jun 2025 13:10:11</t>
  </si>
  <si>
    <t>20,409.29</t>
  </si>
  <si>
    <t>100004250603131015134029388724</t>
  </si>
  <si>
    <t>03 Jun 2025 20:15:54</t>
  </si>
  <si>
    <t>19,509.29</t>
  </si>
  <si>
    <t>250603100100062931807799</t>
  </si>
  <si>
    <t>04 Jun 2025 13:26:19</t>
  </si>
  <si>
    <t>04 Jun 2025</t>
  </si>
  <si>
    <t xml:space="preserve">Transfer to POS Transfer - MUAZU BILYAMINU | MONIE POINT | 5515295753 </t>
  </si>
  <si>
    <t>16,409.29</t>
  </si>
  <si>
    <t>100004250604132623134101636647</t>
  </si>
  <si>
    <t>04 Jun 2025 13:31:14</t>
  </si>
  <si>
    <t xml:space="preserve">Transfer from CHUKWUDINMA NWOKUKEMODO EMMANUEL | Access Bank | 148****396 | NIPMUHAMMAD ABUBAKAR UMAR8145015CHUKWUDINMA NWOKUKEMODO EMMANUEL </t>
  </si>
  <si>
    <t>17,409.29</t>
  </si>
  <si>
    <t>000014250604143113245589014591</t>
  </si>
  <si>
    <t>04 Jun 2025 15:25:15</t>
  </si>
  <si>
    <t>17,109.29</t>
  </si>
  <si>
    <t>250604100100076692067064</t>
  </si>
  <si>
    <t>04 Jun 2025 20:46:38</t>
  </si>
  <si>
    <t>9,109.29</t>
  </si>
  <si>
    <t>250604010100083460184591</t>
  </si>
  <si>
    <t>04 Jun 2025 20:48:42</t>
  </si>
  <si>
    <t>9,009.29</t>
  </si>
  <si>
    <t>250604010100083415463301</t>
  </si>
  <si>
    <t>05 Jun 2025 10:20:26</t>
  </si>
  <si>
    <t>05 Jun 2025</t>
  </si>
  <si>
    <t>8,109.29</t>
  </si>
  <si>
    <t>250605110100091214961225</t>
  </si>
  <si>
    <t>06 Jun 2025 10:24:02</t>
  </si>
  <si>
    <t>06 Jun 2025</t>
  </si>
  <si>
    <t>7,209.29</t>
  </si>
  <si>
    <t>250606110100111723678622</t>
  </si>
  <si>
    <t>06 Jun 2025 18:42:55</t>
  </si>
  <si>
    <t>8,209.29</t>
  </si>
  <si>
    <t>250606010100119886473490</t>
  </si>
  <si>
    <t>06 Jun 2025 19:04:55</t>
  </si>
  <si>
    <t>7,309.29</t>
  </si>
  <si>
    <t>250606110100120364187030</t>
  </si>
  <si>
    <t>06 Jun 2025 19:42:14</t>
  </si>
  <si>
    <t>7,109.29</t>
  </si>
  <si>
    <t>250606100100120841914340</t>
  </si>
  <si>
    <t>07 Jun 2025 15:20:58</t>
  </si>
  <si>
    <t>07 Jun 2025</t>
  </si>
  <si>
    <t xml:space="preserve">Transfer to POS Transfer - RACHEAL DITEP | MONIE POINT | 5525255367 </t>
  </si>
  <si>
    <t>950.00</t>
  </si>
  <si>
    <t>6,159.29</t>
  </si>
  <si>
    <t>100004250607152109134326182294</t>
  </si>
  <si>
    <t>08 Jun 2025 15:42:17</t>
  </si>
  <si>
    <t>08 Jun 2025</t>
  </si>
  <si>
    <t>5,559.29</t>
  </si>
  <si>
    <t>100004250608154220134384150817</t>
  </si>
  <si>
    <t>08 Jun 2025 15:57:56</t>
  </si>
  <si>
    <t xml:space="preserve">Mobile Data | 9115743772 | DataAir | 3GB 2-Daily Plan </t>
  </si>
  <si>
    <t>4,559.29</t>
  </si>
  <si>
    <t>250608110100150099396687</t>
  </si>
  <si>
    <t>08 Jun 2025 16:18:22</t>
  </si>
  <si>
    <t xml:space="preserve">Mobile Data | 9115743772 | DataAir | 1GB Daily Plan </t>
  </si>
  <si>
    <t>4,059.29</t>
  </si>
  <si>
    <t>250608110100150356198371</t>
  </si>
  <si>
    <t>08 Jun 2025 17:15:27</t>
  </si>
  <si>
    <t>3,859.29</t>
  </si>
  <si>
    <t>250608100100151151382710</t>
  </si>
  <si>
    <t>08 Jun 2025 19:30:17</t>
  </si>
  <si>
    <t>32,000.00</t>
  </si>
  <si>
    <t>35,859.29</t>
  </si>
  <si>
    <t>250608010200153457659281</t>
  </si>
  <si>
    <t>08 Jun 2025 20:25:52</t>
  </si>
  <si>
    <t>15,859.29</t>
  </si>
  <si>
    <t>100004250608202615134401133485</t>
  </si>
  <si>
    <t>09 Jun 2025 06:44:56</t>
  </si>
  <si>
    <t>09 Jun 2025</t>
  </si>
  <si>
    <t>7,350.00</t>
  </si>
  <si>
    <t>8,509.29</t>
  </si>
  <si>
    <t>100004250609064503134409317816</t>
  </si>
  <si>
    <t>09 Jun 2025 10:57:40</t>
  </si>
  <si>
    <t xml:space="preserve">Mobile Data | 8132864524 | DataMtn | 3.2GB 2 Days Plan </t>
  </si>
  <si>
    <t>7,509.29</t>
  </si>
  <si>
    <t>250609110100161572051647</t>
  </si>
  <si>
    <t>09 Jun 2025 16:08:02</t>
  </si>
  <si>
    <t>6,959.29</t>
  </si>
  <si>
    <t>100004250609160806134446160430</t>
  </si>
  <si>
    <t>09 Jun 2025 18:26:22</t>
  </si>
  <si>
    <t>100004250609182627134454500699</t>
  </si>
  <si>
    <t>10 Jun 2025 11:14:13</t>
  </si>
  <si>
    <t>10 Jun 2025</t>
  </si>
  <si>
    <t xml:space="preserve">Transfer to OLUWADAMISI VICTORIA OLATEJU | OPay | 8137210018 </t>
  </si>
  <si>
    <t>5,159.29</t>
  </si>
  <si>
    <t>250610010100179001223118</t>
  </si>
  <si>
    <t>10 Jun 2025 14:23:34</t>
  </si>
  <si>
    <t>4,659.29</t>
  </si>
  <si>
    <t>100004250610142338134503822162</t>
  </si>
  <si>
    <t>11 Jun 2025 03:59:33</t>
  </si>
  <si>
    <t>11 Jun 2025</t>
  </si>
  <si>
    <t>4,459.29</t>
  </si>
  <si>
    <t>250611100100191761745586</t>
  </si>
  <si>
    <t>11 Jun 2025 08:22:27</t>
  </si>
  <si>
    <t>3,459.29</t>
  </si>
  <si>
    <t>100004250611082231134544263669</t>
  </si>
  <si>
    <t>11 Jun 2025 11:42:51</t>
  </si>
  <si>
    <t>3,259.29</t>
  </si>
  <si>
    <t>250611100100197300486637</t>
  </si>
  <si>
    <t>11 Jun 2025 12:36:44</t>
  </si>
  <si>
    <t>6,259.29</t>
  </si>
  <si>
    <t>250611010100198252244181</t>
  </si>
  <si>
    <t>11 Jun 2025 13:26:41</t>
  </si>
  <si>
    <t>5,959.29</t>
  </si>
  <si>
    <t>250611100100199039340768</t>
  </si>
  <si>
    <t>11 Jun 2025 19:27:24</t>
  </si>
  <si>
    <t>100004250611192727134592937427</t>
  </si>
  <si>
    <t>11 Jun 2025 21:51:33</t>
  </si>
  <si>
    <t>4,959.29</t>
  </si>
  <si>
    <t>250611100100208143709974</t>
  </si>
  <si>
    <t>12 Jun 2025 07:25:25</t>
  </si>
  <si>
    <t>12 Jun 2025</t>
  </si>
  <si>
    <t>3,959.29</t>
  </si>
  <si>
    <t>100004250612072529134607702212</t>
  </si>
  <si>
    <t>12 Jun 2025 08:05:30</t>
  </si>
  <si>
    <t>1,959.29</t>
  </si>
  <si>
    <t>250612010100211398406506</t>
  </si>
  <si>
    <t>12 Jun 2025 08:29:21</t>
  </si>
  <si>
    <t>1,609.29</t>
  </si>
  <si>
    <t>100004250612082925134610636574</t>
  </si>
  <si>
    <t>12 Jun 2025 08:57:24</t>
  </si>
  <si>
    <t>3,109.29</t>
  </si>
  <si>
    <t>100033250612085724090229002866</t>
  </si>
  <si>
    <t>13 Jun 2025 09:35:18</t>
  </si>
  <si>
    <t>13 Jun 2025</t>
  </si>
  <si>
    <t>2,909.29</t>
  </si>
  <si>
    <t>250613100100230694224914</t>
  </si>
  <si>
    <t>13 Jun 2025 13:16:25</t>
  </si>
  <si>
    <t>2,809.29</t>
  </si>
  <si>
    <t>100004250613131629134697430257</t>
  </si>
  <si>
    <t>13 Jun 2025 15:19:49</t>
  </si>
  <si>
    <t>2,509.29</t>
  </si>
  <si>
    <t>100004250613151953134705941746</t>
  </si>
  <si>
    <t>14 Jun 2025 18:18:11</t>
  </si>
  <si>
    <t>14 Jun 2025</t>
  </si>
  <si>
    <t>2,409.29</t>
  </si>
  <si>
    <t>100004250614181815134785078405</t>
  </si>
  <si>
    <t>15 Jun 2025 13:18:02</t>
  </si>
  <si>
    <t>15 Jun 2025</t>
  </si>
  <si>
    <t>2,209.29</t>
  </si>
  <si>
    <t>250615100100268414101665</t>
  </si>
  <si>
    <t>15 Jun 2025 13:31:18</t>
  </si>
  <si>
    <t>1,559.29</t>
  </si>
  <si>
    <t>100004250615133122134823124582</t>
  </si>
  <si>
    <t>15 Jun 2025 15:25:27</t>
  </si>
  <si>
    <t>1,359.29</t>
  </si>
  <si>
    <t>250615100100270091355755</t>
  </si>
  <si>
    <t>16 Jun 2025 08:18:16</t>
  </si>
  <si>
    <t>16 Jun 2025</t>
  </si>
  <si>
    <t>809.29</t>
  </si>
  <si>
    <t>100004250616081822134861560149</t>
  </si>
  <si>
    <t>16 Jun 2025 14:34:04</t>
  </si>
  <si>
    <t xml:space="preserve">Transfer from UMAR MUHAMMAD ABUBAKAR | Guaranty Trust Bank | 032****140 | NIP Transfer to MUHAMMAD ABUBAKAR UMAR. 000013250616153403000227643170 </t>
  </si>
  <si>
    <t>19,950.00</t>
  </si>
  <si>
    <t>20,759.29</t>
  </si>
  <si>
    <t>000013250616153403000227643170</t>
  </si>
  <si>
    <t>16 Jun 2025 14:34:05</t>
  </si>
  <si>
    <t>20,709.29</t>
  </si>
  <si>
    <t>250616140200286726250615</t>
  </si>
  <si>
    <t>16 Jun 2025 14:46:40</t>
  </si>
  <si>
    <t>9,709.29</t>
  </si>
  <si>
    <t>250616100100286567165006</t>
  </si>
  <si>
    <t>16 Jun 2025 14:49:14</t>
  </si>
  <si>
    <t>9,459.29</t>
  </si>
  <si>
    <t>250616100100286881478536</t>
  </si>
  <si>
    <t>16 Jun 2025 14:50:54</t>
  </si>
  <si>
    <t>8,459.29</t>
  </si>
  <si>
    <t>250616100100286772268549</t>
  </si>
  <si>
    <t>16 Jun 2025 15:20:03</t>
  </si>
  <si>
    <t>5,459.29</t>
  </si>
  <si>
    <t>250616010100287396792491</t>
  </si>
  <si>
    <t>16 Jun 2025 16:53:16</t>
  </si>
  <si>
    <t>5,259.29</t>
  </si>
  <si>
    <t>250616100100288981511442</t>
  </si>
  <si>
    <t>16 Jun 2025 18:17:17</t>
  </si>
  <si>
    <t>3,559.29</t>
  </si>
  <si>
    <t>100004250616181721134904811549</t>
  </si>
  <si>
    <t>17 Jun 2025 13:55:47</t>
  </si>
  <si>
    <t>17 Jun 2025</t>
  </si>
  <si>
    <t>3,159.29</t>
  </si>
  <si>
    <t>100004250617135551134951755833</t>
  </si>
  <si>
    <t>17 Jun 2025 17:29:01</t>
  </si>
  <si>
    <t>250617010100307617364459</t>
  </si>
  <si>
    <t>17 Jun 2025 20:39:22</t>
  </si>
  <si>
    <t>5,009.29</t>
  </si>
  <si>
    <t>100004250617203950134982578838</t>
  </si>
  <si>
    <t>18 Jun 2025 06:50:31</t>
  </si>
  <si>
    <t>18 Jun 2025</t>
  </si>
  <si>
    <t>4,409.29</t>
  </si>
  <si>
    <t>100004250618065034134991517635</t>
  </si>
  <si>
    <t>18 Jun 2025 10:36:58</t>
  </si>
  <si>
    <t xml:space="preserve">Mobile Data | 7073934799 | DataMtn | 1.5GB 2 Days Plan + 100MB for YouTube Music </t>
  </si>
  <si>
    <t>3,809.29</t>
  </si>
  <si>
    <t>250618110100318340432845</t>
  </si>
  <si>
    <t>19 Jun 2025 10:39:44</t>
  </si>
  <si>
    <t>19 Jun 2025</t>
  </si>
  <si>
    <t>2,709.29</t>
  </si>
  <si>
    <t>100004250619103948135071710596</t>
  </si>
  <si>
    <t>19 Jun 2025 17:03:31</t>
  </si>
  <si>
    <t>2,349.29</t>
  </si>
  <si>
    <t>100004250619170335135099650620</t>
  </si>
  <si>
    <t>19 Jun 2025 18:09:27</t>
  </si>
  <si>
    <t>3,349.29</t>
  </si>
  <si>
    <t>250619010100343943511898</t>
  </si>
  <si>
    <t>19 Jun 2025 19:04:19</t>
  </si>
  <si>
    <t>3,149.29</t>
  </si>
  <si>
    <t>100004250619190425135108235560</t>
  </si>
  <si>
    <t>20 Jun 2025 08:07:28</t>
  </si>
  <si>
    <t>20 Jun 2025</t>
  </si>
  <si>
    <t>2,949.29</t>
  </si>
  <si>
    <t>100004250620080735135127871842</t>
  </si>
  <si>
    <t>20 Jun 2025 11:35:08</t>
  </si>
  <si>
    <t xml:space="preserve">Transfer from UMAR MUHAMMAD ABUBAKAR | Guaranty Trust Bank | 032****140 | NIP Transfer to MUHAMMAD ABUBAKAR UMAR. 000013250620123508000235401441 </t>
  </si>
  <si>
    <t>2,900.00</t>
  </si>
  <si>
    <t>5,849.29</t>
  </si>
  <si>
    <t>000013250620123508000235401441</t>
  </si>
  <si>
    <t>20 Jun 2025 13:50:07</t>
  </si>
  <si>
    <t xml:space="preserve">Transfer to A A ANNABILISI PHONE ACCESSORIES CENTER - ALHASSAN AMINU - | MONIE POINT | 5643493054 </t>
  </si>
  <si>
    <t>100004250620135011135151977596</t>
  </si>
  <si>
    <t>21 Jun 2025 09:51:09</t>
  </si>
  <si>
    <t>21 Jun 2025</t>
  </si>
  <si>
    <t>1,549.29</t>
  </si>
  <si>
    <t>100004250621095113135200792195</t>
  </si>
  <si>
    <t>22 Jun 2025 11:43:19</t>
  </si>
  <si>
    <t>22 Jun 2025</t>
  </si>
  <si>
    <t xml:space="preserve">Transfer from UMARU-AGWAI ABDUL UTHMAN ABUBA | Guaranty Trust Bank | 012****520 | NIP Transfer to MUHAMMAD ABUBAKAR UMAR. 000013250622124318000239166884 </t>
  </si>
  <si>
    <t>11,549.29</t>
  </si>
  <si>
    <t>000013250622124318000239166884</t>
  </si>
  <si>
    <t>22 Jun 2025 11:43:20</t>
  </si>
  <si>
    <t>11,499.29</t>
  </si>
  <si>
    <t>250622140200390242809186</t>
  </si>
  <si>
    <t>22 Jun 2025 11:48:41</t>
  </si>
  <si>
    <t xml:space="preserve">Transfer to POS Transfer- JIBRIN MUSA YUSUF | MONIE POINT | 5746353466 </t>
  </si>
  <si>
    <t>10,100.00</t>
  </si>
  <si>
    <t>1,399.29</t>
  </si>
  <si>
    <t>100004250622114845135270897333</t>
  </si>
  <si>
    <t>22 Jun 2025 15:17:07</t>
  </si>
  <si>
    <t xml:space="preserve">Transfer to YINUSA  SULEIMAN | MONIE POINT | 8223143103 </t>
  </si>
  <si>
    <t>699.29</t>
  </si>
  <si>
    <t>100004250622151711135283364066</t>
  </si>
  <si>
    <t>22 Jun 2025 15:20:04</t>
  </si>
  <si>
    <t>549.29</t>
  </si>
  <si>
    <t>100004250622152008135284092236</t>
  </si>
  <si>
    <t>24 Jun 2025 07:49:36</t>
  </si>
  <si>
    <t>24 Jun 2025</t>
  </si>
  <si>
    <t>25,000.00</t>
  </si>
  <si>
    <t>25,549.29</t>
  </si>
  <si>
    <t>250624010100421871014754</t>
  </si>
  <si>
    <t>24 Jun 2025 07:49:41</t>
  </si>
  <si>
    <t>25,499.29</t>
  </si>
  <si>
    <t>250624140200421820967023</t>
  </si>
  <si>
    <t>24 Jun 2025 08:19:39</t>
  </si>
  <si>
    <t xml:space="preserve">Transfer to PAYSTACK CHECKOUT | PAYSTACK-TITAN | 9994110837 </t>
  </si>
  <si>
    <t>23,255.55</t>
  </si>
  <si>
    <t>2,243.74</t>
  </si>
  <si>
    <t>100004250624081954135385045327</t>
  </si>
  <si>
    <t>24 Jun 2025 15:50:51</t>
  </si>
  <si>
    <t>1,743.74</t>
  </si>
  <si>
    <t>100004250624155054135414955367</t>
  </si>
  <si>
    <t>25 Jun 2025 11:26:31</t>
  </si>
  <si>
    <t>25 Jun 2025</t>
  </si>
  <si>
    <t>1,593.74</t>
  </si>
  <si>
    <t>APT00003250625112636135464162365</t>
  </si>
  <si>
    <t>25 Jun 2025 12:32:02</t>
  </si>
  <si>
    <t>1,393.74</t>
  </si>
  <si>
    <t>APT00003250625123206135468911229</t>
  </si>
  <si>
    <t>25 Jun 2025 16:10:03</t>
  </si>
  <si>
    <t>1,193.74</t>
  </si>
  <si>
    <t>250625100100449033258504</t>
  </si>
  <si>
    <t>25 Jun 2025 18:19:17</t>
  </si>
  <si>
    <t>693.74</t>
  </si>
  <si>
    <t>100004250625181926135494121313</t>
  </si>
  <si>
    <t>25 Jun 2025 19:28:59</t>
  </si>
  <si>
    <t xml:space="preserve">Transfer from UMAR AISHA | Guaranty Trust Bank | 023****265 | NIP Transfer to MUHAMMAD ABUBAKAR UMAR. 000013250625202858000246077203 </t>
  </si>
  <si>
    <t>2,693.74</t>
  </si>
  <si>
    <t>000013250625202858000246077203</t>
  </si>
  <si>
    <t>25 Jun 2025 20:01:56</t>
  </si>
  <si>
    <t xml:space="preserve">Mobile Data | 8132974295 | DataMtn | 3.2GB 2 Days Plan </t>
  </si>
  <si>
    <t>1,693.74</t>
  </si>
  <si>
    <t>250625110100453789060670</t>
  </si>
  <si>
    <t>27 Jun 2025 04:30:27</t>
  </si>
  <si>
    <t>27 Jun 2025</t>
  </si>
  <si>
    <t>1,493.74</t>
  </si>
  <si>
    <t>250627100100474655748150</t>
  </si>
  <si>
    <t>27 Jun 2025 11:40:15</t>
  </si>
  <si>
    <t>993.74</t>
  </si>
  <si>
    <t>100004250627114019135601439171</t>
  </si>
  <si>
    <t>27 Jun 2025 20:44:26</t>
  </si>
  <si>
    <t xml:space="preserve">Transfer from CHRISTIANA CHINENYE UGORJI | MONIE POINT | 680****527 | CHRISTIANA C Trf for Customer/AT68_TRF2MPT6o0jw1938699964491694080 </t>
  </si>
  <si>
    <t>79,000.00</t>
  </si>
  <si>
    <t>79,993.74</t>
  </si>
  <si>
    <t>090405250627214425284694454134</t>
  </si>
  <si>
    <t>27 Jun 2025 20:44:28</t>
  </si>
  <si>
    <t>79,943.74</t>
  </si>
  <si>
    <t>250627140200491255951230</t>
  </si>
  <si>
    <t>27 Jun 2025 21:53:10</t>
  </si>
  <si>
    <t>54,943.74</t>
  </si>
  <si>
    <t>250627010100492118331737</t>
  </si>
  <si>
    <t>27 Jun 2025 22:07:50</t>
  </si>
  <si>
    <t xml:space="preserve">Transfer to PAYSTACK CHECKOUT | PAYSTACK-TITAN | 9987305615 </t>
  </si>
  <si>
    <t>23,146.35</t>
  </si>
  <si>
    <t>31,797.39</t>
  </si>
  <si>
    <t>100004250627220754135648179461</t>
  </si>
  <si>
    <t>27 Jun 2025 22:10:51</t>
  </si>
  <si>
    <t>30,997.39</t>
  </si>
  <si>
    <t>100004250627221055135648078489</t>
  </si>
  <si>
    <t>27 Jun 2025 22:57:16</t>
  </si>
  <si>
    <t xml:space="preserve">Transfer from Sussan Omeruah | Fairmoney MFB | 617****466 </t>
  </si>
  <si>
    <t>81,335.00</t>
  </si>
  <si>
    <t>112,332.39</t>
  </si>
  <si>
    <t>090551250627235716000212546353</t>
  </si>
  <si>
    <t>27 Jun 2025 22:57:18</t>
  </si>
  <si>
    <t>112,282.39</t>
  </si>
  <si>
    <t>250627140200493099965349</t>
  </si>
  <si>
    <t>27 Jun 2025 22:58:23</t>
  </si>
  <si>
    <t>81,000.00</t>
  </si>
  <si>
    <t>31,282.39</t>
  </si>
  <si>
    <t>250627010100493049865241</t>
  </si>
  <si>
    <t>28 Jun 2025 09:30:02</t>
  </si>
  <si>
    <t>28 Jun 2025</t>
  </si>
  <si>
    <t>30,582.39</t>
  </si>
  <si>
    <t>100004250628093007135663783482</t>
  </si>
  <si>
    <t>28 Jun 2025 12:22:24</t>
  </si>
  <si>
    <t xml:space="preserve">Transfer to POS Transfer - JUSTINA PIUS | MONIE POINT | 5579985166 </t>
  </si>
  <si>
    <t>25,482.39</t>
  </si>
  <si>
    <t>100004250628122230135675387623</t>
  </si>
  <si>
    <t>28 Jun 2025 12:32:18</t>
  </si>
  <si>
    <t xml:space="preserve">Airtime | 8069634223 | MTN </t>
  </si>
  <si>
    <t>25,182.39</t>
  </si>
  <si>
    <t>250628100100500855489309</t>
  </si>
  <si>
    <t>28 Jun 2025 14:06:42</t>
  </si>
  <si>
    <t xml:space="preserve">Transfer to Bread Republic Shopping Complex | MONIE POINT | 5050995556 </t>
  </si>
  <si>
    <t>7,300.00</t>
  </si>
  <si>
    <t>17,882.39</t>
  </si>
  <si>
    <t>100004250628140646135682015672</t>
  </si>
  <si>
    <t>28 Jun 2025 14:09:59</t>
  </si>
  <si>
    <t xml:space="preserve">Transfer to POS Transfer - LAWAL UMAR | MONIE POINT | 8209289898 </t>
  </si>
  <si>
    <t>5,510.00</t>
  </si>
  <si>
    <t>12,372.39</t>
  </si>
  <si>
    <t>100004250628141003135681546296</t>
  </si>
  <si>
    <t>28 Jun 2025 14:13:45</t>
  </si>
  <si>
    <t xml:space="preserve">Transfer to POS Transfer- YUSUF RUFAI | MONIE POINT | 5920600500 </t>
  </si>
  <si>
    <t>11,362.39</t>
  </si>
  <si>
    <t>100004250628141348135682099580</t>
  </si>
  <si>
    <t>28 Jun 2025 18:54:49</t>
  </si>
  <si>
    <t xml:space="preserve">Transfer from EMMANUEL OMOTAYO OLATUNBI | PalmPay | 701****509 | EMMANUEL OMOTAYO OLATUNBI:7012668509 </t>
  </si>
  <si>
    <t>16,362.39</t>
  </si>
  <si>
    <t>100033250628185449090250791351</t>
  </si>
  <si>
    <t>28 Jun 2025 19:50:20</t>
  </si>
  <si>
    <t>15,152.39</t>
  </si>
  <si>
    <t>100004250628195024135711112393</t>
  </si>
  <si>
    <t>28 Jun 2025 20:24:31</t>
  </si>
  <si>
    <t>14,642.39</t>
  </si>
  <si>
    <t>100004250628202435135713465022</t>
  </si>
  <si>
    <t>29 Jun 2025 08:01:50</t>
  </si>
  <si>
    <t>29 Jun 2025</t>
  </si>
  <si>
    <t>3,642.39</t>
  </si>
  <si>
    <t>250629100100514666674023</t>
  </si>
  <si>
    <t>29 Jun 2025 10:04:39</t>
  </si>
  <si>
    <t xml:space="preserve">Transfer from AJAYI EMMANUEL AGBOOLA - FAST AJ RESOURCES | Kuda MFB | 300****607 | Sent from Kuda Business </t>
  </si>
  <si>
    <t>156,181.00</t>
  </si>
  <si>
    <t>159,823.39</t>
  </si>
  <si>
    <t>090267250629100439113002611607</t>
  </si>
  <si>
    <t>29 Jun 2025 10:04:42</t>
  </si>
  <si>
    <t>159,773.39</t>
  </si>
  <si>
    <t>250629140200516456913532</t>
  </si>
  <si>
    <t>29 Jun 2025 10:19:34</t>
  </si>
  <si>
    <t>156,000.00</t>
  </si>
  <si>
    <t>3,773.39</t>
  </si>
  <si>
    <t>250629010100516640853654</t>
  </si>
  <si>
    <t>30 Jun 2025 15:42:57</t>
  </si>
  <si>
    <t>30 Jun 2025</t>
  </si>
  <si>
    <t xml:space="preserve">Transfer from UMAR LUBABATU | Guaranty Trust Bank | 017****293 | NIP Transfer to MUHAMMAD ABUBAKAR UMAR. 000013250630164256000256346370 </t>
  </si>
  <si>
    <t>8,773.39</t>
  </si>
  <si>
    <t>000013250630164256000256346370</t>
  </si>
  <si>
    <t>30 Jun 2025 15:51:14</t>
  </si>
  <si>
    <t>8,273.39</t>
  </si>
  <si>
    <t>250630100100540240659192</t>
  </si>
  <si>
    <t>30 Jun 2025 15:52:23</t>
  </si>
  <si>
    <t xml:space="preserve">Transfer from ABDUL UTHMAN-ABUBAKR UMARU-AGWAI | OPay | 803****545 </t>
  </si>
  <si>
    <t>21,273.39</t>
  </si>
  <si>
    <t>250630010100540244453638</t>
  </si>
  <si>
    <t>30 Jun 2025 15:52:34</t>
  </si>
  <si>
    <t>21,223.39</t>
  </si>
  <si>
    <t>250630140200540354675417</t>
  </si>
  <si>
    <t>30 Jun 2025 16:10:26</t>
  </si>
  <si>
    <t xml:space="preserve">OPay Card Payment | 2ISMHFVO | 000000013712 | T First jibell      013712 2ISMHFVO LANG </t>
  </si>
  <si>
    <t>13,999.00</t>
  </si>
  <si>
    <t>7,224.39</t>
  </si>
  <si>
    <t>250630330100540765893020</t>
  </si>
  <si>
    <t>30 Jun 2025 16:52:18</t>
  </si>
  <si>
    <t xml:space="preserve">Transfer from UTHMAN HAFSAT TOYIN | United Bank For Africa | 202****428 | LEO/SBW/UTO/Muhammad Abuba </t>
  </si>
  <si>
    <t>12,224.39</t>
  </si>
  <si>
    <t>000004250630175215677353515654</t>
  </si>
  <si>
    <t>30 Jun 2025 16:54:58</t>
  </si>
  <si>
    <t xml:space="preserve">Transfer to EMMANUEL OMOTAYO OLATUNBI | OPay | 7012668509 </t>
  </si>
  <si>
    <t>250630010100541637176770</t>
  </si>
  <si>
    <t>30 Jun 2025 18:27:46</t>
  </si>
  <si>
    <t>6,074.39</t>
  </si>
  <si>
    <t>100004250630182749135835057536</t>
  </si>
  <si>
    <t>01 Jul 2025 11:06:57</t>
  </si>
  <si>
    <t>01 Jul 2025</t>
  </si>
  <si>
    <t>5,474.39</t>
  </si>
  <si>
    <t>100004250701110700135872834946</t>
  </si>
  <si>
    <t>01 Jul 2025 20:57:30</t>
  </si>
  <si>
    <t xml:space="preserve">Transfer from ABUBAKAR UMAR UMAR | United Bank For Africa | 207****915 | MOB/UTO/Muhammad Abuba/sent /31531707692 </t>
  </si>
  <si>
    <t>8,474.39</t>
  </si>
  <si>
    <t>000004250701215726968259427173</t>
  </si>
  <si>
    <t>02 Jul 2025 08:32:07</t>
  </si>
  <si>
    <t>02 Jul 2025</t>
  </si>
  <si>
    <t xml:space="preserve">Transfer to HUDU MUHAMMAD | OPay | 9038071391 </t>
  </si>
  <si>
    <t>5,674.39</t>
  </si>
  <si>
    <t>250702010100571715546959</t>
  </si>
  <si>
    <t>02 Jul 2025 12:17:55</t>
  </si>
  <si>
    <t>5,374.39</t>
  </si>
  <si>
    <t>100004250702121801135950755530</t>
  </si>
  <si>
    <t>02 Jul 2025 16:05:58</t>
  </si>
  <si>
    <t>4,374.39</t>
  </si>
  <si>
    <t>250702010100580289307562</t>
  </si>
  <si>
    <t>02 Jul 2025 20:24:59</t>
  </si>
  <si>
    <t xml:space="preserve">Transfer to HASSAN YUSUF JIBRIN | OPay | 8117459301 </t>
  </si>
  <si>
    <t>3,774.39</t>
  </si>
  <si>
    <t>250702010100585902521748</t>
  </si>
  <si>
    <t>03 Jul 2025 08:57:56</t>
  </si>
  <si>
    <t>03 Jul 2025</t>
  </si>
  <si>
    <t>3,174.39</t>
  </si>
  <si>
    <t>100004250703085801136012234772</t>
  </si>
  <si>
    <t>04 Jul 2025 10:03:03</t>
  </si>
  <si>
    <t>04 Jul 2025</t>
  </si>
  <si>
    <t>2,174.39</t>
  </si>
  <si>
    <t>100004250704100307136084770333</t>
  </si>
  <si>
    <t>05 Jul 2025 16:23:42</t>
  </si>
  <si>
    <t>05 Jul 2025</t>
  </si>
  <si>
    <t>1,774.39</t>
  </si>
  <si>
    <t>100004250705162346136182496725</t>
  </si>
  <si>
    <t>06 Jul 2025 16:34:56</t>
  </si>
  <si>
    <t>06 Jul 2025</t>
  </si>
  <si>
    <t>1,474.39</t>
  </si>
  <si>
    <t>100004250706163500136250623982</t>
  </si>
  <si>
    <t>07 Jul 2025 10:00:31</t>
  </si>
  <si>
    <t>07 Jul 2025</t>
  </si>
  <si>
    <t>1,274.39</t>
  </si>
  <si>
    <t>100004250707100034136289731171</t>
  </si>
  <si>
    <t>07 Jul 2025 12:37:30</t>
  </si>
  <si>
    <t xml:space="preserve">Transfer to POS Transfer-MAIMUNA ALIYU AHMED | MONIE POINT | 5055656489 </t>
  </si>
  <si>
    <t>774.39</t>
  </si>
  <si>
    <t>APT00003250707123735136300962129</t>
  </si>
  <si>
    <t>07 Jul 2025 20:14:16</t>
  </si>
  <si>
    <t>474.39</t>
  </si>
  <si>
    <t>250707100100680746786197</t>
  </si>
  <si>
    <t>07 Jul 2025 20:54:15</t>
  </si>
  <si>
    <t>2,474.39</t>
  </si>
  <si>
    <t>250707010100681526793204</t>
  </si>
  <si>
    <t>07 Jul 2025 21:03:35</t>
  </si>
  <si>
    <t>1,574.39</t>
  </si>
  <si>
    <t>APT00003250707210340136338667176</t>
  </si>
  <si>
    <t>08 Jul 2025 13:41:20</t>
  </si>
  <si>
    <t>08 Jul 2025</t>
  </si>
  <si>
    <t>424.39</t>
  </si>
  <si>
    <t>100004250708134124136374946773</t>
  </si>
  <si>
    <t>08 Jul 2025 13:42:42</t>
  </si>
  <si>
    <t xml:space="preserve">Transfer to PEACE UDO SAMUEL | OPay | 9122322025 </t>
  </si>
  <si>
    <t>224.39</t>
  </si>
  <si>
    <t>250708010100691702214878</t>
  </si>
  <si>
    <t>09 Jul 2025 11:24:40</t>
  </si>
  <si>
    <t>09 Jul 2025</t>
  </si>
  <si>
    <t xml:space="preserve">Transfer from AMINAH UMAR ABUBAKAR | Jaiz Bank Plc | 001****936 | IFO MUHAMMAD ABUBAKAR UMAR  </t>
  </si>
  <si>
    <t>2,224.39</t>
  </si>
  <si>
    <t>000006250709122503589699208422</t>
  </si>
  <si>
    <t>09 Jul 2025 11:25:59</t>
  </si>
  <si>
    <t>1,074.39</t>
  </si>
  <si>
    <t>APT00003250709112603136434197302</t>
  </si>
  <si>
    <t>09 Jul 2025 19:16:05</t>
  </si>
  <si>
    <t>2,074.39</t>
  </si>
  <si>
    <t>250709010100716822747451</t>
  </si>
  <si>
    <t>10 Jul 2025 10:16:11</t>
  </si>
  <si>
    <t>10 Jul 2025</t>
  </si>
  <si>
    <t>APT00003250710101614136500830431</t>
  </si>
  <si>
    <t>10 Jul 2025 15:47:59</t>
  </si>
  <si>
    <t>574.39</t>
  </si>
  <si>
    <t>250710100100732544753561</t>
  </si>
  <si>
    <t>12 Jul 2025 08:12:51</t>
  </si>
  <si>
    <t>12 Jul 2025</t>
  </si>
  <si>
    <t xml:space="preserve">Transfer from ABDULLAHI ABUBAKAR UMAR | OPay | 814****736 </t>
  </si>
  <si>
    <t>40,574.39</t>
  </si>
  <si>
    <t>250712010100764726695856</t>
  </si>
  <si>
    <t>12 Jul 2025 08:13:02</t>
  </si>
  <si>
    <t>40,524.39</t>
  </si>
  <si>
    <t>250712140200764878942098</t>
  </si>
  <si>
    <t>12 Jul 2025 08:17:14</t>
  </si>
  <si>
    <t>41,524.39</t>
  </si>
  <si>
    <t>250712010100764891602610</t>
  </si>
  <si>
    <t>12 Jul 2025 08:17:55</t>
  </si>
  <si>
    <t>40,589.00</t>
  </si>
  <si>
    <t>935.39</t>
  </si>
  <si>
    <t>250712140200764741965645</t>
  </si>
  <si>
    <t>12 Jul 2025 08:19:21</t>
  </si>
  <si>
    <t>135.39</t>
  </si>
  <si>
    <t>100004250712081924136636448708</t>
  </si>
  <si>
    <t>12 Jul 2025 08:25:31</t>
  </si>
  <si>
    <t>35.39</t>
  </si>
  <si>
    <t>250712100100764918561057</t>
  </si>
  <si>
    <t>14 Jul 2025 08:00:19</t>
  </si>
  <si>
    <t>14 Jul 2025</t>
  </si>
  <si>
    <t>5,035.39</t>
  </si>
  <si>
    <t>100033250714080018242860842876</t>
  </si>
  <si>
    <t>14 Jul 2025 08:02:04</t>
  </si>
  <si>
    <t>1,535.39</t>
  </si>
  <si>
    <t>100004250714080207136761921033</t>
  </si>
  <si>
    <t>14 Jul 2025 17:45:38</t>
  </si>
  <si>
    <t>100004250714174545136807079235</t>
  </si>
  <si>
    <t>15 Jul 2025 08:10:16</t>
  </si>
  <si>
    <t>15 Jul 2025</t>
  </si>
  <si>
    <t>3,635.39</t>
  </si>
  <si>
    <t>000004250715091011512627426981</t>
  </si>
  <si>
    <t>15 Jul 2025 09:17:31</t>
  </si>
  <si>
    <t xml:space="preserve">Transfer to ABDULLAHI ABDULRAHIM | MONIE POINT | 7072708814 </t>
  </si>
  <si>
    <t>APT00003250715091735136838953233</t>
  </si>
  <si>
    <t>15 Jul 2025 09:19:19</t>
  </si>
  <si>
    <t xml:space="preserve">Transfer from JIBRIN+YUNUS+YUSUF | FCMB(First City Monument Bank PLC) | 200****345 | App:abeg manage am To Opay Digital Servi </t>
  </si>
  <si>
    <t>2,135.39</t>
  </si>
  <si>
    <t>09FG250715102435838911Q8A</t>
  </si>
  <si>
    <t>15 Jul 2025 09:39:23</t>
  </si>
  <si>
    <t xml:space="preserve">Transfer to POS Transfer - JIBRIL AHMADU | MONIE POINT | 5332601304 </t>
  </si>
  <si>
    <t>100004250715093926136841647241</t>
  </si>
  <si>
    <t>16 Jul 2025 09:45:12</t>
  </si>
  <si>
    <t>16 Jul 2025</t>
  </si>
  <si>
    <t>1,635.39</t>
  </si>
  <si>
    <t>250716010100844827487221</t>
  </si>
  <si>
    <t>16 Jul 2025 10:47:09</t>
  </si>
  <si>
    <t xml:space="preserve">Transfer from ABDUL UTHMAN-ABUBAKR UMARU-AGWAI | Jaiz Bank Plc | 000****332 | IFO MUHAMMAD ABUBAKAR UMAR Nepa </t>
  </si>
  <si>
    <t>8,935.39</t>
  </si>
  <si>
    <t>000006250716114739937371713172</t>
  </si>
  <si>
    <t>16 Jul 2025 10:59:05</t>
  </si>
  <si>
    <t>7,435.39</t>
  </si>
  <si>
    <t>100004250716105912136916979682</t>
  </si>
  <si>
    <t>16 Jul 2025 11:05:15</t>
  </si>
  <si>
    <t xml:space="preserve">OPay Card Payment | 2ISMN184 | 000000009511 | T Bread Republic Sh 009511 2ISMN184 LANG </t>
  </si>
  <si>
    <t>7,100.00</t>
  </si>
  <si>
    <t>335.39</t>
  </si>
  <si>
    <t>250716330100846514157319</t>
  </si>
  <si>
    <t>17 Jul 2025 07:59:10</t>
  </si>
  <si>
    <t>17 Jul 2025</t>
  </si>
  <si>
    <t>APT00003250717075914136974835696</t>
  </si>
  <si>
    <t>17 Jul 2025 22:15:03</t>
  </si>
  <si>
    <t>250717100100880338822902</t>
  </si>
  <si>
    <t>18 Jul 2025 08:08:07</t>
  </si>
  <si>
    <t>18 Jul 2025</t>
  </si>
  <si>
    <t xml:space="preserve">Transfer from UMAR LUBABATU | Guaranty Trust Bank | 017****293 | NIP Transfer to MUHAMMAD ABUBAKAR UMAR. 000013250718090807000292037531 </t>
  </si>
  <si>
    <t>3,035.39</t>
  </si>
  <si>
    <t>000013250718090807000292037531</t>
  </si>
  <si>
    <t>18 Jul 2025 08:52:36</t>
  </si>
  <si>
    <t>3,535.39</t>
  </si>
  <si>
    <t>250718010100884645837825</t>
  </si>
  <si>
    <t>18 Jul 2025 09:01:40</t>
  </si>
  <si>
    <t>235.39</t>
  </si>
  <si>
    <t>100004250718090143137048918563</t>
  </si>
  <si>
    <t>18 Jul 2025 22:03:39</t>
  </si>
  <si>
    <t>250718100100901174965509</t>
  </si>
  <si>
    <t>20 Jul 2025 12:15:37</t>
  </si>
  <si>
    <t>20 Jul 2025</t>
  </si>
  <si>
    <t>250720010100929351546871</t>
  </si>
  <si>
    <t>20 Jul 2025 17:20:55</t>
  </si>
  <si>
    <t>4,535.39</t>
  </si>
  <si>
    <t>100004250720172059137222974158</t>
  </si>
  <si>
    <t>20 Jul 2025 20:54:50</t>
  </si>
  <si>
    <t xml:space="preserve">Transfer to HUSSAINI YUSUF JIBRIN | OPay | 7065751167 </t>
  </si>
  <si>
    <t>250720010100939145519888</t>
  </si>
  <si>
    <t>20 Jul 2025 20:55:04</t>
  </si>
  <si>
    <t>3,235.39</t>
  </si>
  <si>
    <t>250720100100939146159076</t>
  </si>
  <si>
    <t>21 Jul 2025 08:00:48</t>
  </si>
  <si>
    <t>21 Jul 2025</t>
  </si>
  <si>
    <t>2,685.39</t>
  </si>
  <si>
    <t>APT00003250721080051137248434045</t>
  </si>
  <si>
    <t>21 Jul 2025 21:04:35</t>
  </si>
  <si>
    <t>2,485.39</t>
  </si>
  <si>
    <t>250721100100959225058178</t>
  </si>
  <si>
    <t>22 Jul 2025 17:56:11</t>
  </si>
  <si>
    <t>22 Jul 2025</t>
  </si>
  <si>
    <t>1,985.39</t>
  </si>
  <si>
    <t>100004250722175616137361356405</t>
  </si>
  <si>
    <t>22 Jul 2025 17:56:35</t>
  </si>
  <si>
    <t>1,685.39</t>
  </si>
  <si>
    <t>250722100100974819588840</t>
  </si>
  <si>
    <t>22 Jul 2025 18:23:07</t>
  </si>
  <si>
    <t xml:space="preserve">Mobile Data | 9158721152 | DataGlo | 3GB 3-Days Plan </t>
  </si>
  <si>
    <t>855.00</t>
  </si>
  <si>
    <t>830.39</t>
  </si>
  <si>
    <t>250722110100975432693560</t>
  </si>
  <si>
    <t>22 Jul 2025 21:41:35</t>
  </si>
  <si>
    <t>630.39</t>
  </si>
  <si>
    <t>250722100100979583581606</t>
  </si>
  <si>
    <t>23 Jul 2025 09:44:22</t>
  </si>
  <si>
    <t>23 Jul 2025</t>
  </si>
  <si>
    <t>430.39</t>
  </si>
  <si>
    <t>APT00003250723094429137393141542</t>
  </si>
  <si>
    <t>23 Jul 2025 21:44:51</t>
  </si>
  <si>
    <t>230.39</t>
  </si>
  <si>
    <t>250723100100999469196051</t>
  </si>
  <si>
    <t>24 Jul 2025 09:20:49</t>
  </si>
  <si>
    <t>24 Jul 2025</t>
  </si>
  <si>
    <t xml:space="preserve">Airtime | 7033715966 | MTN </t>
  </si>
  <si>
    <t>130.39</t>
  </si>
  <si>
    <t>250724100100004258791345</t>
  </si>
  <si>
    <t>24 Jul 2025 14:18:56</t>
  </si>
  <si>
    <t>20,130.39</t>
  </si>
  <si>
    <t>250724010200010031093100</t>
  </si>
  <si>
    <t>24 Jul 2025 14:18:57</t>
  </si>
  <si>
    <t>20,080.39</t>
  </si>
  <si>
    <t>250724550100010130750422</t>
  </si>
  <si>
    <t>24 Jul 2025 14:20:25</t>
  </si>
  <si>
    <t>18,000.00</t>
  </si>
  <si>
    <t>2,080.39</t>
  </si>
  <si>
    <t>250724100100010135422823</t>
  </si>
  <si>
    <t>24 Jul 2025 14:22:38</t>
  </si>
  <si>
    <t>1,780.39</t>
  </si>
  <si>
    <t>250724100100010142371962</t>
  </si>
  <si>
    <t>25 Jul 2025 02:37:19</t>
  </si>
  <si>
    <t>25 Jul 2025</t>
  </si>
  <si>
    <t>780.39</t>
  </si>
  <si>
    <t>250725100100020483855487</t>
  </si>
  <si>
    <t>25 Jul 2025 20:26:58</t>
  </si>
  <si>
    <t>380.39</t>
  </si>
  <si>
    <t>APT00003250725202703137581579642</t>
  </si>
  <si>
    <t>26 Jul 2025 07:36:09</t>
  </si>
  <si>
    <t>26 Jul 2025</t>
  </si>
  <si>
    <t xml:space="preserve">Transfer to BUHARI  JIBRIN | PalmPay | 9123261532 </t>
  </si>
  <si>
    <t>180.39</t>
  </si>
  <si>
    <t>100004250726073613137594560966</t>
  </si>
  <si>
    <t>26 Jul 2025 07:36:22</t>
  </si>
  <si>
    <t>80.39</t>
  </si>
  <si>
    <t>100004250726073625137594029531</t>
  </si>
  <si>
    <t>26 Jul 2025 12:43:12</t>
  </si>
  <si>
    <t>5,080.39</t>
  </si>
  <si>
    <t>250726010100049067786736</t>
  </si>
  <si>
    <t>26 Jul 2025 12:44:53</t>
  </si>
  <si>
    <t xml:space="preserve">Transfer to OPEYEMI MARTHA LAWAL | MONIE POINT | 7067182646 </t>
  </si>
  <si>
    <t>100004250726124527137615010269</t>
  </si>
  <si>
    <t>26 Jul 2025 18:55:08</t>
  </si>
  <si>
    <t>1,080.39</t>
  </si>
  <si>
    <t>250726010100057046912932</t>
  </si>
  <si>
    <t>27 Jul 2025 15:41:33</t>
  </si>
  <si>
    <t>27 Jul 2025</t>
  </si>
  <si>
    <t>880.39</t>
  </si>
  <si>
    <t>250727100100071428791769</t>
  </si>
  <si>
    <t>27 Jul 2025 18:16:19</t>
  </si>
  <si>
    <t>580.39</t>
  </si>
  <si>
    <t>APT00003250727181624137702728881</t>
  </si>
  <si>
    <t>28 Jul 2025 16:09:58</t>
  </si>
  <si>
    <t>28 Jul 2025</t>
  </si>
  <si>
    <t>280.39</t>
  </si>
  <si>
    <t>100004250728161002137760263028</t>
  </si>
  <si>
    <t>29 Jul 2025 14:20:48</t>
  </si>
  <si>
    <t>29 Jul 2025</t>
  </si>
  <si>
    <t xml:space="preserve">Transfer from KHAIRAT ZUBAIRU | OPay | 703****966 | For my babies  </t>
  </si>
  <si>
    <t>250729010100109789849919</t>
  </si>
  <si>
    <t>29 Jul 2025 14:29:03</t>
  </si>
  <si>
    <t>820.39</t>
  </si>
  <si>
    <t>APT00003250729142908137826332591</t>
  </si>
  <si>
    <t>29 Jul 2025 14:34:18</t>
  </si>
  <si>
    <t>240.00</t>
  </si>
  <si>
    <t>APT00003250729143423137826666728</t>
  </si>
  <si>
    <t>29 Jul 2025 18:23:20</t>
  </si>
  <si>
    <t>250729010100114949017436</t>
  </si>
  <si>
    <t>29 Jul 2025 20:01:20</t>
  </si>
  <si>
    <t>100004250729200125137852930571</t>
  </si>
  <si>
    <t>30 Jul 2025 12:09:46</t>
  </si>
  <si>
    <t>30 Jul 2025</t>
  </si>
  <si>
    <t>APT00003250730120949137891763831</t>
  </si>
  <si>
    <t>02 Aug 2025 09:25:33</t>
  </si>
  <si>
    <t>02 Aug 2025</t>
  </si>
  <si>
    <t xml:space="preserve">Transfer from UMAR LUBABATU | Guaranty Trust Bank | 017****293 | NIP Transfer to MUHAMMAD ABUBAKAR UMAR. 000013250802102533000324032954 </t>
  </si>
  <si>
    <t>7,180.39</t>
  </si>
  <si>
    <t>000013250802102533000324032954</t>
  </si>
  <si>
    <t>02 Aug 2025 10:04:11</t>
  </si>
  <si>
    <t>5,880.39</t>
  </si>
  <si>
    <t>APT00003250802100417138111112356</t>
  </si>
  <si>
    <t>02 Aug 2025 18:21:38</t>
  </si>
  <si>
    <t>3,680.39</t>
  </si>
  <si>
    <t>100004250802182143138154117975</t>
  </si>
  <si>
    <t>02 Aug 2025 20:25:42</t>
  </si>
  <si>
    <t xml:space="preserve">Airtime | 9122322025 | AIR </t>
  </si>
  <si>
    <t>3,380.39</t>
  </si>
  <si>
    <t>250802100100204060363954</t>
  </si>
  <si>
    <t>02 Aug 2025 23:27:34</t>
  </si>
  <si>
    <t>3,180.39</t>
  </si>
  <si>
    <t>250802100100206615175448</t>
  </si>
  <si>
    <t>03 Aug 2025 17:46:34</t>
  </si>
  <si>
    <t>03 Aug 2025</t>
  </si>
  <si>
    <t>2,680.39</t>
  </si>
  <si>
    <t>250803010100220520032173</t>
  </si>
  <si>
    <t>04 Aug 2025 07:04:00</t>
  </si>
  <si>
    <t>04 Aug 2025</t>
  </si>
  <si>
    <t>24,500.00</t>
  </si>
  <si>
    <t>27,180.39</t>
  </si>
  <si>
    <t>000004250804080355747471400361</t>
  </si>
  <si>
    <t>04 Aug 2025 07:04:02</t>
  </si>
  <si>
    <t>27,130.39</t>
  </si>
  <si>
    <t>250804550100227527243488</t>
  </si>
  <si>
    <t>04 Aug 2025 07:42:45</t>
  </si>
  <si>
    <t xml:space="preserve">Transfer to STRONG TOWER ACADEMY | Access Bank | 0082631263 </t>
  </si>
  <si>
    <t>24,000.00</t>
  </si>
  <si>
    <t>3,130.39</t>
  </si>
  <si>
    <t>100004250804074248138241633609</t>
  </si>
  <si>
    <t>05 Aug 2025 04:06:58</t>
  </si>
  <si>
    <t>05 Aug 2025</t>
  </si>
  <si>
    <t>2,930.39</t>
  </si>
  <si>
    <t>250805100100247129631712</t>
  </si>
  <si>
    <t>05 Aug 2025 09:35:52</t>
  </si>
  <si>
    <t>2,180.39</t>
  </si>
  <si>
    <t>APT00003250805093555138322379850</t>
  </si>
  <si>
    <t>06 Aug 2025 08:49:02</t>
  </si>
  <si>
    <t>06 Aug 2025</t>
  </si>
  <si>
    <t>1,680.39</t>
  </si>
  <si>
    <t>APT00003250806084907138394811533</t>
  </si>
  <si>
    <t>06 Aug 2025 09:48:46</t>
  </si>
  <si>
    <t>1,480.39</t>
  </si>
  <si>
    <t>250806100100272858395039</t>
  </si>
  <si>
    <t>07 Aug 2025 08:41:16</t>
  </si>
  <si>
    <t>07 Aug 2025</t>
  </si>
  <si>
    <t>1,280.39</t>
  </si>
  <si>
    <t>250807100100292408579949</t>
  </si>
  <si>
    <t>07 Aug 2025 19:09:29</t>
  </si>
  <si>
    <t>6,280.39</t>
  </si>
  <si>
    <t>250807010100305782530226</t>
  </si>
  <si>
    <t>07 Aug 2025 19:31:20</t>
  </si>
  <si>
    <t>5,780.39</t>
  </si>
  <si>
    <t>250807100100306176558961</t>
  </si>
  <si>
    <t>08 Aug 2025 15:36:36</t>
  </si>
  <si>
    <t>08 Aug 2025</t>
  </si>
  <si>
    <t>4,580.39</t>
  </si>
  <si>
    <t>APT00003250808153639138578030350</t>
  </si>
  <si>
    <t>08 Aug 2025 15:44:28</t>
  </si>
  <si>
    <t xml:space="preserve">Transfer from ABUBAKAR UMAR UMAR | United Bank For Africa | 207****915 | MOB/UTO/Muhammad Abuba/sent /32252704242 </t>
  </si>
  <si>
    <t>14,580.39</t>
  </si>
  <si>
    <t>000004250808164424034992504979</t>
  </si>
  <si>
    <t>08 Aug 2025 15:44:30</t>
  </si>
  <si>
    <t>14,530.39</t>
  </si>
  <si>
    <t>250808550100321760142979</t>
  </si>
  <si>
    <t>08 Aug 2025 16:20:29</t>
  </si>
  <si>
    <t>13,730.39</t>
  </si>
  <si>
    <t>APT00003250808162034138580220310</t>
  </si>
  <si>
    <t>08 Aug 2025 22:15:36</t>
  </si>
  <si>
    <t xml:space="preserve">Transfer to RUTH INIOBONG JOSEPH | OPay | 7087543152 </t>
  </si>
  <si>
    <t>12,530.39</t>
  </si>
  <si>
    <t>250808010100330475491667</t>
  </si>
  <si>
    <t>09 Aug 2025 07:32:51</t>
  </si>
  <si>
    <t>09 Aug 2025</t>
  </si>
  <si>
    <t>12,030.39</t>
  </si>
  <si>
    <t>250809010100332928727813</t>
  </si>
  <si>
    <t>09 Aug 2025 07:37:53</t>
  </si>
  <si>
    <t>11,530.39</t>
  </si>
  <si>
    <t>250809010100333250016674</t>
  </si>
  <si>
    <t>09 Aug 2025 09:08:25</t>
  </si>
  <si>
    <t xml:space="preserve">Mobile Data | 8115451105 | DataGlo | 3GB 3-Days Plan </t>
  </si>
  <si>
    <t>10,675.39</t>
  </si>
  <si>
    <t>250809110100334925612692</t>
  </si>
  <si>
    <t>09 Aug 2025 14:14:50</t>
  </si>
  <si>
    <t xml:space="preserve">Mobile Data | 9158320999 | DataGlo | 3GB 3-Days Plan </t>
  </si>
  <si>
    <t>9,820.39</t>
  </si>
  <si>
    <t>250809110100341202297519</t>
  </si>
  <si>
    <t>09 Aug 2025 15:54:43</t>
  </si>
  <si>
    <t>7,520.39</t>
  </si>
  <si>
    <t>APT00003250809155447138653640603</t>
  </si>
  <si>
    <t>09 Aug 2025 18:23:20</t>
  </si>
  <si>
    <t>5,920.39</t>
  </si>
  <si>
    <t>APT00003250809182324138667006864</t>
  </si>
  <si>
    <t>10 Aug 2025 15:03:11</t>
  </si>
  <si>
    <t>10 Aug 2025</t>
  </si>
  <si>
    <t xml:space="preserve">Transfer from ABDULSALAM, NOFISAT OMOTOLA | Kuda MFB | 207****403 | from tola  </t>
  </si>
  <si>
    <t>45,960.00</t>
  </si>
  <si>
    <t>51,880.39</t>
  </si>
  <si>
    <t>090267250810150310720072565403</t>
  </si>
  <si>
    <t>10 Aug 2025 15:03:12</t>
  </si>
  <si>
    <t>51,830.39</t>
  </si>
  <si>
    <t>250810550100361871467338</t>
  </si>
  <si>
    <t>10 Aug 2025 15:04:13</t>
  </si>
  <si>
    <t>45,000.00</t>
  </si>
  <si>
    <t>6,830.39</t>
  </si>
  <si>
    <t>250810010100361924825013</t>
  </si>
  <si>
    <t>10 Aug 2025 15:34:35</t>
  </si>
  <si>
    <t>6,130.39</t>
  </si>
  <si>
    <t>APT00003250810153439138720558422</t>
  </si>
  <si>
    <t>11 Aug 2025 04:09:06</t>
  </si>
  <si>
    <t>11 Aug 2025</t>
  </si>
  <si>
    <t>5,630.39</t>
  </si>
  <si>
    <t>250811100100371183293183</t>
  </si>
  <si>
    <t>12 Aug 2025 15:30:57</t>
  </si>
  <si>
    <t>12 Aug 2025</t>
  </si>
  <si>
    <t>3,630.39</t>
  </si>
  <si>
    <t>APT00003250812153101138865154845</t>
  </si>
  <si>
    <t>13 Aug 2025 08:28:33</t>
  </si>
  <si>
    <t>13 Aug 2025</t>
  </si>
  <si>
    <t>27,630.39</t>
  </si>
  <si>
    <t>250813010200415694259715</t>
  </si>
  <si>
    <t>13 Aug 2025 08:28:34</t>
  </si>
  <si>
    <t>27,580.39</t>
  </si>
  <si>
    <t>250813550100415796058943</t>
  </si>
  <si>
    <t>13 Aug 2025 08:31:31</t>
  </si>
  <si>
    <t xml:space="preserve">Transfer to ABDUL UTHMAN-ABUBAKR UMARU- AGWAI | Jaiz Bank Plc | 0002404332 </t>
  </si>
  <si>
    <t>3,580.39</t>
  </si>
  <si>
    <t>100004250813083151138906687848</t>
  </si>
  <si>
    <t>13 Aug 2025 11:56:19</t>
  </si>
  <si>
    <t>850.00</t>
  </si>
  <si>
    <t>2,730.39</t>
  </si>
  <si>
    <t>APT00003250813115622138922542074</t>
  </si>
  <si>
    <t>13 Aug 2025 16:49:59</t>
  </si>
  <si>
    <t xml:space="preserve">Transfer from ABDUL UTHMAN-ABUBAKR UMARU-AGWAI | Jaiz Bank Plc | 000****332 | IFO MUHAMMAD ABUBAKAR UMAR  </t>
  </si>
  <si>
    <t>12,730.39</t>
  </si>
  <si>
    <t>000006250813175031627730246295</t>
  </si>
  <si>
    <t>13 Aug 2025 16:50:01</t>
  </si>
  <si>
    <t>12,680.39</t>
  </si>
  <si>
    <t>250813550100425830323885</t>
  </si>
  <si>
    <t>13 Aug 2025 17:02:33</t>
  </si>
  <si>
    <t>12,180.39</t>
  </si>
  <si>
    <t>250813100100426080916389</t>
  </si>
  <si>
    <t>13 Aug 2025 20:05:12</t>
  </si>
  <si>
    <t>11,680.39</t>
  </si>
  <si>
    <t>APT00003250813200515138965241093</t>
  </si>
  <si>
    <t>14 Aug 2025 07:41:49</t>
  </si>
  <si>
    <t>14 Aug 2025</t>
  </si>
  <si>
    <t>41,680.39</t>
  </si>
  <si>
    <t>000006250814084217326310856241</t>
  </si>
  <si>
    <t>14 Aug 2025 07:41:50</t>
  </si>
  <si>
    <t>41,630.39</t>
  </si>
  <si>
    <t>250814550100435745172428</t>
  </si>
  <si>
    <t>14 Aug 2025 08:32:34</t>
  </si>
  <si>
    <t>24,662.00</t>
  </si>
  <si>
    <t>16,968.39</t>
  </si>
  <si>
    <t>250814140200436777113362</t>
  </si>
  <si>
    <t>14 Aug 2025 11:01:08</t>
  </si>
  <si>
    <t xml:space="preserve">Transfer to POS Transfer - MABRUKA NUHU | MONIE POINT | 8161628227 </t>
  </si>
  <si>
    <t>10,200.00</t>
  </si>
  <si>
    <t>6,768.39</t>
  </si>
  <si>
    <t>APT00003250814110112138993911852</t>
  </si>
  <si>
    <t>14 Aug 2025 19:28:09</t>
  </si>
  <si>
    <t>6,618.39</t>
  </si>
  <si>
    <t>APT00003250814192813139035157762</t>
  </si>
  <si>
    <t>15 Aug 2025 07:38:03</t>
  </si>
  <si>
    <t>15 Aug 2025</t>
  </si>
  <si>
    <t>5,718.39</t>
  </si>
  <si>
    <t>250815110100456385130733</t>
  </si>
  <si>
    <t>15 Aug 2025 08:02:46</t>
  </si>
  <si>
    <t>35,718.39</t>
  </si>
  <si>
    <t>000006250815090318685665398593</t>
  </si>
  <si>
    <t>15 Aug 2025 08:02:48</t>
  </si>
  <si>
    <t>35,668.39</t>
  </si>
  <si>
    <t>250815550100457024829429</t>
  </si>
  <si>
    <t>15 Aug 2025 08:33:00</t>
  </si>
  <si>
    <t>34,668.39</t>
  </si>
  <si>
    <t>250815010100457588441259</t>
  </si>
  <si>
    <t>15 Aug 2025 10:57:34</t>
  </si>
  <si>
    <t xml:space="preserve">Transfer to BASHIR HARUNA | OPay | 8032940305 </t>
  </si>
  <si>
    <t>27,500.00</t>
  </si>
  <si>
    <t>7,168.39</t>
  </si>
  <si>
    <t>250815010100460764108195</t>
  </si>
  <si>
    <t>15 Aug 2025 11:02:31</t>
  </si>
  <si>
    <t>5,168.39</t>
  </si>
  <si>
    <t>250815010100460781819906</t>
  </si>
  <si>
    <t>15 Aug 2025 14:00:15</t>
  </si>
  <si>
    <t xml:space="preserve">Transfer to POS Transfer - BUHARI YUSUF | MONIE POINT | 8161708192 </t>
  </si>
  <si>
    <t>520.00</t>
  </si>
  <si>
    <t>4,648.39</t>
  </si>
  <si>
    <t>APT00003250815140019139077284258</t>
  </si>
  <si>
    <t>15 Aug 2025 17:01:09</t>
  </si>
  <si>
    <t xml:space="preserve">Transfer from AHMAD SULEIMAN | MONIE POINT | 504****518 | AT139_TRF|2MPTbb4lk|1956400778031079424-AT139_TRF|2MPTbb4lk|1956400778031079424-AHMAD SULEIM Trf for </t>
  </si>
  <si>
    <t>76,540.00</t>
  </si>
  <si>
    <t>81,188.39</t>
  </si>
  <si>
    <t>APT00002250815180108536139066970</t>
  </si>
  <si>
    <t>15 Aug 2025 17:01:11</t>
  </si>
  <si>
    <t>81,138.39</t>
  </si>
  <si>
    <t>250815550100468112398787</t>
  </si>
  <si>
    <t>15 Aug 2025 17:02:00</t>
  </si>
  <si>
    <t>76,000.00</t>
  </si>
  <si>
    <t>5,138.39</t>
  </si>
  <si>
    <t>250815010100468371604468</t>
  </si>
  <si>
    <t>15 Aug 2025 18:30:20</t>
  </si>
  <si>
    <t>4,638.39</t>
  </si>
  <si>
    <t>APT00003250815183023139101131505</t>
  </si>
  <si>
    <t>16 Aug 2025 14:07:02</t>
  </si>
  <si>
    <t>16 Aug 2025</t>
  </si>
  <si>
    <t>4,488.39</t>
  </si>
  <si>
    <t>APT00003250816140705139146540592</t>
  </si>
  <si>
    <t>16 Aug 2025 20:24:45</t>
  </si>
  <si>
    <t xml:space="preserve">Transfer from ABUBAKAR UMAR UMAR | United Bank For Africa | 207****915 | MOB/UTO/Muhammad Abuba/from Aisha /32393378856 </t>
  </si>
  <si>
    <t>9,488.39</t>
  </si>
  <si>
    <t>000004250816212443177675578347</t>
  </si>
  <si>
    <t>17 Aug 2025 03:58:07</t>
  </si>
  <si>
    <t>17 Aug 2025</t>
  </si>
  <si>
    <t>9,288.39</t>
  </si>
  <si>
    <t>250817100100497400181009</t>
  </si>
  <si>
    <t>17 Aug 2025 07:54:41</t>
  </si>
  <si>
    <t xml:space="preserve">OPay Card Payment | 2ISTCCPR | 000000005342 | T RACHEAL DITEP PRO 005342 2ISTCCPR LANG </t>
  </si>
  <si>
    <t>4,188.39</t>
  </si>
  <si>
    <t>250817330100499473682050</t>
  </si>
  <si>
    <t>17 Aug 2025 08:19:10</t>
  </si>
  <si>
    <t xml:space="preserve">OPay Card Payment | 2IST2012 | 000000014016 | T Yusuf Umar POS    014016 2IST2012 LANG </t>
  </si>
  <si>
    <t>2,088.39</t>
  </si>
  <si>
    <t>250817330100499828506437</t>
  </si>
  <si>
    <t>17 Aug 2025 17:07:28</t>
  </si>
  <si>
    <t xml:space="preserve">Mobile Data | 7063702408 | DataMtn | 2.5GB 2 Day Plan </t>
  </si>
  <si>
    <t>1,188.39</t>
  </si>
  <si>
    <t>250817110100509426215974</t>
  </si>
  <si>
    <t>18 Aug 2025 05:27:20</t>
  </si>
  <si>
    <t>18 Aug 2025</t>
  </si>
  <si>
    <t>380.00</t>
  </si>
  <si>
    <t>808.39</t>
  </si>
  <si>
    <t>250818100100516469336519</t>
  </si>
  <si>
    <t>18 Aug 2025 13:51:51</t>
  </si>
  <si>
    <t xml:space="preserve">Mobile Data | 8060703063 | DataMtn | 1GB Daily Plan + 1.5mins </t>
  </si>
  <si>
    <t>308.39</t>
  </si>
  <si>
    <t>250818110100525671669688</t>
  </si>
  <si>
    <t>21 Aug 2025 09:59:43</t>
  </si>
  <si>
    <t>21 Aug 2025</t>
  </si>
  <si>
    <t xml:space="preserve">Transfer from UMAR MUHAMMAD ABUBAKAR | Guaranty Trust Bank | 032****140 | NIP Transfer to MUHAMMAD ABUBAKAR UMAR. 000013250821105942000362049334 </t>
  </si>
  <si>
    <t>21,308.39</t>
  </si>
  <si>
    <t>000013250821105942000362049334</t>
  </si>
  <si>
    <t>21 Aug 2025 09:59:44</t>
  </si>
  <si>
    <t>21,258.39</t>
  </si>
  <si>
    <t>250821550100583558134893</t>
  </si>
  <si>
    <t>21 Aug 2025 10:00:14</t>
  </si>
  <si>
    <t>18,858.39</t>
  </si>
  <si>
    <t>100004250821100017139448014507</t>
  </si>
  <si>
    <t>22 Aug 2025 07:30:43</t>
  </si>
  <si>
    <t>22 Aug 2025</t>
  </si>
  <si>
    <t>17,858.39</t>
  </si>
  <si>
    <t>250822010100601082078083</t>
  </si>
  <si>
    <t>22 Aug 2025 09:10:13</t>
  </si>
  <si>
    <t xml:space="preserve">Transfer from UMAR MUHAMMAD ABUBAKAR | Guaranty Trust Bank | 032****140 | NIP Transfer to MUHAMMAD ABUBAKAR UMAR. 000013250822101013000364040782 </t>
  </si>
  <si>
    <t>38,858.39</t>
  </si>
  <si>
    <t>000013250822101013000364040782</t>
  </si>
  <si>
    <t>22 Aug 2025 09:10:15</t>
  </si>
  <si>
    <t>38,808.39</t>
  </si>
  <si>
    <t>250822550100603259053355</t>
  </si>
  <si>
    <t>22 Aug 2025 09:48:49</t>
  </si>
  <si>
    <t xml:space="preserve">OPay Card Payment | 2IST9F4Q | 000000007490 | T PIUS JUSTINA WAZI 007490 2IST9F4Q LANG </t>
  </si>
  <si>
    <t>17,808.39</t>
  </si>
  <si>
    <t>250822330100604114588771</t>
  </si>
  <si>
    <t>22 Aug 2025 11:06:38</t>
  </si>
  <si>
    <t>18,808.39</t>
  </si>
  <si>
    <t>250822010100605869525748</t>
  </si>
  <si>
    <t>23 Aug 2025 09:41:09</t>
  </si>
  <si>
    <t>23 Aug 2025</t>
  </si>
  <si>
    <t>18,448.39</t>
  </si>
  <si>
    <t>APT00003250823094113139577836643</t>
  </si>
  <si>
    <t>23 Aug 2025 09:41:24</t>
  </si>
  <si>
    <t>18,248.39</t>
  </si>
  <si>
    <t>250823100100625631333531</t>
  </si>
  <si>
    <t>23 Aug 2025 10:02:37</t>
  </si>
  <si>
    <t xml:space="preserve">Transfer from UMARU-AGWAI ABDUL UTHMAN ABUBA | Guaranty Trust Bank | 012****520 | NIP Transfer to MUHAMMAD ABUBAKAR UMAR. 000013250823110236000366326792 </t>
  </si>
  <si>
    <t>26,248.39</t>
  </si>
  <si>
    <t>000013250823110236000366326792</t>
  </si>
  <si>
    <t>23 Aug 2025 10:03:15</t>
  </si>
  <si>
    <t xml:space="preserve">Transfer to POS Transfer-JUSTINA OBI NJOKU | MONIE POINT | 5966376629 </t>
  </si>
  <si>
    <t>24,048.39</t>
  </si>
  <si>
    <t>APT00003250823100318139579879387</t>
  </si>
  <si>
    <t>23 Aug 2025 10:06:09</t>
  </si>
  <si>
    <t xml:space="preserve">Transfer to POS Transfer - HARUNA ALHASSAN | MONIE POINT | 5480754826 </t>
  </si>
  <si>
    <t>17,548.39</t>
  </si>
  <si>
    <t>APT00003250823100613139580429564</t>
  </si>
  <si>
    <t>23 Aug 2025 10:06:36</t>
  </si>
  <si>
    <t xml:space="preserve">Transfer from UMARU-AGWAI ABDUL UTHMAN ABUBA | Guaranty Trust Bank | 012****520 | NIP Transfer to MUHAMMAD ABUBAKAR UMAR. 000013250823110636000366335673 </t>
  </si>
  <si>
    <t>19,548.39</t>
  </si>
  <si>
    <t>000013250823110636000366335673</t>
  </si>
  <si>
    <t>23 Aug 2025 10:07:42</t>
  </si>
  <si>
    <t xml:space="preserve">Transfer to DONSACHI NIGERIA ENTERPRISES | Access Bank | 0020283185 </t>
  </si>
  <si>
    <t>17,438.39</t>
  </si>
  <si>
    <t>100004250823100746139580190686</t>
  </si>
  <si>
    <t>23 Aug 2025 20:50:27</t>
  </si>
  <si>
    <t>18,438.39</t>
  </si>
  <si>
    <t>250823010100640147096526</t>
  </si>
  <si>
    <t>23 Aug 2025 20:51:46</t>
  </si>
  <si>
    <t>250823100100640253100074</t>
  </si>
  <si>
    <t>24 Aug 2025 04:51:41</t>
  </si>
  <si>
    <t>24 Aug 2025</t>
  </si>
  <si>
    <t xml:space="preserve">Transfer from UMAR MUHAMMAD ABUBAKAR | Guaranty Trust Bank | 032****140 | NIP Transfer to MUHAMMAD ABUBAKAR UMAR. 000013250824055140000367938770 </t>
  </si>
  <si>
    <t>000013250824055140000367938770</t>
  </si>
  <si>
    <t>24 Aug 2025 04:52:08</t>
  </si>
  <si>
    <t>438.39</t>
  </si>
  <si>
    <t>250824100100642630598944</t>
  </si>
  <si>
    <t>24 Aug 2025 04:53:55</t>
  </si>
  <si>
    <t>38.39</t>
  </si>
  <si>
    <t>250824100100642647567677</t>
  </si>
  <si>
    <t>25 Aug 2025 06:29:15</t>
  </si>
  <si>
    <t>25 Aug 2025</t>
  </si>
  <si>
    <t>1,038.39</t>
  </si>
  <si>
    <t>250825010100662374669204</t>
  </si>
  <si>
    <t>25 Aug 2025 12:02:12</t>
  </si>
  <si>
    <t>638.39</t>
  </si>
  <si>
    <t>APT00003250825120215139707645586</t>
  </si>
  <si>
    <t>25 Aug 2025 17:59:24</t>
  </si>
  <si>
    <t>250825100100676274658141</t>
  </si>
  <si>
    <t>26 Aug 2025 11:45:14</t>
  </si>
  <si>
    <t>26 Aug 2025</t>
  </si>
  <si>
    <t xml:space="preserve">Transfer from OGNMERCHANT (ANCHOR) | 9PSB | 110****422 | Transfer from OGNMERCHANT %2F payment from OGNMERCHANT </t>
  </si>
  <si>
    <t>27,483.00</t>
  </si>
  <si>
    <t>27,921.39</t>
  </si>
  <si>
    <t>120001250826124509109776890102</t>
  </si>
  <si>
    <t>26 Aug 2025 11:45:15</t>
  </si>
  <si>
    <t>27,871.39</t>
  </si>
  <si>
    <t>250826550100689355888583</t>
  </si>
  <si>
    <t>26 Aug 2025 11:46:35</t>
  </si>
  <si>
    <t>27,000.00</t>
  </si>
  <si>
    <t>871.39</t>
  </si>
  <si>
    <t>250826010100689411567834</t>
  </si>
  <si>
    <t>26 Aug 2025 13:36:45</t>
  </si>
  <si>
    <t xml:space="preserve">Transfer from UMAR MUHAMMAD ABUBAKAR | Guaranty Trust Bank | 032****140 | NIP Transfer to MUHAMMAD ABUBAKAR UMAR. 000013250826143644000372757393 </t>
  </si>
  <si>
    <t>1,871.39</t>
  </si>
  <si>
    <t>000013250826143644000372757393</t>
  </si>
  <si>
    <t>26 Aug 2025 13:37:11</t>
  </si>
  <si>
    <t>1,321.39</t>
  </si>
  <si>
    <t>APT00003250826133716139780674188</t>
  </si>
  <si>
    <t>27 Aug 2025 13:06:47</t>
  </si>
  <si>
    <t>27 Aug 2025</t>
  </si>
  <si>
    <t>921.39</t>
  </si>
  <si>
    <t>100004250827130651139842440758</t>
  </si>
  <si>
    <t>27 Aug 2025 14:40:06</t>
  </si>
  <si>
    <t>671.39</t>
  </si>
  <si>
    <t>100004250827144010139849161951</t>
  </si>
  <si>
    <t>27 Aug 2025 18:53:48</t>
  </si>
  <si>
    <t xml:space="preserve">Airtime | 9013943822 | AIR </t>
  </si>
  <si>
    <t>171.39</t>
  </si>
  <si>
    <t>250827100100719853810348</t>
  </si>
  <si>
    <t>28 Aug 2025 05:06:49</t>
  </si>
  <si>
    <t>28 Aug 2025</t>
  </si>
  <si>
    <t>200,000.00</t>
  </si>
  <si>
    <t>200,171.39</t>
  </si>
  <si>
    <t>000014250828060649252619119088</t>
  </si>
  <si>
    <t>28 Aug 2025 05:06:51</t>
  </si>
  <si>
    <t>200,121.39</t>
  </si>
  <si>
    <t>250828550100725242305923</t>
  </si>
  <si>
    <t>28 Aug 2025 08:23:22</t>
  </si>
  <si>
    <t>121.39</t>
  </si>
  <si>
    <t>250828010100727890065648</t>
  </si>
  <si>
    <t>28 Aug 2025 14:08:04</t>
  </si>
  <si>
    <t>1,121.39</t>
  </si>
  <si>
    <t>250828010100734972823653</t>
  </si>
  <si>
    <t>28 Aug 2025 14:11:28</t>
  </si>
  <si>
    <t xml:space="preserve">Transfer to AGAGU ESTHER MABEL | Sterling Bank | 0121820078 </t>
  </si>
  <si>
    <t>621.39</t>
  </si>
  <si>
    <t>100004250828141132139913586170</t>
  </si>
  <si>
    <t>28 Aug 2025 17:37:15</t>
  </si>
  <si>
    <t>421.39</t>
  </si>
  <si>
    <t>250828100100739446293662</t>
  </si>
  <si>
    <t>28 Aug 2025 18:57:19</t>
  </si>
  <si>
    <t>5,421.39</t>
  </si>
  <si>
    <t>000004250828195718987720402442</t>
  </si>
  <si>
    <t>28 Aug 2025 19:54:33</t>
  </si>
  <si>
    <t>2,700.00</t>
  </si>
  <si>
    <t>2,721.39</t>
  </si>
  <si>
    <t>APT00003250828195437139942109898</t>
  </si>
  <si>
    <t>29 Aug 2025 22:05:55</t>
  </si>
  <si>
    <t>29 Aug 2025</t>
  </si>
  <si>
    <t>2,221.39</t>
  </si>
  <si>
    <t>250829100100767797010623</t>
  </si>
  <si>
    <t>30 Aug 2025 08:42:52</t>
  </si>
  <si>
    <t>30 Aug 2025</t>
  </si>
  <si>
    <t>5,221.39</t>
  </si>
  <si>
    <t>250830010100772054933696</t>
  </si>
  <si>
    <t>30 Aug 2025 08:56:31</t>
  </si>
  <si>
    <t>4,171.39</t>
  </si>
  <si>
    <t>100004250830085635140027293618</t>
  </si>
  <si>
    <t>30 Aug 2025 09:29:57</t>
  </si>
  <si>
    <t xml:space="preserve">Mobile Data | 7063702408 | DataMtn | 2.5GB Daily Plan </t>
  </si>
  <si>
    <t>3,421.39</t>
  </si>
  <si>
    <t>250830110100773248975384</t>
  </si>
  <si>
    <t>30 Aug 2025 10:03:12</t>
  </si>
  <si>
    <t xml:space="preserve">Transfer to INEWTON ELECTRONICS SERVICES - INEWTON ELECTRONICS SERVICES - I NEWTON ELECTRONIC SERVICE | MONIE POINT | 5889831283 </t>
  </si>
  <si>
    <t>APT00003250830100316140033392864</t>
  </si>
  <si>
    <t>30 Aug 2025 10:03:28</t>
  </si>
  <si>
    <t>APT00003250830100332140031887892</t>
  </si>
  <si>
    <t>30 Aug 2025 10:30:57</t>
  </si>
  <si>
    <t xml:space="preserve">Transfer from ABUBAKAR UMAR UMAR | United Bank For Africa | 207****915 | MOB/UTO/Muhammad Abuba/sent /32618213513 </t>
  </si>
  <si>
    <t>6,121.39</t>
  </si>
  <si>
    <t>000004250830113056858756110068</t>
  </si>
  <si>
    <t>30 Aug 2025 16:37:25</t>
  </si>
  <si>
    <t xml:space="preserve">Transfer from UMAR LUBABATU | Guaranty Trust Bank | 017****293 | NIP Transfer to MUHAMMAD ABUBAKAR UMAR. 000013250830173725000382660539 </t>
  </si>
  <si>
    <t>11,121.39</t>
  </si>
  <si>
    <t>000013250830173725000382660539</t>
  </si>
  <si>
    <t>30 Aug 2025 16:47:24</t>
  </si>
  <si>
    <t xml:space="preserve">Transfer from ENERO FRIDAY ALIU | OPay | 816****502 </t>
  </si>
  <si>
    <t>14,121.39</t>
  </si>
  <si>
    <t>250830010100782779851779</t>
  </si>
  <si>
    <t>30 Aug 2025 17:05:23</t>
  </si>
  <si>
    <t>1,111.39</t>
  </si>
  <si>
    <t>APT00003250830170526140061435774</t>
  </si>
  <si>
    <t>30 Aug 2025 18:23:05</t>
  </si>
  <si>
    <t xml:space="preserve">Mobile Data | 9027914474 | DataAir | 3.2GB 2-Daily Plan </t>
  </si>
  <si>
    <t>111.39</t>
  </si>
  <si>
    <t>250830110100785115158941</t>
  </si>
  <si>
    <t>31 Aug 2025 04:50:54</t>
  </si>
  <si>
    <t>31 Aug 2025</t>
  </si>
  <si>
    <t>3,111.39</t>
  </si>
  <si>
    <t>250831010100791306548876</t>
  </si>
  <si>
    <t>31 Aug 2025 10:27:45</t>
  </si>
  <si>
    <t>8,111.39</t>
  </si>
  <si>
    <t>250831010100795949502525</t>
  </si>
  <si>
    <t>31 Aug 2025 10:40:04</t>
  </si>
  <si>
    <t>13,111.39</t>
  </si>
  <si>
    <t>250831010100796244285806</t>
  </si>
  <si>
    <t>31 Aug 2025 12:34:49</t>
  </si>
  <si>
    <t>12,611.39</t>
  </si>
  <si>
    <t>250831100100798618411605</t>
  </si>
  <si>
    <t>31 Aug 2025 13:20:13</t>
  </si>
  <si>
    <t xml:space="preserve">Transfer to POS Transfer - ADAMU SHUAIBU | MONIE POINT | 8214301626 </t>
  </si>
  <si>
    <t>10,111.39</t>
  </si>
  <si>
    <t>100004250831132016140110087051</t>
  </si>
  <si>
    <t>31 Aug 2025 13:36:15</t>
  </si>
  <si>
    <t xml:space="preserve">Transfer to LAWAL ZAINAB | MONIE POINT | 6662931150 </t>
  </si>
  <si>
    <t>6,011.39</t>
  </si>
  <si>
    <t>APT00003250831133622140111527552</t>
  </si>
  <si>
    <t>31 Aug 2025 14:30:19</t>
  </si>
  <si>
    <t xml:space="preserve">Mobile Data | 8067071775 | DataMtn | 2.5GB 2 Day Plan </t>
  </si>
  <si>
    <t>5,111.39</t>
  </si>
  <si>
    <t>250831110100800839094516</t>
  </si>
  <si>
    <t>31 Aug 2025 14:48:55</t>
  </si>
  <si>
    <t xml:space="preserve">Transfer to AUWALU ISAH | OPay | 7010770876 </t>
  </si>
  <si>
    <t>4,961.39</t>
  </si>
  <si>
    <t>250831010100800957975860</t>
  </si>
  <si>
    <t>31 Aug 2025 17:02:30</t>
  </si>
  <si>
    <t>4,811.39</t>
  </si>
  <si>
    <t>250831010100803749473025</t>
  </si>
  <si>
    <t>31 Aug 2025 18:10:57</t>
  </si>
  <si>
    <t>4,261.39</t>
  </si>
  <si>
    <t>100004250831181101140128189495</t>
  </si>
  <si>
    <t>01 Sep 2025 14:55:55</t>
  </si>
  <si>
    <t>01 Sep 2025</t>
  </si>
  <si>
    <t xml:space="preserve">Transfer to NANA HAWA UMAR | OPay | 7063702408 </t>
  </si>
  <si>
    <t>2,761.39</t>
  </si>
  <si>
    <t>250901010100822740631306</t>
  </si>
  <si>
    <t>01 Sep 2025 17:37:36</t>
  </si>
  <si>
    <t xml:space="preserve">Airtime | 7047140422 | MTN </t>
  </si>
  <si>
    <t>2,661.39</t>
  </si>
  <si>
    <t>250901100100826369900161</t>
  </si>
  <si>
    <t>01 Sep 2025 17:56:27</t>
  </si>
  <si>
    <t>661.39</t>
  </si>
  <si>
    <t>250901100100826605324873</t>
  </si>
  <si>
    <t>01 Sep 2025 18:49:39</t>
  </si>
  <si>
    <t>000004250901194937198276267601</t>
  </si>
  <si>
    <t>01 Sep 2025 18:51:08</t>
  </si>
  <si>
    <t>761.39</t>
  </si>
  <si>
    <t>100004250901185112140200453455</t>
  </si>
  <si>
    <t>03 Sep 2025 07:12:22</t>
  </si>
  <si>
    <t>03 Sep 2025</t>
  </si>
  <si>
    <t>561.39</t>
  </si>
  <si>
    <t>250903100100858159850299</t>
  </si>
  <si>
    <t>04 Sep 2025 08:16:24</t>
  </si>
  <si>
    <t>04 Sep 2025</t>
  </si>
  <si>
    <t xml:space="preserve">Transfer from UMAR MUHAMMAD ABUBAKAR | Guaranty Trust Bank | 032****140 | NIP Transfer to MUHAMMAD ABUBAKAR UMAR. 000013250904091624000392479760 </t>
  </si>
  <si>
    <t>30,561.39</t>
  </si>
  <si>
    <t>000013250904091624000392479760</t>
  </si>
  <si>
    <t>04 Sep 2025 08:16:26</t>
  </si>
  <si>
    <t>30,511.39</t>
  </si>
  <si>
    <t>250904550100882397730742</t>
  </si>
  <si>
    <t>04 Sep 2025 08:17:04</t>
  </si>
  <si>
    <t>29,595.00</t>
  </si>
  <si>
    <t>916.39</t>
  </si>
  <si>
    <t>250904140300882650149242</t>
  </si>
  <si>
    <t>04 Sep 2025 20:51:47</t>
  </si>
  <si>
    <t>716.39</t>
  </si>
  <si>
    <t>250904100100899885291440</t>
  </si>
  <si>
    <t>07 Sep 2025 14:23:59</t>
  </si>
  <si>
    <t>07 Sep 2025</t>
  </si>
  <si>
    <t xml:space="preserve">Transfer from ugochukwu torty uwaoma | PalmPay | 913****860 | ugochukwu torty uwaoma:9135508860 </t>
  </si>
  <si>
    <t>30,057.00</t>
  </si>
  <si>
    <t>30,773.39</t>
  </si>
  <si>
    <t>100033250907142359090356128681</t>
  </si>
  <si>
    <t>07 Sep 2025 14:24:01</t>
  </si>
  <si>
    <t>30,723.39</t>
  </si>
  <si>
    <t>250907550100957382229077</t>
  </si>
  <si>
    <t>07 Sep 2025 14:24:53</t>
  </si>
  <si>
    <t>723.39</t>
  </si>
  <si>
    <t>250907010100957384943161</t>
  </si>
  <si>
    <t>07 Sep 2025 14:35:18</t>
  </si>
  <si>
    <t>323.39</t>
  </si>
  <si>
    <t>250907010100957611490432</t>
  </si>
  <si>
    <t>08 Sep 2025 09:44:26</t>
  </si>
  <si>
    <t>08 Sep 2025</t>
  </si>
  <si>
    <t xml:space="preserve">Transfer from ABUBAKAR UMAR UMAR | United Bank For Africa | 207****915 | MOB/UTO/Muhammad Abuba/sent /32776005426 </t>
  </si>
  <si>
    <t>5,323.39</t>
  </si>
  <si>
    <t>000004250908104414915626060803</t>
  </si>
  <si>
    <t>08 Sep 2025 12:35:31</t>
  </si>
  <si>
    <t xml:space="preserve">Transfer from MUHAMMAD USMAN AHMAD | OPay | 803****015 </t>
  </si>
  <si>
    <t>8,323.39</t>
  </si>
  <si>
    <t>250908010100976464659464</t>
  </si>
  <si>
    <t>08 Sep 2025 12:44:58</t>
  </si>
  <si>
    <t>4,223.39</t>
  </si>
  <si>
    <t>APT00003250908124501140649626210</t>
  </si>
  <si>
    <t>08 Sep 2025 20:07:11</t>
  </si>
  <si>
    <t>3,723.39</t>
  </si>
  <si>
    <t>250908100100986622744040</t>
  </si>
  <si>
    <t>09 Sep 2025 08:11:24</t>
  </si>
  <si>
    <t>09 Sep 2025</t>
  </si>
  <si>
    <t>1,723.39</t>
  </si>
  <si>
    <t>250909010100992251183562</t>
  </si>
  <si>
    <t>09 Sep 2025 11:10:14</t>
  </si>
  <si>
    <t>250909010100996168273720</t>
  </si>
  <si>
    <t>09 Sep 2025 13:27:54</t>
  </si>
  <si>
    <t xml:space="preserve">Transfer from ABDULLAHI - IBRAHIM | OPay | 814****152 </t>
  </si>
  <si>
    <t>250909010100999059072975</t>
  </si>
  <si>
    <t>10 Sep 2025 11:34:54</t>
  </si>
  <si>
    <t>10 Sep 2025</t>
  </si>
  <si>
    <t>3,423.39</t>
  </si>
  <si>
    <t>250910100100019000452938</t>
  </si>
  <si>
    <t>11 Sep 2025 14:02:30</t>
  </si>
  <si>
    <t>11 Sep 2025</t>
  </si>
  <si>
    <t>7,423.39</t>
  </si>
  <si>
    <t>250911010100043918618486</t>
  </si>
  <si>
    <t>11 Sep 2025 15:38:10</t>
  </si>
  <si>
    <t xml:space="preserve">Transfer to POS Transfer- AMINU YAHAYA | MONIE POINT | 5861053593 </t>
  </si>
  <si>
    <t>3,323.39</t>
  </si>
  <si>
    <t>100004250911153814140863179615</t>
  </si>
  <si>
    <t>12 Sep 2025 01:48:35</t>
  </si>
  <si>
    <t>12 Sep 2025</t>
  </si>
  <si>
    <t>3,023.39</t>
  </si>
  <si>
    <t>100004250912014839140892468945</t>
  </si>
  <si>
    <t>12 Sep 2025 01:48:49</t>
  </si>
  <si>
    <t>2,723.39</t>
  </si>
  <si>
    <t>250912100100056283073436</t>
  </si>
  <si>
    <t>12 Sep 2025 17:01:39</t>
  </si>
  <si>
    <t xml:space="preserve">Mobile Data | 7045658143 | DataMtn | 2.5GB Daily Plan </t>
  </si>
  <si>
    <t>1,973.39</t>
  </si>
  <si>
    <t>250912110100070488016600</t>
  </si>
  <si>
    <t>12 Sep 2025 17:22:38</t>
  </si>
  <si>
    <t>2,973.39</t>
  </si>
  <si>
    <t>250912010100071084046258</t>
  </si>
  <si>
    <t>12 Sep 2025 19:57:14</t>
  </si>
  <si>
    <t>34,973.39</t>
  </si>
  <si>
    <t>250912010100075064273566</t>
  </si>
  <si>
    <t>12 Sep 2025 19:57:23</t>
  </si>
  <si>
    <t>34,923.39</t>
  </si>
  <si>
    <t>250912550100075268148765</t>
  </si>
  <si>
    <t>13 Sep 2025 07:48:08</t>
  </si>
  <si>
    <t>13 Sep 2025</t>
  </si>
  <si>
    <t xml:space="preserve">Transfer to MUHAMMAD USMAN AHMAD | OPay | 8033660015 </t>
  </si>
  <si>
    <t>2,923.39</t>
  </si>
  <si>
    <t>250913010100080505089725</t>
  </si>
  <si>
    <t>13 Sep 2025 11:54:23</t>
  </si>
  <si>
    <t xml:space="preserve">Transfer from LUBABATU UMAR | MONIE POINT | 544****472 | AT139_TRF|2MPT6kxmz|1966832827628294144-AT139_TRF|2MPT6kxmz|1966832827628294144-LUBABATU UMA Trf for </t>
  </si>
  <si>
    <t>9,923.39</t>
  </si>
  <si>
    <t>APT00002250913125423012139861210</t>
  </si>
  <si>
    <t>13 Sep 2025 18:41:31</t>
  </si>
  <si>
    <t>26,923.39</t>
  </si>
  <si>
    <t>250913010100095588540108</t>
  </si>
  <si>
    <t>13 Sep 2025 18:41:39</t>
  </si>
  <si>
    <t>26,873.39</t>
  </si>
  <si>
    <t>250913550100095589164801</t>
  </si>
  <si>
    <t>13 Sep 2025 19:03:36</t>
  </si>
  <si>
    <t>28,473.39</t>
  </si>
  <si>
    <t>000004250913200334139258824107</t>
  </si>
  <si>
    <t>13 Sep 2025 19:05:09</t>
  </si>
  <si>
    <t>100004250913190514141014770980</t>
  </si>
  <si>
    <t>14 Sep 2025 00:32:07</t>
  </si>
  <si>
    <t>14 Sep 2025</t>
  </si>
  <si>
    <t xml:space="preserve">Mobile Data | 8169532954 | DataMtn | 2.5GB Daily Plan </t>
  </si>
  <si>
    <t>26,123.39</t>
  </si>
  <si>
    <t>250914110100100809039600</t>
  </si>
  <si>
    <t>14 Sep 2025 10:47:42</t>
  </si>
  <si>
    <t>24,023.39</t>
  </si>
  <si>
    <t>APT00003250914104746141042197813</t>
  </si>
  <si>
    <t>14 Sep 2025 13:02:09</t>
  </si>
  <si>
    <t xml:space="preserve">Transfer to ABUBAKAR JUNAIDU | OPay | 7042866848 </t>
  </si>
  <si>
    <t>9,023.39</t>
  </si>
  <si>
    <t>250914010100109343161078</t>
  </si>
  <si>
    <t>14 Sep 2025 17:07:42</t>
  </si>
  <si>
    <t>8,623.39</t>
  </si>
  <si>
    <t>250914100100114203892490</t>
  </si>
  <si>
    <t>15 Sep 2025 21:15:30</t>
  </si>
  <si>
    <t>15 Sep 2025</t>
  </si>
  <si>
    <t>10,623.39</t>
  </si>
  <si>
    <t>250915010100141466228637</t>
  </si>
  <si>
    <t>16 Sep 2025 09:09:37</t>
  </si>
  <si>
    <t>16 Sep 2025</t>
  </si>
  <si>
    <t xml:space="preserve">Transfer from ABUBAKAR UMAR UMAR | United Bank For Africa | 207****915 | MOB/UTO/Muhammad Abuba/sent /32912973652 </t>
  </si>
  <si>
    <t>15,623.39</t>
  </si>
  <si>
    <t>000004250916100936145349866748</t>
  </si>
  <si>
    <t>16 Sep 2025 19:13:09</t>
  </si>
  <si>
    <t>15,173.39</t>
  </si>
  <si>
    <t>100004250916191313141210379209</t>
  </si>
  <si>
    <t>16 Sep 2025 21:23:59</t>
  </si>
  <si>
    <t>14,673.39</t>
  </si>
  <si>
    <t>250916100100163797638795</t>
  </si>
  <si>
    <t>17 Sep 2025 07:43:52</t>
  </si>
  <si>
    <t>17 Sep 2025</t>
  </si>
  <si>
    <t>3,673.39</t>
  </si>
  <si>
    <t>250917100100167380491921</t>
  </si>
  <si>
    <t>18 Sep 2025 10:16:13</t>
  </si>
  <si>
    <t>18 Sep 2025</t>
  </si>
  <si>
    <t xml:space="preserve">Transfer from ABDULRAHMAN  IBRAHIM | PalmPay | 816****559 | ABDULRAHMAN  IBRAHIM:8167981559 </t>
  </si>
  <si>
    <t>37,678.00</t>
  </si>
  <si>
    <t>41,351.39</t>
  </si>
  <si>
    <t>100033250918101612090372529579</t>
  </si>
  <si>
    <t>18 Sep 2025 10:16:15</t>
  </si>
  <si>
    <t>41,301.39</t>
  </si>
  <si>
    <t>250918550100193964180587</t>
  </si>
  <si>
    <t>18 Sep 2025 10:17:37</t>
  </si>
  <si>
    <t>37,000.00</t>
  </si>
  <si>
    <t>4,301.39</t>
  </si>
  <si>
    <t>250918010100193820093802</t>
  </si>
  <si>
    <t>18 Sep 2025 20:43:12</t>
  </si>
  <si>
    <t>3,301.39</t>
  </si>
  <si>
    <t>APT00003250918204317141350887566</t>
  </si>
  <si>
    <t>18 Sep 2025 20:44:06</t>
  </si>
  <si>
    <t xml:space="preserve">Merchant Service Charge </t>
  </si>
  <si>
    <t>3,201.39</t>
  </si>
  <si>
    <t>250918140300207986663406</t>
  </si>
  <si>
    <t>19 Sep 2025 16:47:21</t>
  </si>
  <si>
    <t>19 Sep 2025</t>
  </si>
  <si>
    <t>2,801.39</t>
  </si>
  <si>
    <t>250919010100224708897828</t>
  </si>
  <si>
    <t>19 Sep 2025 16:47:40</t>
  </si>
  <si>
    <t>1,851.39</t>
  </si>
  <si>
    <t>APT00003250919164744141402135703</t>
  </si>
  <si>
    <t>21 Sep 2025 11:33:00</t>
  </si>
  <si>
    <t>21 Sep 2025</t>
  </si>
  <si>
    <t>3,351.39</t>
  </si>
  <si>
    <t>250921010100262327183231</t>
  </si>
  <si>
    <t>21 Sep 2025 12:19:27</t>
  </si>
  <si>
    <t>951.39</t>
  </si>
  <si>
    <t>APT00003250921121933141514013442</t>
  </si>
  <si>
    <t>22 Sep 2025 10:03:49</t>
  </si>
  <si>
    <t>22 Sep 2025</t>
  </si>
  <si>
    <t xml:space="preserve">Transfer from MUSTAPHA USMAN HAMZA | PalmPay | 913****366 | MUSTAPHA USMAN HAMZA:9133665366 </t>
  </si>
  <si>
    <t>15,036.50</t>
  </si>
  <si>
    <t>15,987.89</t>
  </si>
  <si>
    <t>100033250922100349090378817681</t>
  </si>
  <si>
    <t>22 Sep 2025 10:03:51</t>
  </si>
  <si>
    <t>15,937.89</t>
  </si>
  <si>
    <t>250922550100281471646115</t>
  </si>
  <si>
    <t>22 Sep 2025 10:04:59</t>
  </si>
  <si>
    <t>14,900.00</t>
  </si>
  <si>
    <t>1,037.89</t>
  </si>
  <si>
    <t>250922010100281384684622</t>
  </si>
  <si>
    <t>23 Sep 2025 13:15:36</t>
  </si>
  <si>
    <t>23 Sep 2025</t>
  </si>
  <si>
    <t>3,037.89</t>
  </si>
  <si>
    <t>250923010100307346106539</t>
  </si>
  <si>
    <t>23 Sep 2025 13:17:57</t>
  </si>
  <si>
    <t>1,450.00</t>
  </si>
  <si>
    <t>1,587.89</t>
  </si>
  <si>
    <t>APT00003250923131801141644171546</t>
  </si>
  <si>
    <t>23 Sep 2025 13:23:12</t>
  </si>
  <si>
    <t>487.89</t>
  </si>
  <si>
    <t>250923100100307777568457</t>
  </si>
  <si>
    <t>23 Sep 2025 17:30:24</t>
  </si>
  <si>
    <t>287.89</t>
  </si>
  <si>
    <t>250923100100313312270506</t>
  </si>
  <si>
    <t>24 Sep 2025 12:19:31</t>
  </si>
  <si>
    <t>24 Sep 2025</t>
  </si>
  <si>
    <t>87.89</t>
  </si>
  <si>
    <t>250924100100328521300431</t>
  </si>
  <si>
    <t>24 Sep 2025 19:22:36</t>
  </si>
  <si>
    <t xml:space="preserve">Transfer from PHILEMON  PETER | United Bank For Africa | 214****949 | MOB/UTO/Muhammad Abuba/good /33060107755 </t>
  </si>
  <si>
    <t>2,087.89</t>
  </si>
  <si>
    <t>000004250924202235432394972757</t>
  </si>
  <si>
    <t>24 Sep 2025 19:36:51</t>
  </si>
  <si>
    <t>1,187.89</t>
  </si>
  <si>
    <t>100004250924193654141735515778</t>
  </si>
  <si>
    <t>26 Sep 2025 10:28:48</t>
  </si>
  <si>
    <t>26 Sep 2025</t>
  </si>
  <si>
    <t>10,500.00</t>
  </si>
  <si>
    <t>11,687.89</t>
  </si>
  <si>
    <t>000006250926112855595147562432</t>
  </si>
  <si>
    <t>26 Sep 2025 10:28:49</t>
  </si>
  <si>
    <t>11,637.89</t>
  </si>
  <si>
    <t>250926550100372205782475</t>
  </si>
  <si>
    <t>26 Sep 2025 13:21:54</t>
  </si>
  <si>
    <t xml:space="preserve">OPay Card Payment | 2ISMHUKA | 000000005117 | T Bread Republic Sh 005117 2ISMHUKA LANG </t>
  </si>
  <si>
    <t>1,437.89</t>
  </si>
  <si>
    <t>250926330100375893481974</t>
  </si>
  <si>
    <t>27 Sep 2025 12:31:42</t>
  </si>
  <si>
    <t>27 Sep 2025</t>
  </si>
  <si>
    <t>10,437.89</t>
  </si>
  <si>
    <t>000004250927133134445648631553</t>
  </si>
  <si>
    <t>27 Sep 2025 13:27:42</t>
  </si>
  <si>
    <t>8,337.89</t>
  </si>
  <si>
    <t>250927010100399867053235</t>
  </si>
  <si>
    <t>27 Sep 2025 13:39:20</t>
  </si>
  <si>
    <t>8,300.00</t>
  </si>
  <si>
    <t>37.89</t>
  </si>
  <si>
    <t>APT00003250927133925141914285903</t>
  </si>
  <si>
    <t>28 Sep 2025 08:40:14</t>
  </si>
  <si>
    <t>28 Sep 2025</t>
  </si>
  <si>
    <t xml:space="preserve">Transfer from UMAR AISHA | Guaranty Trust Bank | 023****265 | NIP Transfer to MUHAMMAD ABUBAKAR UMAR. 000013250928094013000442755233 </t>
  </si>
  <si>
    <t>5,037.89</t>
  </si>
  <si>
    <t>000013250928094013000442755233</t>
  </si>
  <si>
    <t>28 Sep 2025 10:13:33</t>
  </si>
  <si>
    <t>4,737.89</t>
  </si>
  <si>
    <t>250928100100418053840282</t>
  </si>
  <si>
    <t>28 Sep 2025 10:18:41</t>
  </si>
  <si>
    <t>6,737.89</t>
  </si>
  <si>
    <t>250928010100418178507215</t>
  </si>
  <si>
    <t>28 Sep 2025 10:24:13</t>
  </si>
  <si>
    <t xml:space="preserve">Mobile Data | 7033715966 | DataMtn | 3.5GB Weekly Plan </t>
  </si>
  <si>
    <t>5,237.89</t>
  </si>
  <si>
    <t>250928110100418393475694</t>
  </si>
  <si>
    <t>28 Sep 2025 10:24:30</t>
  </si>
  <si>
    <t>250928010100418295196810</t>
  </si>
  <si>
    <t>29 Sep 2025 12:00:16</t>
  </si>
  <si>
    <t>29 Sep 2025</t>
  </si>
  <si>
    <t>2,637.89</t>
  </si>
  <si>
    <t>250929010100441488535822</t>
  </si>
  <si>
    <t>29 Sep 2025 14:25:24</t>
  </si>
  <si>
    <t>2,337.89</t>
  </si>
  <si>
    <t>250929100100444467497773</t>
  </si>
  <si>
    <t>30 Sep 2025 15:59:02</t>
  </si>
  <si>
    <t>30 Sep 2025</t>
  </si>
  <si>
    <t>17,337.89</t>
  </si>
  <si>
    <t>250930010100469304637139</t>
  </si>
  <si>
    <t>30 Sep 2025 15:59:11</t>
  </si>
  <si>
    <t>17,287.89</t>
  </si>
  <si>
    <t>250930550100469659823911</t>
  </si>
  <si>
    <t>30 Sep 2025 16:12:00</t>
  </si>
  <si>
    <t xml:space="preserve">Transfer to POLYCARP CHIDIEBERE IHUOMA | OPay | 8145135728 </t>
  </si>
  <si>
    <t>16,187.89</t>
  </si>
  <si>
    <t>250930180100469802450709</t>
  </si>
  <si>
    <t>30 Sep 2025 17:12:22</t>
  </si>
  <si>
    <t>15,687.89</t>
  </si>
  <si>
    <t>250930100100471717505564</t>
  </si>
  <si>
    <t>01 Oct 2025 09:01:30</t>
  </si>
  <si>
    <t>01 Oct 2025</t>
  </si>
  <si>
    <t>18,687.89</t>
  </si>
  <si>
    <t>251001010100483463118006</t>
  </si>
  <si>
    <t>01 Oct 2025 09:27:13</t>
  </si>
  <si>
    <t>687.89</t>
  </si>
  <si>
    <t>251001100100484451486432</t>
  </si>
  <si>
    <t>04 Oct 2025 19:12:21</t>
  </si>
  <si>
    <t>04 Oct 2025</t>
  </si>
  <si>
    <t>387.89</t>
  </si>
  <si>
    <t>251004100100573563362781</t>
  </si>
  <si>
    <t>05 Oct 2025 16:22:59</t>
  </si>
  <si>
    <t>05 Oct 2025</t>
  </si>
  <si>
    <t xml:space="preserve">Transfer from ALIYU IBRAHIM ALIYU | OPay | 806****060 </t>
  </si>
  <si>
    <t>5,387.89</t>
  </si>
  <si>
    <t>251005010100591066040216</t>
  </si>
  <si>
    <t>05 Oct 2025 17:51:20</t>
  </si>
  <si>
    <t xml:space="preserve">Transfer to POS Transfer - YUSHAU SANI | MONIE POINT | 5373352395 </t>
  </si>
  <si>
    <t>1,287.89</t>
  </si>
  <si>
    <t>APT00003251005175124142483019070</t>
  </si>
  <si>
    <t>07 Oct 2025 18:25:09</t>
  </si>
  <si>
    <t>07 Oct 2025</t>
  </si>
  <si>
    <t xml:space="preserve">Transfer from UMAR AISHA | Guaranty Trust Bank | 023****265 | NIP Transfer to MUHAMMAD ABUBAKAR UMAR. 000013251007192509000464235704 </t>
  </si>
  <si>
    <t>3,287.89</t>
  </si>
  <si>
    <t>000013251007192509000464235704</t>
  </si>
  <si>
    <t>09 Oct 2025 04:43:27</t>
  </si>
  <si>
    <t>09 Oct 2025</t>
  </si>
  <si>
    <t xml:space="preserve">Transfer from UMAR AISHA | Guaranty Trust Bank | 023****265 | NIP Transfer to MUHAMMAD ABUBAKAR UMAR. 000013251009054327000466923861 </t>
  </si>
  <si>
    <t>53,287.89</t>
  </si>
  <si>
    <t>000013251009054327000466923861</t>
  </si>
  <si>
    <t>09 Oct 2025 04:43:29</t>
  </si>
  <si>
    <t>53,237.89</t>
  </si>
  <si>
    <t>251009550100670273988472</t>
  </si>
  <si>
    <t>09 Oct 2025 04:46:49</t>
  </si>
  <si>
    <t xml:space="preserve">Transfer to NIGERIAN SOCIETY OF ENGINEERS KABUGA BRANCH | Fidelity Bank | 6060233773 </t>
  </si>
  <si>
    <t>23,237.89</t>
  </si>
  <si>
    <t>100004251009044654142714697889</t>
  </si>
  <si>
    <t>09 Oct 2025 06:36:04</t>
  </si>
  <si>
    <t>22,937.89</t>
  </si>
  <si>
    <t>251009100100671730442164</t>
  </si>
  <si>
    <t>10 Oct 2025 09:01:06</t>
  </si>
  <si>
    <t>10 Oct 2025</t>
  </si>
  <si>
    <t xml:space="preserve">Transfer from ABDUL UTHMAN-ABUBAKR UMARU- AGWAI | Jaiz Bank Plc | 000****332 | IFO MUHAMMAD ABUBAKAR UMAR  </t>
  </si>
  <si>
    <t>27,937.89</t>
  </si>
  <si>
    <t>000006251010100103739444150729</t>
  </si>
  <si>
    <t>10 Oct 2025 10:19:15</t>
  </si>
  <si>
    <t xml:space="preserve">Transfer to SAMUEL CHINEDU ODOH | Access Bank | 0024897564 </t>
  </si>
  <si>
    <t>11,100.00</t>
  </si>
  <si>
    <t>16,837.89</t>
  </si>
  <si>
    <t>100004251010101920142803663344</t>
  </si>
  <si>
    <t>10 Oct 2025 10:20:29</t>
  </si>
  <si>
    <t>16,737.89</t>
  </si>
  <si>
    <t>100004251010102033142803673176</t>
  </si>
  <si>
    <t>10 Oct 2025 14:31:36</t>
  </si>
  <si>
    <t xml:space="preserve">Transfer to ISMAIL ABDULLAHI | OPay | 8168903148 </t>
  </si>
  <si>
    <t>15,537.89</t>
  </si>
  <si>
    <t>251010010100705418405377</t>
  </si>
  <si>
    <t>10 Oct 2025 14:33:54</t>
  </si>
  <si>
    <t xml:space="preserve">Transfer to Bread Republic Shopping Complex -TWO | MONIE POINT | 5018298729 </t>
  </si>
  <si>
    <t>13,537.89</t>
  </si>
  <si>
    <t>100004251010143357142821677879</t>
  </si>
  <si>
    <t>10 Oct 2025 21:47:28</t>
  </si>
  <si>
    <t>12,537.89</t>
  </si>
  <si>
    <t>100004251010214732142853349599</t>
  </si>
  <si>
    <t>11 Oct 2025 09:37:21</t>
  </si>
  <si>
    <t>11 Oct 2025</t>
  </si>
  <si>
    <t>12,237.89</t>
  </si>
  <si>
    <t>251011100100721434749886</t>
  </si>
  <si>
    <t>11 Oct 2025 13:16:06</t>
  </si>
  <si>
    <t>10,237.89</t>
  </si>
  <si>
    <t>100004251011131611142884606579</t>
  </si>
  <si>
    <t>12 Oct 2025 07:47:28</t>
  </si>
  <si>
    <t>12 Oct 2025</t>
  </si>
  <si>
    <t xml:space="preserve">Transfer to RABIU USMAN ALIYU | OPay | 7075661922 </t>
  </si>
  <si>
    <t>9,937.89</t>
  </si>
  <si>
    <t>251012010100742327862280</t>
  </si>
  <si>
    <t>12 Oct 2025 13:58:16</t>
  </si>
  <si>
    <t xml:space="preserve">Transfer to POS Transfer- ABDULLAHI MUBARAK KABIR | MONIE POINT | 5071989929 </t>
  </si>
  <si>
    <t>5,937.89</t>
  </si>
  <si>
    <t>APT00003251012135826142951585768</t>
  </si>
  <si>
    <t>13 Oct 2025 08:04:36</t>
  </si>
  <si>
    <t>13 Oct 2025</t>
  </si>
  <si>
    <t>251013010100763049348735</t>
  </si>
  <si>
    <t>13 Oct 2025 10:06:37</t>
  </si>
  <si>
    <t>4,937.89</t>
  </si>
  <si>
    <t>251013100100765661516898</t>
  </si>
  <si>
    <t>13 Oct 2025 10:16:46</t>
  </si>
  <si>
    <t>4,237.89</t>
  </si>
  <si>
    <t>100004251013101650143000739916</t>
  </si>
  <si>
    <t>13 Oct 2025 10:20:46</t>
  </si>
  <si>
    <t>4,037.89</t>
  </si>
  <si>
    <t>251013010100766491230611</t>
  </si>
  <si>
    <t>13 Oct 2025 12:27:36</t>
  </si>
  <si>
    <t>251013010100769102087727</t>
  </si>
  <si>
    <t>13 Oct 2025 18:38:19</t>
  </si>
  <si>
    <t>2,687.89</t>
  </si>
  <si>
    <t>APT00003251013183823143038773779</t>
  </si>
  <si>
    <t>14 Oct 2025 09:01:05</t>
  </si>
  <si>
    <t>14 Oct 2025</t>
  </si>
  <si>
    <t>2,487.89</t>
  </si>
  <si>
    <t>100004251014090117143063451674</t>
  </si>
  <si>
    <t>14 Oct 2025 11:53:26</t>
  </si>
  <si>
    <t>3,987.89</t>
  </si>
  <si>
    <t>251014010100791090567046</t>
  </si>
  <si>
    <t>14 Oct 2025 14:00:05</t>
  </si>
  <si>
    <t>3,587.89</t>
  </si>
  <si>
    <t>251014010100793891491385</t>
  </si>
  <si>
    <t>14 Oct 2025 14:17:21</t>
  </si>
  <si>
    <t>3,387.89</t>
  </si>
  <si>
    <t>251014100100794214226145</t>
  </si>
  <si>
    <t>14 Oct 2025 16:13:21</t>
  </si>
  <si>
    <t>2,887.89</t>
  </si>
  <si>
    <t>251014100100796732684773</t>
  </si>
  <si>
    <t>15 Oct 2025 06:55:20</t>
  </si>
  <si>
    <t>15 Oct 2025</t>
  </si>
  <si>
    <t xml:space="preserve">Transfer to POS Transfer - DAYYABU ISMAIL | MONIE POINT | 8235285192 </t>
  </si>
  <si>
    <t>APT00003251015065524143123982997</t>
  </si>
  <si>
    <t>15 Oct 2025 10:31:31</t>
  </si>
  <si>
    <t>3,337.89</t>
  </si>
  <si>
    <t>251015010100812091980998</t>
  </si>
  <si>
    <t>15 Oct 2025 10:31:45</t>
  </si>
  <si>
    <t>APT00003251015103150143137936292</t>
  </si>
  <si>
    <t>15 Oct 2025 15:00:10</t>
  </si>
  <si>
    <t>2,387.89</t>
  </si>
  <si>
    <t>251015100100817848451336</t>
  </si>
  <si>
    <t>15 Oct 2025 16:08:27</t>
  </si>
  <si>
    <t xml:space="preserve">Transfer from UMAR UMAR ABUBAKAR | OPay | 706****836 | Sent </t>
  </si>
  <si>
    <t>4,387.89</t>
  </si>
  <si>
    <t>251015010100819299792888</t>
  </si>
  <si>
    <t>15 Oct 2025 16:26:38</t>
  </si>
  <si>
    <t>3,537.89</t>
  </si>
  <si>
    <t>251015010100819944080485</t>
  </si>
  <si>
    <t>15 Oct 2025 20:20:33</t>
  </si>
  <si>
    <t xml:space="preserve">Transfer to MUHAMMAD MUBARAK HASSAN | OPay | 7033595824 </t>
  </si>
  <si>
    <t>251015010100826047231714</t>
  </si>
  <si>
    <t>16 Oct 2025 09:30:50</t>
  </si>
  <si>
    <t>16 Oct 2025</t>
  </si>
  <si>
    <t>251016010100833873553394</t>
  </si>
  <si>
    <t>16 Oct 2025 11:20:41</t>
  </si>
  <si>
    <t>1,687.89</t>
  </si>
  <si>
    <t>100004251016112045143211046063</t>
  </si>
  <si>
    <t>16 Oct 2025 15:29:10</t>
  </si>
  <si>
    <t>1,487.89</t>
  </si>
  <si>
    <t>251016100100841434920490</t>
  </si>
  <si>
    <t>17 Oct 2025 08:22:09</t>
  </si>
  <si>
    <t>17 Oct 2025</t>
  </si>
  <si>
    <t>251017010100854890849486</t>
  </si>
  <si>
    <t>17 Oct 2025 21:11:21</t>
  </si>
  <si>
    <t xml:space="preserve">Transfer from UMAR UMAR ABUBAKAR | OPay | 706****836 </t>
  </si>
  <si>
    <t>2,787.89</t>
  </si>
  <si>
    <t>251017010100873131929606</t>
  </si>
  <si>
    <t>18 Oct 2025 07:36:51</t>
  </si>
  <si>
    <t>18 Oct 2025</t>
  </si>
  <si>
    <t>2,587.89</t>
  </si>
  <si>
    <t>251018010100877769443552</t>
  </si>
  <si>
    <t>18 Oct 2025 08:15:34</t>
  </si>
  <si>
    <t>251018100100878685037081</t>
  </si>
  <si>
    <t>18 Oct 2025 10:01:40</t>
  </si>
  <si>
    <t>100004251018100143143346187559</t>
  </si>
  <si>
    <t>18 Oct 2025 11:49:50</t>
  </si>
  <si>
    <t>2,287.89</t>
  </si>
  <si>
    <t>251018010100883840234096</t>
  </si>
  <si>
    <t>18 Oct 2025 11:52:05</t>
  </si>
  <si>
    <t xml:space="preserve">Transfer to BUHARI WADA | OPay | 8135985396 </t>
  </si>
  <si>
    <t>251018010100883670247264</t>
  </si>
  <si>
    <t>18 Oct 2025 13:01:11</t>
  </si>
  <si>
    <t xml:space="preserve">Transfer to SAFIYANU ADAM DAHIRU | OPay | 8103646255 </t>
  </si>
  <si>
    <t>787.89</t>
  </si>
  <si>
    <t>251018010100885526142660</t>
  </si>
  <si>
    <t>18 Oct 2025 13:01:26</t>
  </si>
  <si>
    <t>251018100100885477189756</t>
  </si>
  <si>
    <t>18 Oct 2025 17:29:54</t>
  </si>
  <si>
    <t>251018100100891876373154</t>
  </si>
  <si>
    <t>19 Oct 2025 09:27:42</t>
  </si>
  <si>
    <t>19 Oct 2025</t>
  </si>
  <si>
    <t xml:space="preserve">Transfer from PHILEMON  PETER | United Bank For Africa | 214****949 | MOB/UTO/Muhammad Abuba/good/33499932014 </t>
  </si>
  <si>
    <t>1,387.89</t>
  </si>
  <si>
    <t>000004251019102742175258187199</t>
  </si>
  <si>
    <t>19 Oct 2025 09:30:15</t>
  </si>
  <si>
    <t>251019100100903551101419</t>
  </si>
  <si>
    <t>19 Oct 2025 09:47:20</t>
  </si>
  <si>
    <t xml:space="preserve">Transfer to ZAHARADDEEN NASIR | OPay | 7076919166 </t>
  </si>
  <si>
    <t>887.89</t>
  </si>
  <si>
    <t>251019010100903887462961</t>
  </si>
  <si>
    <t>19 Oct 2025 17:24:54</t>
  </si>
  <si>
    <t xml:space="preserve">Mobile Data | 9052006135 | DataGlo | 335MB Weekly Plan </t>
  </si>
  <si>
    <t>251019110100913318159433</t>
  </si>
  <si>
    <t>20 Oct 2025 10:36:24</t>
  </si>
  <si>
    <t>20 Oct 2025</t>
  </si>
  <si>
    <t>6,787.89</t>
  </si>
  <si>
    <t>251020010100926538585684</t>
  </si>
  <si>
    <t>20 Oct 2025 11:56:13</t>
  </si>
  <si>
    <t>3,787.89</t>
  </si>
  <si>
    <t>251020140300928212067079</t>
  </si>
  <si>
    <t>20 Oct 2025 11:56:39</t>
  </si>
  <si>
    <t>251020100100927909476401</t>
  </si>
  <si>
    <t>20 Oct 2025 14:15:45</t>
  </si>
  <si>
    <t>100004251020141548143493124842</t>
  </si>
  <si>
    <t>20 Oct 2025 16:05:42</t>
  </si>
  <si>
    <t>4,087.89</t>
  </si>
  <si>
    <t>251020010100933339790550</t>
  </si>
  <si>
    <t>21 Oct 2025 08:16:53</t>
  </si>
  <si>
    <t>21 Oct 2025</t>
  </si>
  <si>
    <t>251021010100946525680424</t>
  </si>
  <si>
    <t>21 Oct 2025 09:52:15</t>
  </si>
  <si>
    <t xml:space="preserve">Transfer to Shafiu Abdulrahman | MONIE POINT | 8132583296 </t>
  </si>
  <si>
    <t>APT00003251021095218143543995931</t>
  </si>
  <si>
    <t>21 Oct 2025 16:17:41</t>
  </si>
  <si>
    <t>251021010100956934491383</t>
  </si>
  <si>
    <t>21 Oct 2025 16:18:15</t>
  </si>
  <si>
    <t xml:space="preserve">Transfer to USAMAN UMAR USTAZ | First Bank Of Nigeria | 3166928689 </t>
  </si>
  <si>
    <t>100004251021161818143570612272</t>
  </si>
  <si>
    <t>21 Oct 2025 18:48:51</t>
  </si>
  <si>
    <t>100004251021184855143584992609</t>
  </si>
  <si>
    <t>22 Oct 2025 08:31:54</t>
  </si>
  <si>
    <t>22 Oct 2025</t>
  </si>
  <si>
    <t>251022010100970656912755</t>
  </si>
  <si>
    <t>22 Oct 2025 10:28:28</t>
  </si>
  <si>
    <t>251022100100973726134307</t>
  </si>
  <si>
    <t>22 Oct 2025 11:54:25</t>
  </si>
  <si>
    <t>251022010200975525788706</t>
  </si>
  <si>
    <t>22 Oct 2025 11:54:46</t>
  </si>
  <si>
    <t>251022010100975526556756</t>
  </si>
  <si>
    <t>22 Oct 2025 18:24:38</t>
  </si>
  <si>
    <t>251022010100984821709695</t>
  </si>
  <si>
    <t>22 Oct 2025 18:27:14</t>
  </si>
  <si>
    <t>337.89</t>
  </si>
  <si>
    <t>251022010100984915145774</t>
  </si>
  <si>
    <t>22 Oct 2025 18:30:15</t>
  </si>
  <si>
    <t>100004251022183019143654377892</t>
  </si>
  <si>
    <t>23 Oct 2025 07:26:57</t>
  </si>
  <si>
    <t>23 Oct 2025</t>
  </si>
  <si>
    <t>251023010100993032212988</t>
  </si>
  <si>
    <t>23 Oct 2025 07:27:38</t>
  </si>
  <si>
    <t xml:space="preserve">Transfer to IBRAHIM ISHOLA AKEEM | OPay | 8163590828 </t>
  </si>
  <si>
    <t>251023010100993325053058</t>
  </si>
  <si>
    <t>25 Oct 2025 18:36:40</t>
  </si>
  <si>
    <t>25 Oct 2025</t>
  </si>
  <si>
    <t>187.89</t>
  </si>
  <si>
    <t>251025010100057994909422</t>
  </si>
  <si>
    <t>25 Oct 2025 18:41:25</t>
  </si>
  <si>
    <t>251025010100058311133702</t>
  </si>
  <si>
    <t>26 Oct 2025 05:28:20</t>
  </si>
  <si>
    <t>26 Oct 2025</t>
  </si>
  <si>
    <t xml:space="preserve">Transfer from LUBABATU UMAR | MONIE POINT | 544****472 | AT139_TRF|2MPT6kxmz|1982318354082762752-AT139_TRF|2MPT6kxmz|1982318354082762752-LUBABATU UMA Trf for </t>
  </si>
  <si>
    <t>APT00002251026062820086139404006</t>
  </si>
  <si>
    <t>26 Oct 2025 10:30:55</t>
  </si>
  <si>
    <t>1,087.89</t>
  </si>
  <si>
    <t>251026010100069606074553</t>
  </si>
  <si>
    <t>26 Oct 2025 10:35:13</t>
  </si>
  <si>
    <t>837.89</t>
  </si>
  <si>
    <t>251026010100069715943810</t>
  </si>
  <si>
    <t>26 Oct 2025 10:35:28</t>
  </si>
  <si>
    <t>251026100100069463346866</t>
  </si>
  <si>
    <t>26 Oct 2025 15:30:05</t>
  </si>
  <si>
    <t>137.89</t>
  </si>
  <si>
    <t>251026010100075410711910</t>
  </si>
  <si>
    <t>27 Oct 2025 07:54:08</t>
  </si>
  <si>
    <t>27 Oct 2025</t>
  </si>
  <si>
    <t>43.65</t>
  </si>
  <si>
    <t>94.24</t>
  </si>
  <si>
    <t>251027100100088424256013</t>
  </si>
  <si>
    <t>27 Oct 2025 12:45:46</t>
  </si>
  <si>
    <t>3,094.24</t>
  </si>
  <si>
    <t>251027010100094734883635</t>
  </si>
  <si>
    <t>27 Oct 2025 12:47:53</t>
  </si>
  <si>
    <t xml:space="preserve">NECO | 08147735015 | NECO </t>
  </si>
  <si>
    <t>1,594.24</t>
  </si>
  <si>
    <t>251027200100094790607268</t>
  </si>
  <si>
    <t>27 Oct 2025 12:50:08</t>
  </si>
  <si>
    <t>251027200100094897736899</t>
  </si>
  <si>
    <t>27 Oct 2025 18:03:05</t>
  </si>
  <si>
    <t>6,594.24</t>
  </si>
  <si>
    <t>251027010100102230941609</t>
  </si>
  <si>
    <t>27 Oct 2025 18:07:28</t>
  </si>
  <si>
    <t>5,094.24</t>
  </si>
  <si>
    <t>251027010100102553326102</t>
  </si>
  <si>
    <t>27 Oct 2025 18:10:47</t>
  </si>
  <si>
    <t>4,794.24</t>
  </si>
  <si>
    <t>251027100100102818856324</t>
  </si>
  <si>
    <t>27 Oct 2025 20:39:49</t>
  </si>
  <si>
    <t xml:space="preserve">Transfer to LUPER PAUL TERVER | OPay | 9162874588 </t>
  </si>
  <si>
    <t>2,794.24</t>
  </si>
  <si>
    <t>251027010100106286732385</t>
  </si>
  <si>
    <t>27 Oct 2025 21:21:01</t>
  </si>
  <si>
    <t>251027010100107197439575</t>
  </si>
  <si>
    <t>28 Oct 2025 08:26:06</t>
  </si>
  <si>
    <t>28 Oct 2025</t>
  </si>
  <si>
    <t xml:space="preserve">Transfer to POS Transfer- ZILA SALE | MONIE POINT | 5112169194 </t>
  </si>
  <si>
    <t>4,394.24</t>
  </si>
  <si>
    <t>100004251028082609144024100831</t>
  </si>
  <si>
    <t>28 Oct 2025 08:31:42</t>
  </si>
  <si>
    <t xml:space="preserve">Transfer to NASIRU SANI | OPay | 9059337822 </t>
  </si>
  <si>
    <t>2,294.24</t>
  </si>
  <si>
    <t>251028010100112405899356</t>
  </si>
  <si>
    <t>28 Oct 2025 09:05:13</t>
  </si>
  <si>
    <t xml:space="preserve">Transfer from KHADIJAT TEMITOPE ABDULRASHEED | PalmPay | 808****732 | KHADIJAT TEMITOPE ABDULRASHEED:8089916732 </t>
  </si>
  <si>
    <t>3,294.24</t>
  </si>
  <si>
    <t>100033251028090512090434975374</t>
  </si>
  <si>
    <t>28 Oct 2025 09:19:08</t>
  </si>
  <si>
    <t xml:space="preserve">Transfer to POS Transfer-GHALI SANI ALIYU | MONIE POINT | 5769127046 </t>
  </si>
  <si>
    <t>100004251028091911144026582460</t>
  </si>
  <si>
    <t>28 Oct 2025 10:56:56</t>
  </si>
  <si>
    <t xml:space="preserve">Transfer to POS Transfer- GARBA ZAHRADDEEN ABDULRAHIM | MONIE POINT | 5995005721 </t>
  </si>
  <si>
    <t>1,194.24</t>
  </si>
  <si>
    <t>100004251028105703144034059654</t>
  </si>
  <si>
    <t>28 Oct 2025 13:53:57</t>
  </si>
  <si>
    <t xml:space="preserve">Transfer to POS Transfer-HALIMAT OVAYI ABDULLAHI | MONIE POINT | 5000355029 </t>
  </si>
  <si>
    <t>1,130.00</t>
  </si>
  <si>
    <t>64.24</t>
  </si>
  <si>
    <t>APT00003251028135402144045418027</t>
  </si>
  <si>
    <t>28 Oct 2025 14:41:59</t>
  </si>
  <si>
    <t xml:space="preserve">Transfer from DIVINE THANKGOD ODIDI | PalmPay | 817****661 | DIVINE THANKGOD ODIDI:8174865661 </t>
  </si>
  <si>
    <t>3,064.24</t>
  </si>
  <si>
    <t>100033251028144158262075629004</t>
  </si>
  <si>
    <t>28 Oct 2025 15:18:46</t>
  </si>
  <si>
    <t>1,064.24</t>
  </si>
  <si>
    <t>251028010100121707908319</t>
  </si>
  <si>
    <t>28 Oct 2025 16:55:55</t>
  </si>
  <si>
    <t xml:space="preserve">Transfer from JIBRIN YUNUS YUSUF | FCMB(First City Monument Bank PLC) | 200****345 | App To Opay Digital Services Limited MUHAMMAD ABUBAKAR UMAR </t>
  </si>
  <si>
    <t>6,064.24</t>
  </si>
  <si>
    <t>000003251028175551004412042351</t>
  </si>
  <si>
    <t>28 Oct 2025 20:29:02</t>
  </si>
  <si>
    <t>16,064.24</t>
  </si>
  <si>
    <t>000004251028212856181960489573</t>
  </si>
  <si>
    <t>28 Oct 2025 20:29:04</t>
  </si>
  <si>
    <t>16,014.24</t>
  </si>
  <si>
    <t>251028550100129942723144</t>
  </si>
  <si>
    <t>28 Oct 2025 20:30:49</t>
  </si>
  <si>
    <t>2,010.00</t>
  </si>
  <si>
    <t>14,004.24</t>
  </si>
  <si>
    <t>100004251028203055144077982719</t>
  </si>
  <si>
    <t>28 Oct 2025 20:37:43</t>
  </si>
  <si>
    <t>12,994.24</t>
  </si>
  <si>
    <t>100004251028203748144078023462</t>
  </si>
  <si>
    <t>28 Oct 2025 20:37:58</t>
  </si>
  <si>
    <t>12,694.24</t>
  </si>
  <si>
    <t>251028100100129963071690</t>
  </si>
  <si>
    <t>28 Oct 2025 20:38:20</t>
  </si>
  <si>
    <t>12,494.24</t>
  </si>
  <si>
    <t>251028100100129963841890</t>
  </si>
  <si>
    <t>28 Oct 2025 20:39:32</t>
  </si>
  <si>
    <t>11,934.24</t>
  </si>
  <si>
    <t>100004251028203937144078161163</t>
  </si>
  <si>
    <t>29 Oct 2025 07:47:11</t>
  </si>
  <si>
    <t>29 Oct 2025</t>
  </si>
  <si>
    <t>9,934.24</t>
  </si>
  <si>
    <t>251029010100135151253271</t>
  </si>
  <si>
    <t>29 Oct 2025 08:08:14</t>
  </si>
  <si>
    <t>8,934.24</t>
  </si>
  <si>
    <t>251029010100135667063769</t>
  </si>
  <si>
    <t>29 Oct 2025 08:46:34</t>
  </si>
  <si>
    <t>4,234.24</t>
  </si>
  <si>
    <t>APT00003251029084640144094047878</t>
  </si>
  <si>
    <t>29 Oct 2025 08:50:58</t>
  </si>
  <si>
    <t xml:space="preserve">Transfer to LAWAL DANKANKANI IBRAHIM | MONIE POINT | 5751927676 </t>
  </si>
  <si>
    <t>3,434.24</t>
  </si>
  <si>
    <t>APT00003251029085114144094664683</t>
  </si>
  <si>
    <t>29 Oct 2025 09:00:14</t>
  </si>
  <si>
    <t>3,234.24</t>
  </si>
  <si>
    <t>251029100100137183390544</t>
  </si>
  <si>
    <t>29 Oct 2025 10:55:24</t>
  </si>
  <si>
    <t>2,934.24</t>
  </si>
  <si>
    <t>100004251029105530144104450634</t>
  </si>
  <si>
    <t>29 Oct 2025 11:03:50</t>
  </si>
  <si>
    <t xml:space="preserve">Transfer to BABANGIDA HASHIM | OPay | 8022057670 </t>
  </si>
  <si>
    <t>2,834.24</t>
  </si>
  <si>
    <t>251029010100139863818192</t>
  </si>
  <si>
    <t>30 Oct 2025 04:13:58</t>
  </si>
  <si>
    <t>30 Oct 2025</t>
  </si>
  <si>
    <t xml:space="preserve">Transfer from LUBABATU UMAR | MONIE POINT | 544****472 | AT139_TRF|2MPT6kxmz|1983749188941561856-AT139_TRF|2MPT6kxmz|1983749188941561856-LUBABATU UMA Trf for </t>
  </si>
  <si>
    <t>12,834.24</t>
  </si>
  <si>
    <t>APT00002251030051357834139999817</t>
  </si>
  <si>
    <t>30 Oct 2025 04:14:00</t>
  </si>
  <si>
    <t>12,784.24</t>
  </si>
  <si>
    <t>251030550100157460776494</t>
  </si>
  <si>
    <t>30 Oct 2025 06:17:47</t>
  </si>
  <si>
    <t>7,784.24</t>
  </si>
  <si>
    <t>251030140300158394980202</t>
  </si>
  <si>
    <t>30 Oct 2025 06:58:53</t>
  </si>
  <si>
    <t>7,484.24</t>
  </si>
  <si>
    <t>251030010100158702929611</t>
  </si>
  <si>
    <t>30 Oct 2025 07:45:11</t>
  </si>
  <si>
    <t xml:space="preserve">Transfer to ISHAQ YAHUZA | OPay | 7077186531 </t>
  </si>
  <si>
    <t>6,784.24</t>
  </si>
  <si>
    <t>251030010100160011256128</t>
  </si>
  <si>
    <t>30 Oct 2025 08:30:02</t>
  </si>
  <si>
    <t xml:space="preserve">Transfer to SAGIRU SHUAIBU | OPay | 9012055448 </t>
  </si>
  <si>
    <t>6,584.24</t>
  </si>
  <si>
    <t>251030010100161044929368</t>
  </si>
  <si>
    <t>30 Oct 2025 08:32:23</t>
  </si>
  <si>
    <t>6,484.24</t>
  </si>
  <si>
    <t>100004251030083229144165747620</t>
  </si>
  <si>
    <t>30 Oct 2025 08:36:34</t>
  </si>
  <si>
    <t>5,884.24</t>
  </si>
  <si>
    <t>100004251030083640144166798264</t>
  </si>
  <si>
    <t>30 Oct 2025 08:37:02</t>
  </si>
  <si>
    <t>4,984.24</t>
  </si>
  <si>
    <t>251030010100161013759567</t>
  </si>
  <si>
    <t>30 Oct 2025 17:23:38</t>
  </si>
  <si>
    <t>24,984.24</t>
  </si>
  <si>
    <t>251030010200173685715397</t>
  </si>
  <si>
    <t>24,934.24</t>
  </si>
  <si>
    <t>251030550100173454075062</t>
  </si>
  <si>
    <t>30 Oct 2025 17:46:58</t>
  </si>
  <si>
    <t>24,734.24</t>
  </si>
  <si>
    <t>100004251030174706144208348524</t>
  </si>
  <si>
    <t>31 Oct 2025 06:22:36</t>
  </si>
  <si>
    <t>31 Oct 2025</t>
  </si>
  <si>
    <t>18,900.00</t>
  </si>
  <si>
    <t>5,834.24</t>
  </si>
  <si>
    <t>251031100100182687785698</t>
  </si>
  <si>
    <t xml:space="preserve">voucher package </t>
  </si>
  <si>
    <t>99.00</t>
  </si>
  <si>
    <t>5,735.24</t>
  </si>
  <si>
    <t>251031140300182614905368</t>
  </si>
  <si>
    <t>31 Oct 2025 06:25:05</t>
  </si>
  <si>
    <t>5,235.24</t>
  </si>
  <si>
    <t>251031100100182619566789</t>
  </si>
  <si>
    <t>31 Oct 2025 07:24:38</t>
  </si>
  <si>
    <t>4,835.24</t>
  </si>
  <si>
    <t>100004251031072442144234612566</t>
  </si>
  <si>
    <t>31 Oct 2025 08:29:58</t>
  </si>
  <si>
    <t>3,835.24</t>
  </si>
  <si>
    <t>251031010100185478754003</t>
  </si>
  <si>
    <t>31 Oct 2025 09:13:28</t>
  </si>
  <si>
    <t xml:space="preserve">Transfer from TAHIR ABU IMAM | Access Bank | 191****452 | MOBILE TRF TO PAY MUHAMMAD ABUBAKAR UMAR </t>
  </si>
  <si>
    <t>8,835.24</t>
  </si>
  <si>
    <t>000014251031101327228071449619</t>
  </si>
  <si>
    <t>31 Oct 2025 09:17:04</t>
  </si>
  <si>
    <t>8,235.24</t>
  </si>
  <si>
    <t>APT00003251031091711144242391947</t>
  </si>
  <si>
    <t>31 Oct 2025 12:27:35</t>
  </si>
  <si>
    <t xml:space="preserve">Transfer from USMAN SHUAIBU | OPay | 806****965 </t>
  </si>
  <si>
    <t>8,735.24</t>
  </si>
  <si>
    <t>251031170100191545286172</t>
  </si>
  <si>
    <t>31 Oct 2025 13:41:21</t>
  </si>
  <si>
    <t>7,685.24</t>
  </si>
  <si>
    <t>100004251031134126144261426843</t>
  </si>
  <si>
    <t>31 Oct 2025 13:53:47</t>
  </si>
  <si>
    <t>7,485.24</t>
  </si>
  <si>
    <t>APT00003251031135355144264830410</t>
  </si>
  <si>
    <t>01 Nov 2025 10:55:49</t>
  </si>
  <si>
    <t>01 Nov 2025</t>
  </si>
  <si>
    <t>6,485.24</t>
  </si>
  <si>
    <t>251101010100215703664713</t>
  </si>
  <si>
    <t>01 Nov 2025 11:05:10</t>
  </si>
  <si>
    <t>5,685.24</t>
  </si>
  <si>
    <t>251101010100215906636586</t>
  </si>
  <si>
    <t>01 Nov 2025 11:06:05</t>
  </si>
  <si>
    <t xml:space="preserve">Transfer to POS Transfer-GBEMACHA DANIEL | MONIE POINT | 5155326365 </t>
  </si>
  <si>
    <t>5,285.24</t>
  </si>
  <si>
    <t>APT00003251101110608144328570652</t>
  </si>
  <si>
    <t>01 Nov 2025 19:53:32</t>
  </si>
  <si>
    <t>4,885.24</t>
  </si>
  <si>
    <t>100004251101195337144375578111</t>
  </si>
  <si>
    <t>02 Nov 2025 08:45:58</t>
  </si>
  <si>
    <t>02 Nov 2025</t>
  </si>
  <si>
    <t xml:space="preserve">Transfer to AMIRA ZUBAIRU | OPay | 7072961145 </t>
  </si>
  <si>
    <t>3,885.24</t>
  </si>
  <si>
    <t>251102010100238847880928</t>
  </si>
  <si>
    <t>02 Nov 2025 12:17:42</t>
  </si>
  <si>
    <t>3,535.24</t>
  </si>
  <si>
    <t>251102010100243597302824</t>
  </si>
  <si>
    <t>02 Nov 2025 12:19:52</t>
  </si>
  <si>
    <t>3,135.24</t>
  </si>
  <si>
    <t>251102010100243500726481</t>
  </si>
  <si>
    <t>02 Nov 2025 12:25:43</t>
  </si>
  <si>
    <t>2,635.24</t>
  </si>
  <si>
    <t>251102010100243228532036</t>
  </si>
  <si>
    <t>02 Nov 2025 12:45:05</t>
  </si>
  <si>
    <t>2,435.24</t>
  </si>
  <si>
    <t>APT00003251102124509144409781111</t>
  </si>
  <si>
    <t>02 Nov 2025 14:32:49</t>
  </si>
  <si>
    <t xml:space="preserve">Transfer to HAMZA  ZANGINA | United Bank For Africa | 2326263682 </t>
  </si>
  <si>
    <t>2,235.24</t>
  </si>
  <si>
    <t>100004251102143253144417205986</t>
  </si>
  <si>
    <t>02 Nov 2025 19:26:00</t>
  </si>
  <si>
    <t>1,735.24</t>
  </si>
  <si>
    <t>251102010100253392600116</t>
  </si>
  <si>
    <t>03 Nov 2025 08:51:56</t>
  </si>
  <si>
    <t>03 Nov 2025</t>
  </si>
  <si>
    <t>1,535.24</t>
  </si>
  <si>
    <t>251103010100262170413767</t>
  </si>
  <si>
    <t>03 Nov 2025 09:45:24</t>
  </si>
  <si>
    <t>985.24</t>
  </si>
  <si>
    <t>100004251103094529144465581821</t>
  </si>
  <si>
    <t>03 Nov 2025 10:40:48</t>
  </si>
  <si>
    <t>7,985.24</t>
  </si>
  <si>
    <t>251103010100265402655434</t>
  </si>
  <si>
    <t>03 Nov 2025 12:09:02</t>
  </si>
  <si>
    <t>14,485.24</t>
  </si>
  <si>
    <t>251103010100267185494099</t>
  </si>
  <si>
    <t>03 Nov 2025 12:11:50</t>
  </si>
  <si>
    <t>10,485.24</t>
  </si>
  <si>
    <t>251103140300267385100794</t>
  </si>
  <si>
    <t>03 Nov 2025 12:12:16</t>
  </si>
  <si>
    <t>8,485.24</t>
  </si>
  <si>
    <t>251103010100267386255567</t>
  </si>
  <si>
    <t>03 Nov 2025 12:13:10</t>
  </si>
  <si>
    <t>251103100100267555505054</t>
  </si>
  <si>
    <t>04 Nov 2025 08:11:16</t>
  </si>
  <si>
    <t>04 Nov 2025</t>
  </si>
  <si>
    <t>9,985.24</t>
  </si>
  <si>
    <t>251104010100287183949206</t>
  </si>
  <si>
    <t>04 Nov 2025 08:38:30</t>
  </si>
  <si>
    <t>9,685.24</t>
  </si>
  <si>
    <t>251104010100288272180695</t>
  </si>
  <si>
    <t>04 Nov 2025 10:41:24</t>
  </si>
  <si>
    <t>100004251104104129144546955288</t>
  </si>
  <si>
    <t>04 Nov 2025 11:52:44</t>
  </si>
  <si>
    <t xml:space="preserve">Transfer to POS Transfer-Abubakar Suleiman | MONIE POINT | 5064716862 </t>
  </si>
  <si>
    <t>7,935.24</t>
  </si>
  <si>
    <t>APT00003251104115247144552346238</t>
  </si>
  <si>
    <t>04 Nov 2025 22:45:13</t>
  </si>
  <si>
    <t xml:space="preserve">Transfer to ADO ADAMU | MONIE POINT | 8163130400 </t>
  </si>
  <si>
    <t>7,085.24</t>
  </si>
  <si>
    <t>100004251104224516144601068021</t>
  </si>
  <si>
    <t>05 Nov 2025 09:09:55</t>
  </si>
  <si>
    <t>05 Nov 2025</t>
  </si>
  <si>
    <t>6,085.24</t>
  </si>
  <si>
    <t>251105010100315135952627</t>
  </si>
  <si>
    <t>05 Nov 2025 09:21:37</t>
  </si>
  <si>
    <t>100004251105092142144616814950</t>
  </si>
  <si>
    <t>05 Nov 2025 09:22:02</t>
  </si>
  <si>
    <t>5,035.24</t>
  </si>
  <si>
    <t>100004251105092207144616212933</t>
  </si>
  <si>
    <t>05 Nov 2025 16:26:22</t>
  </si>
  <si>
    <t>4,535.24</t>
  </si>
  <si>
    <t>251105010100325998995359</t>
  </si>
  <si>
    <t>06 Nov 2025 07:25:20</t>
  </si>
  <si>
    <t>06 Nov 2025</t>
  </si>
  <si>
    <t>3,985.24</t>
  </si>
  <si>
    <t>100004251106072526144682989642</t>
  </si>
  <si>
    <t>06 Nov 2025 17:44:51</t>
  </si>
  <si>
    <t xml:space="preserve">Transfer to Hc smart gadgets Apple links | MONIE POINT | 5822616782 </t>
  </si>
  <si>
    <t>3,185.24</t>
  </si>
  <si>
    <t>APT00003251106174456144732531242</t>
  </si>
  <si>
    <t>06 Nov 2025 18:58:44</t>
  </si>
  <si>
    <t>2,685.24</t>
  </si>
  <si>
    <t>251106010100356445121326</t>
  </si>
  <si>
    <t>06 Nov 2025 19:13:05</t>
  </si>
  <si>
    <t>2,085.24</t>
  </si>
  <si>
    <t>100004251106191309144740116588</t>
  </si>
  <si>
    <t>06 Nov 2025 19:13:42</t>
  </si>
  <si>
    <t>660.00</t>
  </si>
  <si>
    <t>1,425.24</t>
  </si>
  <si>
    <t>100004251106191346144739621875</t>
  </si>
  <si>
    <t>07 Nov 2025 15:48:59</t>
  </si>
  <si>
    <t>07 Nov 2025</t>
  </si>
  <si>
    <t>1,225.24</t>
  </si>
  <si>
    <t>251107010100377051706368</t>
  </si>
  <si>
    <t>08 Nov 2025 06:17:13</t>
  </si>
  <si>
    <t>08 Nov 2025</t>
  </si>
  <si>
    <t xml:space="preserve">Transfer from IBRAHIM ISHOLA AKEEM | PalmPay | 803****613 | IBRAHIM ISHOLA AKEEM:8036414613 </t>
  </si>
  <si>
    <t>3,225.24</t>
  </si>
  <si>
    <t>100033251108061712577491695170</t>
  </si>
  <si>
    <t>08 Nov 2025 08:08:38</t>
  </si>
  <si>
    <t>1,125.24</t>
  </si>
  <si>
    <t>100004251108080842144837170966</t>
  </si>
  <si>
    <t>08 Nov 2025 08:12:23</t>
  </si>
  <si>
    <t>575.24</t>
  </si>
  <si>
    <t>APT00003251108081230144837324392</t>
  </si>
  <si>
    <t>08 Nov 2025 08:39:13</t>
  </si>
  <si>
    <t>1,075.24</t>
  </si>
  <si>
    <t>100033251108083912206683989556</t>
  </si>
  <si>
    <t>08 Nov 2025 08:39:52</t>
  </si>
  <si>
    <t>375.24</t>
  </si>
  <si>
    <t>APT00003251108084011144839356966</t>
  </si>
  <si>
    <t>08 Nov 2025 08:40:28</t>
  </si>
  <si>
    <t>75.24</t>
  </si>
  <si>
    <t>251108010100392926828379</t>
  </si>
  <si>
    <t>08 Nov 2025 15:27:39</t>
  </si>
  <si>
    <t xml:space="preserve">Transfer from IFEDAPO OJO AGBEJA | OPay | 813****302 </t>
  </si>
  <si>
    <t>25,075.24</t>
  </si>
  <si>
    <t>251108010100403821363255</t>
  </si>
  <si>
    <t>08 Nov 2025 15:27:56</t>
  </si>
  <si>
    <t>25,025.24</t>
  </si>
  <si>
    <t>251108550100403583052117</t>
  </si>
  <si>
    <t>08 Nov 2025 15:34:33</t>
  </si>
  <si>
    <t>20,025.24</t>
  </si>
  <si>
    <t>251108140300403500986492</t>
  </si>
  <si>
    <t>08 Nov 2025 15:35:03</t>
  </si>
  <si>
    <t>19,025.24</t>
  </si>
  <si>
    <t>251108010100403604329310</t>
  </si>
  <si>
    <t>08 Nov 2025 15:35:22</t>
  </si>
  <si>
    <t>18,025.24</t>
  </si>
  <si>
    <t>251108010100403808585756</t>
  </si>
  <si>
    <t>08 Nov 2025 17:48:02</t>
  </si>
  <si>
    <t>16,025.24</t>
  </si>
  <si>
    <t>251108010100407930425813</t>
  </si>
  <si>
    <t>08 Nov 2025 17:48:55</t>
  </si>
  <si>
    <t>15,615.24</t>
  </si>
  <si>
    <t>APT00003251108174924144884219231</t>
  </si>
  <si>
    <t>09 Nov 2025 08:06:44</t>
  </si>
  <si>
    <t>09 Nov 2025</t>
  </si>
  <si>
    <t>15,415.24</t>
  </si>
  <si>
    <t>251109010100418605082738</t>
  </si>
  <si>
    <t>09 Nov 2025 09:18:48</t>
  </si>
  <si>
    <t>14,865.24</t>
  </si>
  <si>
    <t>100004251109091853144914832518</t>
  </si>
  <si>
    <t>09 Nov 2025 09:41:02</t>
  </si>
  <si>
    <t xml:space="preserve">Transfer to POS Transfer- SAKARIYAU WASIHU MOBOLAJI | MONIE POINT | 5835941998 </t>
  </si>
  <si>
    <t>12,265.24</t>
  </si>
  <si>
    <t>100004251109094109144915882323</t>
  </si>
  <si>
    <t>09 Nov 2025 09:41:33</t>
  </si>
  <si>
    <t>11,765.24</t>
  </si>
  <si>
    <t>100004251109094147144916142829</t>
  </si>
  <si>
    <t>09 Nov 2025 14:58:11</t>
  </si>
  <si>
    <t>10,955.24</t>
  </si>
  <si>
    <t>100004251109145816144936948284</t>
  </si>
  <si>
    <t>09 Nov 2025 17:54:23</t>
  </si>
  <si>
    <t>3,610.00</t>
  </si>
  <si>
    <t>7,345.24</t>
  </si>
  <si>
    <t>APT00003251109175428144948556424</t>
  </si>
  <si>
    <t>09 Nov 2025 18:17:49</t>
  </si>
  <si>
    <t>6,935.24</t>
  </si>
  <si>
    <t>100004251109181753144949419611</t>
  </si>
  <si>
    <t>10 Nov 2025 06:38:22</t>
  </si>
  <si>
    <t>10 Nov 2025</t>
  </si>
  <si>
    <t>6,535.24</t>
  </si>
  <si>
    <t>100004251110063827144969859428</t>
  </si>
  <si>
    <t>10 Nov 2025 07:31:24</t>
  </si>
  <si>
    <t>APT00003251110073129144972701213</t>
  </si>
  <si>
    <t>10 Nov 2025 13:14:27</t>
  </si>
  <si>
    <t xml:space="preserve">Transfer to JACOB UTENWOJO STEPHEN | OPay | 8064216968 </t>
  </si>
  <si>
    <t>251110010100450039851799</t>
  </si>
  <si>
    <t>10 Nov 2025 13:24:55</t>
  </si>
  <si>
    <t>16,735.24</t>
  </si>
  <si>
    <t>251110010100450832550667</t>
  </si>
  <si>
    <t>10 Nov 2025 13:25:01</t>
  </si>
  <si>
    <t>16,685.24</t>
  </si>
  <si>
    <t>251110550100450578737565</t>
  </si>
  <si>
    <t>10 Nov 2025 18:26:43</t>
  </si>
  <si>
    <t>15,485.24</t>
  </si>
  <si>
    <t>APT00003251110182648145023886047</t>
  </si>
  <si>
    <t>11 Nov 2025 06:57:04</t>
  </si>
  <si>
    <t>11 Nov 2025</t>
  </si>
  <si>
    <t>15,285.24</t>
  </si>
  <si>
    <t>251111010100467380830922</t>
  </si>
  <si>
    <t>11 Nov 2025 13:30:23</t>
  </si>
  <si>
    <t>13,785.24</t>
  </si>
  <si>
    <t>100004251111133027145074614155</t>
  </si>
  <si>
    <t>11 Nov 2025 13:30:59</t>
  </si>
  <si>
    <t>4,980.00</t>
  </si>
  <si>
    <t>8,805.24</t>
  </si>
  <si>
    <t>251111100100476898439407</t>
  </si>
  <si>
    <t>11 Nov 2025 17:58:42</t>
  </si>
  <si>
    <t>8,055.24</t>
  </si>
  <si>
    <t>251111010100484131191411</t>
  </si>
  <si>
    <t>11 Nov 2025 19:32:07</t>
  </si>
  <si>
    <t>7,755.24</t>
  </si>
  <si>
    <t>251111100100486869763423</t>
  </si>
  <si>
    <t>12 Nov 2025 08:46:37</t>
  </si>
  <si>
    <t>12 Nov 2025</t>
  </si>
  <si>
    <t>5,755.24</t>
  </si>
  <si>
    <t>251112010100495650729872</t>
  </si>
  <si>
    <t>13 Nov 2025 08:15:09</t>
  </si>
  <si>
    <t>13 Nov 2025</t>
  </si>
  <si>
    <t xml:space="preserve">Transfer to AHMAD AUWAL | MONIE POINT | 9037071223 </t>
  </si>
  <si>
    <t>5,155.24</t>
  </si>
  <si>
    <t>APT00003251113081513145196302666</t>
  </si>
  <si>
    <t>13 Nov 2025 08:19:47</t>
  </si>
  <si>
    <t>4,355.24</t>
  </si>
  <si>
    <t>APT00003251113081952145197366183</t>
  </si>
  <si>
    <t>13 Nov 2025 21:16:18</t>
  </si>
  <si>
    <t xml:space="preserve">Transfer from ABDULBASIT OPEYEMI MUHAMMED | OPay | 802****457 </t>
  </si>
  <si>
    <t>6,355.24</t>
  </si>
  <si>
    <t>251113010100540401295259</t>
  </si>
  <si>
    <t>14 Nov 2025 10:28:17</t>
  </si>
  <si>
    <t>14 Nov 2025</t>
  </si>
  <si>
    <t xml:space="preserve">Airtime | 9114261881 | AIR </t>
  </si>
  <si>
    <t>6,255.24</t>
  </si>
  <si>
    <t>251114100100549598904913</t>
  </si>
  <si>
    <t>14 Nov 2025 10:56:39</t>
  </si>
  <si>
    <t>5,805.24</t>
  </si>
  <si>
    <t>APT00003251114105645145283601212</t>
  </si>
  <si>
    <t>14 Nov 2025 16:35:29</t>
  </si>
  <si>
    <t xml:space="preserve">Transfer to MUSTAPHA NASURU MUHAMMAD | OPay | 8036269217 </t>
  </si>
  <si>
    <t>5,505.24</t>
  </si>
  <si>
    <t>251114010100558807456002</t>
  </si>
  <si>
    <t>14 Nov 2025 17:37:24</t>
  </si>
  <si>
    <t>6,305.24</t>
  </si>
  <si>
    <t>251114010100560437130314</t>
  </si>
  <si>
    <t>15 Nov 2025 07:01:07</t>
  </si>
  <si>
    <t>15 Nov 2025</t>
  </si>
  <si>
    <t>6,105.24</t>
  </si>
  <si>
    <t>251115100100570642018118</t>
  </si>
  <si>
    <t>15 Nov 2025 07:02:07</t>
  </si>
  <si>
    <t>4,905.24</t>
  </si>
  <si>
    <t>251115010100570396927677</t>
  </si>
  <si>
    <t>15 Nov 2025 15:38:51</t>
  </si>
  <si>
    <t>3,705.24</t>
  </si>
  <si>
    <t>251115010100583099317606</t>
  </si>
  <si>
    <t>15 Nov 2025 17:00:24</t>
  </si>
  <si>
    <t>3,405.24</t>
  </si>
  <si>
    <t>100004251115170029145386173335</t>
  </si>
  <si>
    <t>16 Nov 2025 08:12:28</t>
  </si>
  <si>
    <t>16 Nov 2025</t>
  </si>
  <si>
    <t>3,005.24</t>
  </si>
  <si>
    <t>APT00003251116081232145420047978</t>
  </si>
  <si>
    <t>16 Nov 2025 08:12:40</t>
  </si>
  <si>
    <t>3,205.24</t>
  </si>
  <si>
    <t>100033251116081240090465376924</t>
  </si>
  <si>
    <t>16 Nov 2025 08:27:14</t>
  </si>
  <si>
    <t>2,855.24</t>
  </si>
  <si>
    <t>251116010100598589101687</t>
  </si>
  <si>
    <t>16 Nov 2025 21:41:53</t>
  </si>
  <si>
    <t>2,555.24</t>
  </si>
  <si>
    <t>251116100100616602846712</t>
  </si>
  <si>
    <t>16 Nov 2025 23:00:06</t>
  </si>
  <si>
    <t xml:space="preserve">Transfer to ABBA ABDULLAHI | MONIE POINT | 7047496691 </t>
  </si>
  <si>
    <t>1,555.24</t>
  </si>
  <si>
    <t>APT00003251116230009145471673900</t>
  </si>
  <si>
    <t>17 Nov 2025 09:43:41</t>
  </si>
  <si>
    <t>17 Nov 2025</t>
  </si>
  <si>
    <t xml:space="preserve">Transfer from IBRAHIM ISHOLA AKEEM | OPay | 816****828 </t>
  </si>
  <si>
    <t>6,555.24</t>
  </si>
  <si>
    <t>251117010100623749156239</t>
  </si>
  <si>
    <t>17 Nov 2025 10:02:52</t>
  </si>
  <si>
    <t>5,255.24</t>
  </si>
  <si>
    <t>APT00003251117100258145491530999</t>
  </si>
  <si>
    <t>17 Nov 2025 10:31:39</t>
  </si>
  <si>
    <t>10,255.24</t>
  </si>
  <si>
    <t>251117010100624907750041</t>
  </si>
  <si>
    <t>17 Nov 2025 10:37:50</t>
  </si>
  <si>
    <t xml:space="preserve">Transfer to ABDULSAMAD ADEWALE MUSTAPHA | PalmPay | 8066951010 </t>
  </si>
  <si>
    <t>100004251117103753145494025909</t>
  </si>
  <si>
    <t>17 Nov 2025 16:45:45</t>
  </si>
  <si>
    <t xml:space="preserve">Transfer to ABDULSAMAD OZOVEHE NUHU | OPay | 7040634327 </t>
  </si>
  <si>
    <t>4,705.24</t>
  </si>
  <si>
    <t>251117010100634029459892</t>
  </si>
  <si>
    <t>17 Nov 2025 21:30:35</t>
  </si>
  <si>
    <t xml:space="preserve">Transfer to AMINAT ABDULLAHI MUHAMMED | OPay | 9162248902 </t>
  </si>
  <si>
    <t>4,305.24</t>
  </si>
  <si>
    <t>251117010100642205664085</t>
  </si>
  <si>
    <t>18 Nov 2025 06:54:24</t>
  </si>
  <si>
    <t>18 Nov 2025</t>
  </si>
  <si>
    <t>4,105.24</t>
  </si>
  <si>
    <t>251118010100645382904426</t>
  </si>
  <si>
    <t>18 Nov 2025 10:10:02</t>
  </si>
  <si>
    <t xml:space="preserve">Transfer to POS Transfer-SALAMATU MAMUDA ISAH | MONIE POINT | 5060856669 </t>
  </si>
  <si>
    <t>2,505.24</t>
  </si>
  <si>
    <t>APT00003251118101005145565660829</t>
  </si>
  <si>
    <t>18 Nov 2025 10:15:01</t>
  </si>
  <si>
    <t>2,105.24</t>
  </si>
  <si>
    <t>APT00003251118101505145568268554</t>
  </si>
  <si>
    <t>18 Nov 2025 14:44:54</t>
  </si>
  <si>
    <t>5,105.24</t>
  </si>
  <si>
    <t>100033251118144454090469264146</t>
  </si>
  <si>
    <t>18 Nov 2025 14:45:55</t>
  </si>
  <si>
    <t>3,105.24</t>
  </si>
  <si>
    <t>251118010100656705951735</t>
  </si>
  <si>
    <t>18 Nov 2025 19:38:10</t>
  </si>
  <si>
    <t>2,605.24</t>
  </si>
  <si>
    <t>100004251118193814145613559500</t>
  </si>
  <si>
    <t>19 Nov 2025 08:42:15</t>
  </si>
  <si>
    <t>19 Nov 2025</t>
  </si>
  <si>
    <t>2,496.00</t>
  </si>
  <si>
    <t>109.24</t>
  </si>
  <si>
    <t>251119140300673884348308</t>
  </si>
  <si>
    <t>19 Nov 2025 08:43:12</t>
  </si>
  <si>
    <t>3,109.24</t>
  </si>
  <si>
    <t>251119010200674160637521</t>
  </si>
  <si>
    <t>19 Nov 2025 09:56:21</t>
  </si>
  <si>
    <t>2,709.24</t>
  </si>
  <si>
    <t>100004251119095626145640977312</t>
  </si>
  <si>
    <t>19 Nov 2025 11:23:31</t>
  </si>
  <si>
    <t>2,109.24</t>
  </si>
  <si>
    <t>251119010100677883351713</t>
  </si>
  <si>
    <t>19 Nov 2025 14:50:34</t>
  </si>
  <si>
    <t>251119010100682927643655</t>
  </si>
  <si>
    <t>19 Nov 2025 14:50:38</t>
  </si>
  <si>
    <t>890.76</t>
  </si>
  <si>
    <t>251119010200682977832617</t>
  </si>
  <si>
    <t>19 Nov 2025 16:09:56</t>
  </si>
  <si>
    <t>251119010100684838618788</t>
  </si>
  <si>
    <t>19 Nov 2025 16:10:00</t>
  </si>
  <si>
    <t>251119010200684737789086</t>
  </si>
  <si>
    <t>19 Nov 2025 16:21:58</t>
  </si>
  <si>
    <t xml:space="preserve">Transfer to FAUSIYAT ABIDEMI OLADEJO | OPay | 8148511639 </t>
  </si>
  <si>
    <t>251119010100685088047030</t>
  </si>
  <si>
    <t>19 Nov 2025 16:22:03</t>
  </si>
  <si>
    <t>251119010200685088321412</t>
  </si>
  <si>
    <t>19 Nov 2025 16:23:02</t>
  </si>
  <si>
    <t>251119010100685286973070</t>
  </si>
  <si>
    <t>19 Nov 2025 16:23:07</t>
  </si>
  <si>
    <t>251119010200685091465217</t>
  </si>
  <si>
    <t>19 Nov 2025 16:45:36</t>
  </si>
  <si>
    <t>100004251119164541145671230620</t>
  </si>
  <si>
    <t>19 Nov 2025 16:45:40</t>
  </si>
  <si>
    <t>251119010200685812592393</t>
  </si>
  <si>
    <t>19 Nov 2025 16:46:15</t>
  </si>
  <si>
    <t>100004251119164621145671704128</t>
  </si>
  <si>
    <t>19 Nov 2025 16:46:20</t>
  </si>
  <si>
    <t>251119010200685766377435</t>
  </si>
  <si>
    <t>20 Nov 2025 13:05:53</t>
  </si>
  <si>
    <t>20 Nov 2025</t>
  </si>
  <si>
    <t>251120010100706337809218</t>
  </si>
  <si>
    <t>20 Nov 2025 14:36:37</t>
  </si>
  <si>
    <t>100004251120143641145735783879</t>
  </si>
  <si>
    <t>20 Nov 2025 15:18:34</t>
  </si>
  <si>
    <t xml:space="preserve">Transfer to AISHA ABDULRAHMAN | OPay | 8108956704 </t>
  </si>
  <si>
    <t>251120010100709371563071</t>
  </si>
  <si>
    <t>20 Nov 2025 15:18:38</t>
  </si>
  <si>
    <t>251120010200709174368953</t>
  </si>
  <si>
    <t>20 Nov 2025 18:45:49</t>
  </si>
  <si>
    <t>251120010100715365135562</t>
  </si>
  <si>
    <t>20 Nov 2025 18:46:26</t>
  </si>
  <si>
    <t>251120010100715219336498</t>
  </si>
  <si>
    <t>20 Nov 2025 18:53:32</t>
  </si>
  <si>
    <t>251120010100715605370819</t>
  </si>
  <si>
    <t>20 Nov 2025 19:45:28</t>
  </si>
  <si>
    <t>251120010100717265554867</t>
  </si>
  <si>
    <t>21 Nov 2025 12:55:56</t>
  </si>
  <si>
    <t>21 Nov 2025</t>
  </si>
  <si>
    <t xml:space="preserve">Transfer to AMOMO FEED-WELL RESTAURANT | MONIE POINT | 5133404386 </t>
  </si>
  <si>
    <t>100004251121125601145802078010</t>
  </si>
  <si>
    <t>21 Nov 2025 12:56:00</t>
  </si>
  <si>
    <t>251121010200732240973045</t>
  </si>
  <si>
    <t>21 Nov 2025 12:59:23</t>
  </si>
  <si>
    <t xml:space="preserve">Transfer from ROSEMARY AGANYA ERUBI | OPay | 706****164 </t>
  </si>
  <si>
    <t>251121010100732402802466</t>
  </si>
  <si>
    <t>21 Nov 2025 17:12:53</t>
  </si>
  <si>
    <t>251121010100738775368471</t>
  </si>
  <si>
    <t>22 Nov 2025 07:38:07</t>
  </si>
  <si>
    <t>22 Nov 2025</t>
  </si>
  <si>
    <t>251122010100750900126857</t>
  </si>
  <si>
    <t>22 Nov 2025 07:38:23</t>
  </si>
  <si>
    <t>1,980.00</t>
  </si>
  <si>
    <t>20.00</t>
  </si>
  <si>
    <t>251122100100750544713254</t>
  </si>
  <si>
    <t>22 Nov 2025 07:39:35</t>
  </si>
  <si>
    <t>2,410.15</t>
  </si>
  <si>
    <t>2,430.15</t>
  </si>
  <si>
    <t>251122010200750497348179</t>
  </si>
  <si>
    <t>22 Nov 2025 09:34:18</t>
  </si>
  <si>
    <t>1,630.15</t>
  </si>
  <si>
    <t>APT00003251122093425145861534008</t>
  </si>
  <si>
    <t>22 Nov 2025 18:16:30</t>
  </si>
  <si>
    <t>2,630.15</t>
  </si>
  <si>
    <t>251122010100767595223436</t>
  </si>
  <si>
    <t>22 Nov 2025 18:36:32</t>
  </si>
  <si>
    <t xml:space="preserve">Transfer to ALIYU SUNUSI KANWA | MONIE POINT | 6930976322 </t>
  </si>
  <si>
    <t>2,080.15</t>
  </si>
  <si>
    <t>APT00003251122183635145904695596</t>
  </si>
  <si>
    <t>22 Nov 2025 20:24:07</t>
  </si>
  <si>
    <t>1,930.15</t>
  </si>
  <si>
    <t>251122010100772021477222</t>
  </si>
  <si>
    <t>23 Nov 2025 08:31:55</t>
  </si>
  <si>
    <t>23 Nov 2025</t>
  </si>
  <si>
    <t xml:space="preserve">Airtime | 8087176519 | AIR </t>
  </si>
  <si>
    <t>1,430.15</t>
  </si>
  <si>
    <t>251123100100778233521830</t>
  </si>
  <si>
    <t>23 Nov 2025 10:39:28</t>
  </si>
  <si>
    <t>3,430.15</t>
  </si>
  <si>
    <t>251123010100780992921923</t>
  </si>
  <si>
    <t>23 Nov 2025 10:52:28</t>
  </si>
  <si>
    <t>3,130.15</t>
  </si>
  <si>
    <t>251123010100780974192453</t>
  </si>
  <si>
    <t>23 Nov 2025 15:12:53</t>
  </si>
  <si>
    <t>980.00</t>
  </si>
  <si>
    <t>2,150.15</t>
  </si>
  <si>
    <t>251123100100787248836474</t>
  </si>
  <si>
    <t>24 Nov 2025 08:49:00</t>
  </si>
  <si>
    <t>24 Nov 2025</t>
  </si>
  <si>
    <t xml:space="preserve">Transfer from MUSTAPHA IBRAHIM | OPay | 812****406 </t>
  </si>
  <si>
    <t>4,150.15</t>
  </si>
  <si>
    <t>251124010100802931805010</t>
  </si>
  <si>
    <t>24 Nov 2025 09:20:31</t>
  </si>
  <si>
    <t>2,050.00</t>
  </si>
  <si>
    <t>2,100.15</t>
  </si>
  <si>
    <t>APT00003251124092036145997190323</t>
  </si>
  <si>
    <t>24 Nov 2025 09:29:21</t>
  </si>
  <si>
    <t>1,300.15</t>
  </si>
  <si>
    <t>100004251124092926145998539218</t>
  </si>
  <si>
    <t>24 Nov 2025 09:48:59</t>
  </si>
  <si>
    <t xml:space="preserve">Transfer from SAAD ABDULMUMIN MUSA | OPay | 816****425 </t>
  </si>
  <si>
    <t>6,300.15</t>
  </si>
  <si>
    <t>251124010100804126497519</t>
  </si>
  <si>
    <t>24 Nov 2025 12:58:30</t>
  </si>
  <si>
    <t>16,300.15</t>
  </si>
  <si>
    <t>251124010100809093085103</t>
  </si>
  <si>
    <t>24 Nov 2025 12:58:35</t>
  </si>
  <si>
    <t>16,250.15</t>
  </si>
  <si>
    <t>251124550100808737686178</t>
  </si>
  <si>
    <t>24 Nov 2025 13:05:59</t>
  </si>
  <si>
    <t xml:space="preserve">Transfer from LUBABATU UMAR | MONIE POINT | 544****472 | AT139_TRF|2MPT6kxmz|1992942773949820928-AT139_TRF|2MPT6kxmz|1992942773949820928-LUBABATU UMA Trf for </t>
  </si>
  <si>
    <t>26,250.15</t>
  </si>
  <si>
    <t>APT00002251124140559212139280736</t>
  </si>
  <si>
    <t>24 Nov 2025 13:06:01</t>
  </si>
  <si>
    <t>26,200.15</t>
  </si>
  <si>
    <t>251124550100809522750244</t>
  </si>
  <si>
    <t>24 Nov 2025 13:09:57</t>
  </si>
  <si>
    <t xml:space="preserve">Transfer from OLUBUADE ZAINAB TEMITOPE | First Bank Of Nigeria | 310****646 | FIP:MB:/OLUBUADE ZAINAB TE/MUHAMMAD ABUBAKAR UMAR/NONE/MUHAMMAD ABUBAKAR  </t>
  </si>
  <si>
    <t>31,200.15</t>
  </si>
  <si>
    <t>000016251124140953001029182909</t>
  </si>
  <si>
    <t>25 Nov 2025 16:12:26</t>
  </si>
  <si>
    <t>25 Nov 2025</t>
  </si>
  <si>
    <t xml:space="preserve">Transfer to kamal comms multi business ventures - KAMAL COMMUNICATION 1 | MONIE POINT | 8213996838 </t>
  </si>
  <si>
    <t>29,200.15</t>
  </si>
  <si>
    <t>100004251125161229146105898816</t>
  </si>
  <si>
    <t>25 Nov 2025 16:53:50</t>
  </si>
  <si>
    <t xml:space="preserve">Transfer to MUSTAPHA HASSAN IBRAHIM | OPay | 8143937983 </t>
  </si>
  <si>
    <t>27,700.15</t>
  </si>
  <si>
    <t>251125010100841420111901</t>
  </si>
  <si>
    <t>25 Nov 2025 16:58:12</t>
  </si>
  <si>
    <t xml:space="preserve">Transfer to KAMILU SALISU | OPay | 7069054200 </t>
  </si>
  <si>
    <t>26,700.15</t>
  </si>
  <si>
    <t>251125010100841688667621</t>
  </si>
  <si>
    <t>25 Nov 2025 17:04:31</t>
  </si>
  <si>
    <t xml:space="preserve">Transfer to UMAR ABDULKADIR IDRIS | OPay | 7030992328 </t>
  </si>
  <si>
    <t>24,600.15</t>
  </si>
  <si>
    <t>251125010100841816053837</t>
  </si>
  <si>
    <t>25 Nov 2025 17:53:53</t>
  </si>
  <si>
    <t>23,800.15</t>
  </si>
  <si>
    <t>100004251125175423146114789875</t>
  </si>
  <si>
    <t>25 Nov 2025 17:55:05</t>
  </si>
  <si>
    <t>11,800.15</t>
  </si>
  <si>
    <t>251125010100843633611763</t>
  </si>
  <si>
    <t>25 Nov 2025 18:14:44</t>
  </si>
  <si>
    <t>10,600.15</t>
  </si>
  <si>
    <t>251125010100844333671497</t>
  </si>
  <si>
    <t>25 Nov 2025 18:16:34</t>
  </si>
  <si>
    <t>9,800.15</t>
  </si>
  <si>
    <t>100004251125181642146116022750</t>
  </si>
  <si>
    <t>25 Nov 2025 18:40:14</t>
  </si>
  <si>
    <t>9,300.15</t>
  </si>
  <si>
    <t>251125010100845354514611</t>
  </si>
  <si>
    <t>25 Nov 2025 18:59:03</t>
  </si>
  <si>
    <t>9,040.15</t>
  </si>
  <si>
    <t>100004251125185913146122079692</t>
  </si>
  <si>
    <t>26 Nov 2025 07:11:15</t>
  </si>
  <si>
    <t>26 Nov 2025</t>
  </si>
  <si>
    <t>5,001.71</t>
  </si>
  <si>
    <t>14,041.86</t>
  </si>
  <si>
    <t>251126010201854232706875</t>
  </si>
  <si>
    <t>26 Nov 2025 07:11:53</t>
  </si>
  <si>
    <t>11,041.86</t>
  </si>
  <si>
    <t>251126010100854183724025</t>
  </si>
  <si>
    <t>26 Nov 2025 07:13:59</t>
  </si>
  <si>
    <t>10,541.86</t>
  </si>
  <si>
    <t>251126100100854138464219</t>
  </si>
  <si>
    <t>26 Nov 2025 07:26:33</t>
  </si>
  <si>
    <t>8,841.86</t>
  </si>
  <si>
    <t>251126010100854275215086</t>
  </si>
  <si>
    <t>26 Nov 2025 08:03:24</t>
  </si>
  <si>
    <t>7,841.86</t>
  </si>
  <si>
    <t>APT00003251126080333146143530186</t>
  </si>
  <si>
    <t>26 Nov 2025 09:19:01</t>
  </si>
  <si>
    <t>8,341.86</t>
  </si>
  <si>
    <t>100033251126091901090481580786</t>
  </si>
  <si>
    <t>26 Nov 2025 11:14:32</t>
  </si>
  <si>
    <t>7,891.86</t>
  </si>
  <si>
    <t>251126010100860254301529</t>
  </si>
  <si>
    <t>26 Nov 2025 12:33:04</t>
  </si>
  <si>
    <t>7,391.86</t>
  </si>
  <si>
    <t>251126100100862210076209</t>
  </si>
  <si>
    <t>26 Nov 2025 13:12:01</t>
  </si>
  <si>
    <t>6,891.86</t>
  </si>
  <si>
    <t>251126100100863134374795</t>
  </si>
  <si>
    <t>26 Nov 2025 16:45:23</t>
  </si>
  <si>
    <t>6,591.86</t>
  </si>
  <si>
    <t>100004251126164528146186069801</t>
  </si>
  <si>
    <t>26 Nov 2025 16:45:41</t>
  </si>
  <si>
    <t>6,341.86</t>
  </si>
  <si>
    <t>251126010100868672900881</t>
  </si>
  <si>
    <t>27 Nov 2025 08:59:52</t>
  </si>
  <si>
    <t>27 Nov 2025</t>
  </si>
  <si>
    <t xml:space="preserve">Transfer to POS Transfer-SHAFIU MUHAMMAD | MONIE POINT | 5692317415 </t>
  </si>
  <si>
    <t>3,341.86</t>
  </si>
  <si>
    <t>APT00003251127085955146226484980</t>
  </si>
  <si>
    <t>27 Nov 2025 18:10:20</t>
  </si>
  <si>
    <t xml:space="preserve">Transfer from YAHYA BABALALO ABUBAKAR | OPay | 903****309 </t>
  </si>
  <si>
    <t>65,341.86</t>
  </si>
  <si>
    <t>251127010100898835084071</t>
  </si>
  <si>
    <t>27 Nov 2025 18:11:52</t>
  </si>
  <si>
    <t>65,291.86</t>
  </si>
  <si>
    <t>251127550100899403629388</t>
  </si>
  <si>
    <t>27 Nov 2025 19:05:37</t>
  </si>
  <si>
    <t>12,478.00</t>
  </si>
  <si>
    <t>52,813.86</t>
  </si>
  <si>
    <t>251127140300900984777098</t>
  </si>
  <si>
    <t>27 Nov 2025 19:05:54</t>
  </si>
  <si>
    <t>50,317.86</t>
  </si>
  <si>
    <t>251127140300900782309891</t>
  </si>
  <si>
    <t>27 Nov 2025 19:06:30</t>
  </si>
  <si>
    <t>45,317.86</t>
  </si>
  <si>
    <t>251127010100900784666311</t>
  </si>
  <si>
    <t>27 Nov 2025 20:06:57</t>
  </si>
  <si>
    <t>22,000.00</t>
  </si>
  <si>
    <t>23,317.86</t>
  </si>
  <si>
    <t>251127010100903149854147</t>
  </si>
  <si>
    <t>27 Nov 2025 21:13:31</t>
  </si>
  <si>
    <t>22,817.86</t>
  </si>
  <si>
    <t>APT00003251127211341146287505754</t>
  </si>
  <si>
    <t>27 Nov 2025 21:14:14</t>
  </si>
  <si>
    <t xml:space="preserve">Transfer to ACHADU CHRISTIANA ONYOWO | FCMB(First City Monument Bank PLC) | 1040640518 </t>
  </si>
  <si>
    <t>17,817.86</t>
  </si>
  <si>
    <t>100004251127211418146287781952</t>
  </si>
  <si>
    <t>27 Nov 2025 21:38:13</t>
  </si>
  <si>
    <t>6,817.86</t>
  </si>
  <si>
    <t>251127100100904829783684</t>
  </si>
  <si>
    <t>28 Nov 2025 12:59:19</t>
  </si>
  <si>
    <t>28 Nov 2025</t>
  </si>
  <si>
    <t xml:space="preserve">Transfer to NEWORLD CYBER CAFE AND GENERAL MECHANTS - NEW WORLD GENERAL ENTERPRISES | MONIE POINT | 8223637594 </t>
  </si>
  <si>
    <t>5,817.86</t>
  </si>
  <si>
    <t>100004251128125927146326082094</t>
  </si>
  <si>
    <t>28 Nov 2025 13:01:22</t>
  </si>
  <si>
    <t xml:space="preserve">Transfer from ABDULRASHEED TAIYE MOHAMMED | OPay | 808****156 </t>
  </si>
  <si>
    <t>7,317.86</t>
  </si>
  <si>
    <t>251128010100918126890356</t>
  </si>
  <si>
    <t>28 Nov 2025 13:01:34</t>
  </si>
  <si>
    <t>5,317.86</t>
  </si>
  <si>
    <t>APT00003251128130139146324574052</t>
  </si>
  <si>
    <t>28 Nov 2025 13:07:45</t>
  </si>
  <si>
    <t>7,267.86</t>
  </si>
  <si>
    <t>251128010100917942333771</t>
  </si>
  <si>
    <t>28 Nov 2025 13:12:33</t>
  </si>
  <si>
    <t>6,767.86</t>
  </si>
  <si>
    <t>APT00003251128131236146326195027</t>
  </si>
  <si>
    <t>28 Nov 2025 13:42:01</t>
  </si>
  <si>
    <t xml:space="preserve">Transfer to POS Transfer - MUSA KHAMIS | MONIE POINT | 8223017183 </t>
  </si>
  <si>
    <t>6,567.86</t>
  </si>
  <si>
    <t>APT00003251128134204146327876214</t>
  </si>
  <si>
    <t>28 Nov 2025 17:26:24</t>
  </si>
  <si>
    <t>6,467.86</t>
  </si>
  <si>
    <t>251128010100925492529429</t>
  </si>
  <si>
    <t>28 Nov 2025 21:03:05</t>
  </si>
  <si>
    <t>5,967.86</t>
  </si>
  <si>
    <t>251128010100931811822605</t>
  </si>
  <si>
    <t>29 Nov 2025 06:28:40</t>
  </si>
  <si>
    <t>29 Nov 2025</t>
  </si>
  <si>
    <t xml:space="preserve">Transfer to BASHIR SALISU | MONIE POINT | 8038789978 </t>
  </si>
  <si>
    <t>5,667.86</t>
  </si>
  <si>
    <t>APT00003251129062843146375168307</t>
  </si>
  <si>
    <t>29 Nov 2025 08:14:31</t>
  </si>
  <si>
    <t>5,407.86</t>
  </si>
  <si>
    <t>APT00003251129081436146382029319</t>
  </si>
  <si>
    <t>29 Nov 2025 08:23:27</t>
  </si>
  <si>
    <t>5,107.86</t>
  </si>
  <si>
    <t>100004251129082334146381596781</t>
  </si>
  <si>
    <t>29 Nov 2025 08:29:24</t>
  </si>
  <si>
    <t>4,497.86</t>
  </si>
  <si>
    <t>100004251129082928146382417250</t>
  </si>
  <si>
    <t>29 Nov 2025 09:28:56</t>
  </si>
  <si>
    <t>3,497.86</t>
  </si>
  <si>
    <t>251129010100940057051485</t>
  </si>
  <si>
    <t>29 Nov 2025 10:20:55</t>
  </si>
  <si>
    <t>2,987.86</t>
  </si>
  <si>
    <t>100004251129102105146392265340</t>
  </si>
  <si>
    <t>30 Nov 2025 09:14:08</t>
  </si>
  <si>
    <t>30 Nov 2025</t>
  </si>
  <si>
    <t>1,787.86</t>
  </si>
  <si>
    <t>251130100100967168998834</t>
  </si>
  <si>
    <t>30 Nov 2025 09:21:27</t>
  </si>
  <si>
    <t>1,287.86</t>
  </si>
  <si>
    <t>100004251130092133146466076833</t>
  </si>
  <si>
    <t>30 Nov 2025 14:02:34</t>
  </si>
  <si>
    <t xml:space="preserve">Transfer to POS Transfer - SHAMSU HARUNA | MONIE POINT | 8239295465 </t>
  </si>
  <si>
    <t>287.86</t>
  </si>
  <si>
    <t>100004251130140238146484998349</t>
  </si>
  <si>
    <t>30 Nov 2025 14:16:44</t>
  </si>
  <si>
    <t>37.86</t>
  </si>
  <si>
    <t>100004251130141648146485975346</t>
  </si>
  <si>
    <t>01 Dec 2025 13:34:18</t>
  </si>
  <si>
    <t>01 Dec 2025</t>
  </si>
  <si>
    <t>4,037.86</t>
  </si>
  <si>
    <t>251201010100000774975351</t>
  </si>
  <si>
    <t>01 Dec 2025 13:36:23</t>
  </si>
  <si>
    <t xml:space="preserve">Transfer to POS Transfer-YAHUZA IDRIS SULEIMAN | MONIE POINT | 5881595879 </t>
  </si>
  <si>
    <t>1,937.86</t>
  </si>
  <si>
    <t>APT00003251201133629146558553721</t>
  </si>
  <si>
    <t>01 Dec 2025 17:54:06</t>
  </si>
  <si>
    <t>21,937.86</t>
  </si>
  <si>
    <t>251201010100008228284309</t>
  </si>
  <si>
    <t>01 Dec 2025 17:54:11</t>
  </si>
  <si>
    <t>21,887.86</t>
  </si>
  <si>
    <t>251201550100007926905730</t>
  </si>
  <si>
    <t>01 Dec 2025 17:55:02</t>
  </si>
  <si>
    <t>16,887.86</t>
  </si>
  <si>
    <t>251201010100008079551698</t>
  </si>
  <si>
    <t>01 Dec 2025 17:55:25</t>
  </si>
  <si>
    <t>1,887.86</t>
  </si>
  <si>
    <t>251201010100008030062304</t>
  </si>
  <si>
    <t>01 Dec 2025 18:21:40</t>
  </si>
  <si>
    <t>1,687.86</t>
  </si>
  <si>
    <t>251201100100009006619659</t>
  </si>
  <si>
    <t>02 Dec 2025 08:08:48</t>
  </si>
  <si>
    <t>02 Dec 2025</t>
  </si>
  <si>
    <t>1,437.86</t>
  </si>
  <si>
    <t>APT00003251202080852146615870196</t>
  </si>
  <si>
    <t>02 Dec 2025 10:39:58</t>
  </si>
  <si>
    <t>637.86</t>
  </si>
  <si>
    <t>APT00003251202104011146627583164</t>
  </si>
  <si>
    <t>02 Dec 2025 12:21:02</t>
  </si>
  <si>
    <t>2,637.86</t>
  </si>
  <si>
    <t>251202010100027304431318</t>
  </si>
  <si>
    <t>02 Dec 2025 12:26:06</t>
  </si>
  <si>
    <t>1,750.00</t>
  </si>
  <si>
    <t>887.86</t>
  </si>
  <si>
    <t>100004251202122610146636276823</t>
  </si>
  <si>
    <t>02 Dec 2025 21:17:47</t>
  </si>
  <si>
    <t>377.86</t>
  </si>
  <si>
    <t>APT00003251202211753146684352833</t>
  </si>
  <si>
    <t>03 Dec 2025 08:34:46</t>
  </si>
  <si>
    <t>03 Dec 2025</t>
  </si>
  <si>
    <t xml:space="preserve">Transfer to SHAMSUDDEEN ALIYU HARUNA | OPay | 9127993308 </t>
  </si>
  <si>
    <t>177.86</t>
  </si>
  <si>
    <t>251203010100050477939365</t>
  </si>
  <si>
    <t>04 Dec 2025 16:58:43</t>
  </si>
  <si>
    <t>04 Dec 2025</t>
  </si>
  <si>
    <t>5,177.86</t>
  </si>
  <si>
    <t>251204010100094106291389</t>
  </si>
  <si>
    <t>04 Dec 2025 18:33:48</t>
  </si>
  <si>
    <t>3,177.86</t>
  </si>
  <si>
    <t>251204010100097034269105</t>
  </si>
  <si>
    <t>04 Dec 2025 18:34:32</t>
  </si>
  <si>
    <t>2,177.86</t>
  </si>
  <si>
    <t>251204010100097281850888</t>
  </si>
  <si>
    <t>05 Dec 2025 12:04:10</t>
  </si>
  <si>
    <t>05 Dec 2025</t>
  </si>
  <si>
    <t>3,027.86</t>
  </si>
  <si>
    <t>251205010100114471604049</t>
  </si>
  <si>
    <t>05 Dec 2025 13:29:03</t>
  </si>
  <si>
    <t>2,027.86</t>
  </si>
  <si>
    <t>251205010100116563307214</t>
  </si>
  <si>
    <t>05 Dec 2025 14:14:05</t>
  </si>
  <si>
    <t>1,827.86</t>
  </si>
  <si>
    <t>251205010100118029827420</t>
  </si>
  <si>
    <t>06 Dec 2025 10:19:19</t>
  </si>
  <si>
    <t>06 Dec 2025</t>
  </si>
  <si>
    <t xml:space="preserve">Transfer to GRACE OKON SIMON | OPay | 8032204951 </t>
  </si>
  <si>
    <t>1,327.86</t>
  </si>
  <si>
    <t>251206010100140446181991</t>
  </si>
  <si>
    <t>06 Dec 2025 10:23:52</t>
  </si>
  <si>
    <t>527.86</t>
  </si>
  <si>
    <t>100004251206102405146954360328</t>
  </si>
  <si>
    <t>07 Dec 2025 16:30:04</t>
  </si>
  <si>
    <t>07 Dec 2025</t>
  </si>
  <si>
    <t>10,527.86</t>
  </si>
  <si>
    <t>251207010100176815976610</t>
  </si>
  <si>
    <t>07 Dec 2025 16:30:11</t>
  </si>
  <si>
    <t>10,477.86</t>
  </si>
  <si>
    <t>251207550100177068887827</t>
  </si>
  <si>
    <t>07 Dec 2025 17:42:15</t>
  </si>
  <si>
    <t xml:space="preserve">Transfer from ABDULAKEEM OLAYINKA ABDULAZEEZ | PalmPay | 916****195 | ABDULAKEEM OLAYINKA ABDULAZEEZ:9161344195 </t>
  </si>
  <si>
    <t>15,477.86</t>
  </si>
  <si>
    <t>100033251207174214969874995665</t>
  </si>
  <si>
    <t>07 Dec 2025 18:00:50</t>
  </si>
  <si>
    <t xml:space="preserve">Transfer from SAHEED SALMAN | Sterling Bank | 007****791 | Transfer from SAHEED SALMAN to MUHAMMAD ABUBAKAR UMAR </t>
  </si>
  <si>
    <t>35,477.86</t>
  </si>
  <si>
    <t>000001251207190045025446602520</t>
  </si>
  <si>
    <t>07 Dec 2025 18:00:52</t>
  </si>
  <si>
    <t>35,427.86</t>
  </si>
  <si>
    <t>251207550100179445299298</t>
  </si>
  <si>
    <t>08 Dec 2025 01:00:07</t>
  </si>
  <si>
    <t>08 Dec 2025</t>
  </si>
  <si>
    <t>34,427.86</t>
  </si>
  <si>
    <t>251208100100186408502303</t>
  </si>
  <si>
    <t>08 Dec 2025 06:45:13</t>
  </si>
  <si>
    <t>37,427.86</t>
  </si>
  <si>
    <t>251208010100188244834286</t>
  </si>
  <si>
    <t>08 Dec 2025 07:14:23</t>
  </si>
  <si>
    <t>37,227.86</t>
  </si>
  <si>
    <t>100004251208071431147086812147</t>
  </si>
  <si>
    <t>08 Dec 2025 11:25:18</t>
  </si>
  <si>
    <t xml:space="preserve">Transfer to UTHMAN OLAMILEKAN MUNIRUDEEN | PalmPay | 9550322769 </t>
  </si>
  <si>
    <t>34,127.86</t>
  </si>
  <si>
    <t>100004251208112524147106372115</t>
  </si>
  <si>
    <t>08 Dec 2025 12:35:59</t>
  </si>
  <si>
    <t>14,127.86</t>
  </si>
  <si>
    <t>100004251208123605147110330675</t>
  </si>
  <si>
    <t>08 Dec 2025 13:03:56</t>
  </si>
  <si>
    <t>12,627.86</t>
  </si>
  <si>
    <t>251208010100198090028923</t>
  </si>
  <si>
    <t>08 Dec 2025 13:20:49</t>
  </si>
  <si>
    <t xml:space="preserve">Transfer to JAFAR HASSAN ADAM | OPay | 8083617501 </t>
  </si>
  <si>
    <t>12,027.86</t>
  </si>
  <si>
    <t>251208010100198636333503</t>
  </si>
  <si>
    <t>08 Dec 2025 15:01:41</t>
  </si>
  <si>
    <t>9,527.86</t>
  </si>
  <si>
    <t>251208010100201149623446</t>
  </si>
  <si>
    <t>08 Dec 2025 18:00:15</t>
  </si>
  <si>
    <t>4,210.00</t>
  </si>
  <si>
    <t>100004251208180020147139303421</t>
  </si>
  <si>
    <t>09 Dec 2025 09:36:35</t>
  </si>
  <si>
    <t>09 Dec 2025</t>
  </si>
  <si>
    <t>3,017.86</t>
  </si>
  <si>
    <t>251209010100220401676920</t>
  </si>
  <si>
    <t>09 Dec 2025 12:15:03</t>
  </si>
  <si>
    <t xml:space="preserve">Transfer from AGBEJA  IFEDAPO OJO | Guaranty Trust Bank | 021****964 | NIP Transfer to MUHAMMAD ABUBAKAR UMAR. 000013251209131503000602894311 </t>
  </si>
  <si>
    <t>50,017.86</t>
  </si>
  <si>
    <t>000013251209131503000602894311</t>
  </si>
  <si>
    <t>09 Dec 2025 12:15:05</t>
  </si>
  <si>
    <t>49,967.86</t>
  </si>
  <si>
    <t>251209550100224787130467</t>
  </si>
  <si>
    <t>09 Dec 2025 12:21:27</t>
  </si>
  <si>
    <t>34,967.86</t>
  </si>
  <si>
    <t>251209010100225145970251</t>
  </si>
  <si>
    <t>09 Dec 2025 12:22:17</t>
  </si>
  <si>
    <t>29,967.86</t>
  </si>
  <si>
    <t>251209010100224908702423</t>
  </si>
  <si>
    <t>09 Dec 2025 12:51:29</t>
  </si>
  <si>
    <t>27,867.86</t>
  </si>
  <si>
    <t>100004251209125133147191834118</t>
  </si>
  <si>
    <t>09 Dec 2025 15:31:21</t>
  </si>
  <si>
    <t>26,867.86</t>
  </si>
  <si>
    <t>251209010100230395707954</t>
  </si>
  <si>
    <t>09 Dec 2025 15:43:18</t>
  </si>
  <si>
    <t>26,667.86</t>
  </si>
  <si>
    <t>251209010100230536022564</t>
  </si>
  <si>
    <t>09 Dec 2025 16:29:39</t>
  </si>
  <si>
    <t>3,800.00</t>
  </si>
  <si>
    <t>22,867.86</t>
  </si>
  <si>
    <t>100004251209162943147209055342</t>
  </si>
  <si>
    <t>09 Dec 2025 18:35:49</t>
  </si>
  <si>
    <t xml:space="preserve">Transfer to  A  S KOFA MULTIPURPOSE PLAZA - RUFAIDA | MONIE POINT | 5062238366 </t>
  </si>
  <si>
    <t>19,567.86</t>
  </si>
  <si>
    <t>100004251209183557147222971688</t>
  </si>
  <si>
    <t>09 Dec 2025 18:41:39</t>
  </si>
  <si>
    <t>18,567.86</t>
  </si>
  <si>
    <t>251209010100236450972201</t>
  </si>
  <si>
    <t>10 Dec 2025 08:47:36</t>
  </si>
  <si>
    <t>10 Dec 2025</t>
  </si>
  <si>
    <t>18,067.86</t>
  </si>
  <si>
    <t>251210010100247567251333</t>
  </si>
  <si>
    <t>10 Dec 2025 13:50:56</t>
  </si>
  <si>
    <t>17,567.86</t>
  </si>
  <si>
    <t>251210010100255915600635</t>
  </si>
  <si>
    <t>10 Dec 2025 14:18:19</t>
  </si>
  <si>
    <t xml:space="preserve">Transfer to S. I. MULTIPURPOSE ENTERPRISE - S.i. multipurpose | MONIE POINT | 5957196988 </t>
  </si>
  <si>
    <t>15,567.86</t>
  </si>
  <si>
    <t>100004251210141823147280818204</t>
  </si>
  <si>
    <t>10 Dec 2025 15:50:17</t>
  </si>
  <si>
    <t xml:space="preserve">Transfer to RUFAI ALASAN | OPay | 9070954119 </t>
  </si>
  <si>
    <t>15,367.86</t>
  </si>
  <si>
    <t>251210010100259193432016</t>
  </si>
  <si>
    <t>10 Dec 2025 17:54:43</t>
  </si>
  <si>
    <t>13,767.86</t>
  </si>
  <si>
    <t>100004251210175448147300304887</t>
  </si>
  <si>
    <t>10 Dec 2025 22:43:40</t>
  </si>
  <si>
    <t xml:space="preserve">Airtime | 8021483954 | AIR </t>
  </si>
  <si>
    <t>13,667.86</t>
  </si>
  <si>
    <t>251210100100271037837416</t>
  </si>
  <si>
    <t>10 Dec 2025 22:46:36</t>
  </si>
  <si>
    <t>13,367.86</t>
  </si>
  <si>
    <t>251210100100270939394138</t>
  </si>
  <si>
    <t>11 Dec 2025 12:21:10</t>
  </si>
  <si>
    <t>11 Dec 2025</t>
  </si>
  <si>
    <t>12,367.86</t>
  </si>
  <si>
    <t>251211010100281487587485</t>
  </si>
  <si>
    <t>11 Dec 2025 16:51:40</t>
  </si>
  <si>
    <t>11,667.86</t>
  </si>
  <si>
    <t>100004251211165146147372853548</t>
  </si>
  <si>
    <t>11 Dec 2025 17:01:23</t>
  </si>
  <si>
    <t>10,717.86</t>
  </si>
  <si>
    <t>100004251211170130147373707881</t>
  </si>
  <si>
    <t>11 Dec 2025 17:03:56</t>
  </si>
  <si>
    <t>10,517.86</t>
  </si>
  <si>
    <t>100004251211170401147372231418</t>
  </si>
  <si>
    <t>11 Dec 2025 20:04:52</t>
  </si>
  <si>
    <t>11,017.86</t>
  </si>
  <si>
    <t>251211010100295347601750</t>
  </si>
  <si>
    <t>12 Dec 2025 08:34:18</t>
  </si>
  <si>
    <t>12 Dec 2025</t>
  </si>
  <si>
    <t xml:space="preserve">Transfer to POS Transfer- IBRAHIM KASSIM - | MONIE POINT | 5159204393 </t>
  </si>
  <si>
    <t>9,517.86</t>
  </si>
  <si>
    <t>100004251212083424147410339015</t>
  </si>
  <si>
    <t>12 Dec 2025 10:04:15</t>
  </si>
  <si>
    <t>10,217.86</t>
  </si>
  <si>
    <t>251212010100305785713040</t>
  </si>
  <si>
    <t>13 Dec 2025 12:23:49</t>
  </si>
  <si>
    <t>13 Dec 2025</t>
  </si>
  <si>
    <t>9,817.86</t>
  </si>
  <si>
    <t>251213010100338436145853</t>
  </si>
  <si>
    <t>13 Dec 2025 14:39:26</t>
  </si>
  <si>
    <t xml:space="preserve">Transfer to ABDULKADIR SADIQ ABUBAKAR | OPay | 8163386987 </t>
  </si>
  <si>
    <t>7,817.86</t>
  </si>
  <si>
    <t>251213010100342276999325</t>
  </si>
  <si>
    <t>13 Dec 2025 14:42:59</t>
  </si>
  <si>
    <t>7,017.86</t>
  </si>
  <si>
    <t>100004251213144303147520835947</t>
  </si>
  <si>
    <t>13 Dec 2025 19:12:06</t>
  </si>
  <si>
    <t xml:space="preserve">Transfer to MUHAMMAD BELLO MUHAMMAD | OPay | 7036601764 </t>
  </si>
  <si>
    <t>251213010100350357567155</t>
  </si>
  <si>
    <t>13 Dec 2025 19:12:22</t>
  </si>
  <si>
    <t>6,417.86</t>
  </si>
  <si>
    <t>251213010100350409711057</t>
  </si>
  <si>
    <t>13 Dec 2025 19:20:31</t>
  </si>
  <si>
    <t xml:space="preserve">Transfer to MUSA HARUNA | OPay | 7084216829 </t>
  </si>
  <si>
    <t>5,917.86</t>
  </si>
  <si>
    <t>251213010100350655242902</t>
  </si>
  <si>
    <t>13 Dec 2025 21:30:02</t>
  </si>
  <si>
    <t>5,217.86</t>
  </si>
  <si>
    <t>251213010100354571309242</t>
  </si>
  <si>
    <t>13 Dec 2025 21:39:20</t>
  </si>
  <si>
    <t>4,717.86</t>
  </si>
  <si>
    <t>100004251213213927147555284876</t>
  </si>
  <si>
    <t>14 Dec 2025 13:06:03</t>
  </si>
  <si>
    <t>14 Dec 2025</t>
  </si>
  <si>
    <t xml:space="preserve">Transfer to POS Transfer- SAIDU BASHIR | MONIE POINT | 5113289899 </t>
  </si>
  <si>
    <t>4,517.86</t>
  </si>
  <si>
    <t>100004251214130607147585977064</t>
  </si>
  <si>
    <t>14 Dec 2025 13:44:50</t>
  </si>
  <si>
    <t>3,517.86</t>
  </si>
  <si>
    <t>100004251214134454147589584562</t>
  </si>
  <si>
    <t>14 Dec 2025 19:02:01</t>
  </si>
  <si>
    <t xml:space="preserve">Transfer to NURA  ILIYA | PalmPay | 8034118734 </t>
  </si>
  <si>
    <t>3,267.86</t>
  </si>
  <si>
    <t>100004251214190206147613119292</t>
  </si>
  <si>
    <t>15 Dec 2025 09:04:25</t>
  </si>
  <si>
    <t>15 Dec 2025</t>
  </si>
  <si>
    <t xml:space="preserve">Transfer to YAHAYA ZAKARIYYA MADAKI | MONIE POINT | 8038773233 </t>
  </si>
  <si>
    <t>3,167.86</t>
  </si>
  <si>
    <t>100004251215090428147637946939</t>
  </si>
  <si>
    <t>15 Dec 2025 10:09:35</t>
  </si>
  <si>
    <t>2,167.86</t>
  </si>
  <si>
    <t>251215010100388251448451</t>
  </si>
  <si>
    <t>15 Dec 2025 10:32:31</t>
  </si>
  <si>
    <t xml:space="preserve">OPay Card Payment | OPay | 2232057P | 512154888320 | OPAY DIGITAL SERVICES LIMITED LA    LANG </t>
  </si>
  <si>
    <t>10.00</t>
  </si>
  <si>
    <t>2,157.86</t>
  </si>
  <si>
    <t>251215330100388731896355</t>
  </si>
  <si>
    <t>16 Dec 2025 13:43:10</t>
  </si>
  <si>
    <t>16 Dec 2025</t>
  </si>
  <si>
    <t xml:space="preserve">Transfer to ABDULAZEEZ ABUBAKAR | OPay | 7079968773 </t>
  </si>
  <si>
    <t>1,857.86</t>
  </si>
  <si>
    <t>251216010100422197115048</t>
  </si>
  <si>
    <t>16 Dec 2025 15:14:26</t>
  </si>
  <si>
    <t>1,757.86</t>
  </si>
  <si>
    <t>251216110100424711455451</t>
  </si>
  <si>
    <t>17 Dec 2025 12:24:30</t>
  </si>
  <si>
    <t>17 Dec 2025</t>
  </si>
  <si>
    <t xml:space="preserve">OPay Card Payment | MONIE POINT | 2ISTN93R | 000000012747 | T PRINCE PETER OLU  012747 2ISTN93R LANG </t>
  </si>
  <si>
    <t>707.86</t>
  </si>
  <si>
    <t>251217330100448342967977</t>
  </si>
  <si>
    <t>17 Dec 2025 14:12:23</t>
  </si>
  <si>
    <t>2,807.86</t>
  </si>
  <si>
    <t>251217010100451478781993</t>
  </si>
  <si>
    <t>17 Dec 2025 14:19:30</t>
  </si>
  <si>
    <t xml:space="preserve">OPay Card Payment | MONIE POINT | 2IST3DPS | 000000007406 | T HAUWA GAMBO POS S 007406 2IST3DPS LANG </t>
  </si>
  <si>
    <t>251217330100451403332404</t>
  </si>
  <si>
    <t>18 Dec 2025 07:22:44</t>
  </si>
  <si>
    <t>18 Dec 2025</t>
  </si>
  <si>
    <t>507.86</t>
  </si>
  <si>
    <t>251218010100468776661746</t>
  </si>
  <si>
    <t>18 Dec 2025 07:39:50</t>
  </si>
  <si>
    <t>1,507.86</t>
  </si>
  <si>
    <t>251218010100468985490708</t>
  </si>
  <si>
    <t>18 Dec 2025 07:52:37</t>
  </si>
  <si>
    <t>251218010100469329161213</t>
  </si>
  <si>
    <t>18 Dec 2025 08:17:57</t>
  </si>
  <si>
    <t xml:space="preserve">Transfer from ABUBAKAR UMAR UMAR | United Bank For Africa | 207****915 | MOB/UTO/Muhammad Abuba/sent/34530407926 </t>
  </si>
  <si>
    <t>2,507.86</t>
  </si>
  <si>
    <t>000004251218091755273074825996</t>
  </si>
  <si>
    <t>18 Dec 2025 13:48:28</t>
  </si>
  <si>
    <t>251218010100479182678096</t>
  </si>
  <si>
    <t>18 Dec 2025 16:34:15</t>
  </si>
  <si>
    <t>720.00</t>
  </si>
  <si>
    <t>787.86</t>
  </si>
  <si>
    <t>100004251218163420147917792147</t>
  </si>
  <si>
    <t>18 Dec 2025 17:12:16</t>
  </si>
  <si>
    <t xml:space="preserve">Transfer to POS Transfer-SALIHU AHMAD | MONIE POINT | 5142707575 </t>
  </si>
  <si>
    <t>237.86</t>
  </si>
  <si>
    <t>100004251218171220147919716294</t>
  </si>
  <si>
    <t>18 Dec 2025 17:14:33</t>
  </si>
  <si>
    <t>437.86</t>
  </si>
  <si>
    <t>251218010100485058622974</t>
  </si>
  <si>
    <t>18 Dec 2025 17:34:30</t>
  </si>
  <si>
    <t xml:space="preserve">Transfer from AGBEJA  IFEDAPO OJO | Guaranty Trust Bank | 021****964 | Thank you bro to MUHAMMAD ABUBAKAR UMAR. 000013251218183430000624944162 </t>
  </si>
  <si>
    <t>10,437.86</t>
  </si>
  <si>
    <t>000013251218183430000624944162</t>
  </si>
  <si>
    <t>18 Dec 2025 17:34:32</t>
  </si>
  <si>
    <t>10,387.86</t>
  </si>
  <si>
    <t>251218550100485946334840</t>
  </si>
  <si>
    <t>18 Dec 2025 17:36:18</t>
  </si>
  <si>
    <t>7,387.86</t>
  </si>
  <si>
    <t>251218010100486054521052</t>
  </si>
  <si>
    <t>18 Dec 2025 19:52:49</t>
  </si>
  <si>
    <t>7,087.86</t>
  </si>
  <si>
    <t>251218010100490773493465</t>
  </si>
  <si>
    <t>19 Dec 2025 10:20:14</t>
  </si>
  <si>
    <t>19 Dec 2025</t>
  </si>
  <si>
    <t xml:space="preserve">OPay Card Payment | MONIE POINT | 2IST55EW | 000000000301 | T AMINA HARUNA      000301 2IST55EW LANG </t>
  </si>
  <si>
    <t>6,587.86</t>
  </si>
  <si>
    <t>251219330100502605002577</t>
  </si>
  <si>
    <t>19 Dec 2025 10:46:54</t>
  </si>
  <si>
    <t>6,087.86</t>
  </si>
  <si>
    <t>251219100100503529094258</t>
  </si>
  <si>
    <t>19 Dec 2025 11:15:57</t>
  </si>
  <si>
    <t>5,887.86</t>
  </si>
  <si>
    <t>100004251219111602147970255074</t>
  </si>
  <si>
    <t>19 Dec 2025 16:41:11</t>
  </si>
  <si>
    <t xml:space="preserve">Transfer to MUHAMMAD INDABAWA KABIRU | OPay | 8036627001 </t>
  </si>
  <si>
    <t>3,887.86</t>
  </si>
  <si>
    <t>251219010100513471468663</t>
  </si>
  <si>
    <t>19 Dec 2025 19:42:58</t>
  </si>
  <si>
    <t>3,687.86</t>
  </si>
  <si>
    <t>251219010100519376895074</t>
  </si>
  <si>
    <t>19 Dec 2025 19:45:17</t>
  </si>
  <si>
    <t>3,287.86</t>
  </si>
  <si>
    <t>100004251219194521148016308263</t>
  </si>
  <si>
    <t>20 Dec 2025 08:17:18</t>
  </si>
  <si>
    <t>20 Dec 2025</t>
  </si>
  <si>
    <t>2,287.86</t>
  </si>
  <si>
    <t>251220010100528661072724</t>
  </si>
  <si>
    <t>20 Dec 2025 08:40:43</t>
  </si>
  <si>
    <t xml:space="preserve">Transfer to EXCELPLUS 24/7 VENTURES | MONIE POINT | 5117414923 </t>
  </si>
  <si>
    <t>2,087.86</t>
  </si>
  <si>
    <t>100004251220084050148041075561</t>
  </si>
  <si>
    <t>20 Dec 2025 14:27:43</t>
  </si>
  <si>
    <t xml:space="preserve">Transfer from ABUBAKAR UMAR UMAR | United Bank For Africa | 207****915 | MOB/UTO/Muhammad Abuba/sent/34570026081 </t>
  </si>
  <si>
    <t>5,087.86</t>
  </si>
  <si>
    <t>000004251220152742764113796061</t>
  </si>
  <si>
    <t>20 Dec 2025 17:39:37</t>
  </si>
  <si>
    <t xml:space="preserve">Transfer from JAMIU ADEKUNLE BABATUNDE | Access Bank | 191****458 | MOBILE TRF TO PAY MUHAMMAD ABUBAKAR UMAR </t>
  </si>
  <si>
    <t>20,087.86</t>
  </si>
  <si>
    <t>000014251220183937219922714258</t>
  </si>
  <si>
    <t>20 Dec 2025 17:39:39</t>
  </si>
  <si>
    <t>20,037.86</t>
  </si>
  <si>
    <t>251220550100545255020328</t>
  </si>
  <si>
    <t>20 Dec 2025 18:26:46</t>
  </si>
  <si>
    <t>8,037.86</t>
  </si>
  <si>
    <t>251220100100547077085945</t>
  </si>
  <si>
    <t>20 Dec 2025 18:28:48</t>
  </si>
  <si>
    <t xml:space="preserve">Transfer to IBRAHIM ABDULWAHAB AHMAD | MONIE POINT | 8252517728 </t>
  </si>
  <si>
    <t>7,787.86</t>
  </si>
  <si>
    <t>100004251220182853148092070081</t>
  </si>
  <si>
    <t>20 Dec 2025 18:29:12</t>
  </si>
  <si>
    <t>251220010100547086628045</t>
  </si>
  <si>
    <t>20 Dec 2025 19:58:00</t>
  </si>
  <si>
    <t>18,037.86</t>
  </si>
  <si>
    <t>000016251220205758001188868844</t>
  </si>
  <si>
    <t>20 Dec 2025 19:58:02</t>
  </si>
  <si>
    <t>17,987.86</t>
  </si>
  <si>
    <t>251220550100549676696313</t>
  </si>
  <si>
    <t>20 Dec 2025 19:59:56</t>
  </si>
  <si>
    <t>5,509.86</t>
  </si>
  <si>
    <t>251220140300549836346191</t>
  </si>
  <si>
    <t>20 Dec 2025 20:07:01</t>
  </si>
  <si>
    <t>5,259.86</t>
  </si>
  <si>
    <t>100004251220200706148101297150</t>
  </si>
  <si>
    <t>21 Dec 2025 08:16:39</t>
  </si>
  <si>
    <t>21 Dec 2025</t>
  </si>
  <si>
    <t>4,759.86</t>
  </si>
  <si>
    <t>251221010100557802977549</t>
  </si>
  <si>
    <t>21 Dec 2025 10:03:24</t>
  </si>
  <si>
    <t xml:space="preserve">Airtime | 9048310928 | AIR </t>
  </si>
  <si>
    <t>1,759.86</t>
  </si>
  <si>
    <t>251221100100560177094001</t>
  </si>
  <si>
    <t>21 Dec 2025 19:41:56</t>
  </si>
  <si>
    <t xml:space="preserve">Transfer to I-NAKOZI INVESTMENT CO.LTD - I Nakozi Invst 2 | MONIE POINT | 8273452884 </t>
  </si>
  <si>
    <t>1,509.86</t>
  </si>
  <si>
    <t>100004251221194200148165270555</t>
  </si>
  <si>
    <t>21 Dec 2025 19:43:00</t>
  </si>
  <si>
    <t>1,059.86</t>
  </si>
  <si>
    <t>100004251221194305148165279949</t>
  </si>
  <si>
    <t>22 Dec 2025 16:12:25</t>
  </si>
  <si>
    <t>22 Dec 2025</t>
  </si>
  <si>
    <t>759.86</t>
  </si>
  <si>
    <t>251222010100597464332044</t>
  </si>
  <si>
    <t>22 Dec 2025 20:36:40</t>
  </si>
  <si>
    <t>2,459.86</t>
  </si>
  <si>
    <t>251222010100606001467827</t>
  </si>
  <si>
    <t>22 Dec 2025 21:32:06</t>
  </si>
  <si>
    <t xml:space="preserve">Transfer to ABUBAKAR AMIRU | MONIE POINT | 5572266578 </t>
  </si>
  <si>
    <t>1,959.86</t>
  </si>
  <si>
    <t>100004251222213212148256533147</t>
  </si>
  <si>
    <t>23 Dec 2025 09:23:32</t>
  </si>
  <si>
    <t>23 Dec 2025</t>
  </si>
  <si>
    <t xml:space="preserve">Transfer to HABIBU YAHAYA FAGGE | OPay | 9163526811 </t>
  </si>
  <si>
    <t>251223010100616067464765</t>
  </si>
  <si>
    <t>23 Dec 2025 09:40:02</t>
  </si>
  <si>
    <t>659.86</t>
  </si>
  <si>
    <t>100004251223094007148278858263</t>
  </si>
  <si>
    <t>23 Dec 2025 10:44:29</t>
  </si>
  <si>
    <t>1,659.86</t>
  </si>
  <si>
    <t>251223010100618197290145</t>
  </si>
  <si>
    <t>23 Dec 2025 17:57:45</t>
  </si>
  <si>
    <t>2,659.86</t>
  </si>
  <si>
    <t>251223010100631849675077</t>
  </si>
  <si>
    <t>23 Dec 2025 18:23:39</t>
  </si>
  <si>
    <t>100004251223182344148326269002</t>
  </si>
  <si>
    <t>23 Dec 2025 18:25:45</t>
  </si>
  <si>
    <t xml:space="preserve">Transfer to POS Transfer- NASURU ABDULBAKI | MONIE POINT | 5177005703 </t>
  </si>
  <si>
    <t>959.86</t>
  </si>
  <si>
    <t>100004251223182549148332175524</t>
  </si>
  <si>
    <t>23 Dec 2025 19:36:43</t>
  </si>
  <si>
    <t>1,559.86</t>
  </si>
  <si>
    <t>251223010100635572058986</t>
  </si>
  <si>
    <t>24 Dec 2025 08:09:31</t>
  </si>
  <si>
    <t>24 Dec 2025</t>
  </si>
  <si>
    <t>2,359.86</t>
  </si>
  <si>
    <t>251224010100644873862798</t>
  </si>
  <si>
    <t>24 Dec 2025 08:09:45</t>
  </si>
  <si>
    <t>259.86</t>
  </si>
  <si>
    <t>100004251224080950148359714128</t>
  </si>
  <si>
    <t>24 Dec 2025 08:28:27</t>
  </si>
  <si>
    <t>559.86</t>
  </si>
  <si>
    <t>251224010100645603073602</t>
  </si>
  <si>
    <t>24 Dec 2025 08:31:29</t>
  </si>
  <si>
    <t>100004251224083134148363002814</t>
  </si>
  <si>
    <t>24 Dec 2025 16:28:22</t>
  </si>
  <si>
    <t>10,258.86</t>
  </si>
  <si>
    <t>251224010100660893515455</t>
  </si>
  <si>
    <t>24 Dec 2025 16:28:39</t>
  </si>
  <si>
    <t>5,030.00</t>
  </si>
  <si>
    <t>15,288.86</t>
  </si>
  <si>
    <t>251224010100660894533722</t>
  </si>
  <si>
    <t>24 Dec 2025 17:42:19</t>
  </si>
  <si>
    <t>14,288.86</t>
  </si>
  <si>
    <t>100004251224174254148420097976</t>
  </si>
  <si>
    <t>24 Dec 2025 18:06:43</t>
  </si>
  <si>
    <t>12,978.86</t>
  </si>
  <si>
    <t>100004251224180647148419894904</t>
  </si>
  <si>
    <t>24 Dec 2025 18:08:22</t>
  </si>
  <si>
    <t>12,768.86</t>
  </si>
  <si>
    <t>100004251224180832148417882709</t>
  </si>
  <si>
    <t>25 Dec 2025 08:27:43</t>
  </si>
  <si>
    <t>25 Dec 2025</t>
  </si>
  <si>
    <t xml:space="preserve">Transfer to FATIMA BELLO IBRAHIM | OPay | 8062381360 </t>
  </si>
  <si>
    <t>12,568.86</t>
  </si>
  <si>
    <t>251225010100679113828251</t>
  </si>
  <si>
    <t>25 Dec 2025 08:27:59</t>
  </si>
  <si>
    <t>11,768.86</t>
  </si>
  <si>
    <t>251225010100679410836409</t>
  </si>
  <si>
    <t>25 Dec 2025 15:47:55</t>
  </si>
  <si>
    <t>7,768.86</t>
  </si>
  <si>
    <t>251225010100691276563012</t>
  </si>
  <si>
    <t>25 Dec 2025 17:24:35</t>
  </si>
  <si>
    <t>7,568.86</t>
  </si>
  <si>
    <t>251225010100693445995069</t>
  </si>
  <si>
    <t>25 Dec 2025 17:50:33</t>
  </si>
  <si>
    <t>7,068.86</t>
  </si>
  <si>
    <t>251225010100694589236288</t>
  </si>
  <si>
    <t>26 Dec 2025 08:40:02</t>
  </si>
  <si>
    <t>26 Dec 2025</t>
  </si>
  <si>
    <t>6,768.86</t>
  </si>
  <si>
    <t>251226010100706044391033</t>
  </si>
  <si>
    <t>26 Dec 2025 16:02:32</t>
  </si>
  <si>
    <t>6,518.86</t>
  </si>
  <si>
    <t>100004251226160242148561883752</t>
  </si>
  <si>
    <t>26 Dec 2025 17:04:41</t>
  </si>
  <si>
    <t>6,318.86</t>
  </si>
  <si>
    <t>251226010100719004137963</t>
  </si>
  <si>
    <t>26 Dec 2025 17:46:08</t>
  </si>
  <si>
    <t>6,818.86</t>
  </si>
  <si>
    <t>251226010100720412771476</t>
  </si>
  <si>
    <t>26 Dec 2025 20:45:17</t>
  </si>
  <si>
    <t>100004251226204521148583569147</t>
  </si>
  <si>
    <t>Savings Account Statement</t>
  </si>
  <si>
    <t>Savings Account</t>
  </si>
  <si>
    <t>₦0.00</t>
  </si>
  <si>
    <t>₦62,064.81</t>
  </si>
  <si>
    <t>27 Apr 2025 14:40:36</t>
  </si>
  <si>
    <t xml:space="preserve">OWealth Deposit(from Fixed) </t>
  </si>
  <si>
    <t>250427994bJBOx8QYPZQBowU0LzoOO</t>
  </si>
  <si>
    <t>14,000.00</t>
  </si>
  <si>
    <t>29 Apr 2025 02:54:23</t>
  </si>
  <si>
    <t xml:space="preserve">OWealth Interest Earned </t>
  </si>
  <si>
    <t>4.82</t>
  </si>
  <si>
    <t>14,004.82</t>
  </si>
  <si>
    <t>25042999afItiCioLpz2Fbu2GbxxW</t>
  </si>
  <si>
    <t>13,354.82</t>
  </si>
  <si>
    <t>12,554.82</t>
  </si>
  <si>
    <t>12,054.82</t>
  </si>
  <si>
    <t>10,054.82</t>
  </si>
  <si>
    <t>30 Apr 2025 02:47:46</t>
  </si>
  <si>
    <t>3.46</t>
  </si>
  <si>
    <t>10,058.28</t>
  </si>
  <si>
    <t>250430993dixTLWiM7Zm8sLpBCYia7</t>
  </si>
  <si>
    <t>01 May 2025 02:37:08</t>
  </si>
  <si>
    <t>10,061.74</t>
  </si>
  <si>
    <t>2505019976yCp4VaDhItuINC2b6Tbg</t>
  </si>
  <si>
    <t>5,061.74</t>
  </si>
  <si>
    <t>01 May 2025 13:00:30</t>
  </si>
  <si>
    <t>35,061.74</t>
  </si>
  <si>
    <t>250501995ePRBNMXQwiK7BX9pNXzGQ</t>
  </si>
  <si>
    <t>02 May 2025 02:26:08</t>
  </si>
  <si>
    <t>1.73</t>
  </si>
  <si>
    <t>35,063.47</t>
  </si>
  <si>
    <t>250502994TDV0TmOPTy6uVsr7nogfI</t>
  </si>
  <si>
    <t>03 May 2025 02:31:18</t>
  </si>
  <si>
    <t>12.07</t>
  </si>
  <si>
    <t>35,075.54</t>
  </si>
  <si>
    <t>250503996Zjj8TdhthIzlKpd9n6h2N</t>
  </si>
  <si>
    <t>31,975.54</t>
  </si>
  <si>
    <t>04 May 2025 02:24:08</t>
  </si>
  <si>
    <t>11.01</t>
  </si>
  <si>
    <t>31,986.55</t>
  </si>
  <si>
    <t>250504995zsyNimcT0CveGJSitm0d</t>
  </si>
  <si>
    <t>26,986.55</t>
  </si>
  <si>
    <t>05 May 2025 02:32:59</t>
  </si>
  <si>
    <t>9.29</t>
  </si>
  <si>
    <t>26,995.84</t>
  </si>
  <si>
    <t>250505992va6y3R7QN3p5444IKvPzr</t>
  </si>
  <si>
    <t>23,895.84</t>
  </si>
  <si>
    <t>13,895.84</t>
  </si>
  <si>
    <t>06 May 2025 02:15:17</t>
  </si>
  <si>
    <t>4.78</t>
  </si>
  <si>
    <t>13,900.62</t>
  </si>
  <si>
    <t>250506994FYWCqZlLEDHre0m6yjus0</t>
  </si>
  <si>
    <t>07 May 2025 02:29:31</t>
  </si>
  <si>
    <t>13,905.40</t>
  </si>
  <si>
    <t>250507995akXT4E4ogogCzPeOCyCFf</t>
  </si>
  <si>
    <t>13,761.50</t>
  </si>
  <si>
    <t>11,561.50</t>
  </si>
  <si>
    <t>9,461.50</t>
  </si>
  <si>
    <t>7,461.50</t>
  </si>
  <si>
    <t>6,961.50</t>
  </si>
  <si>
    <t>08 May 2025 02:21:59</t>
  </si>
  <si>
    <t>2.39</t>
  </si>
  <si>
    <t>6,963.89</t>
  </si>
  <si>
    <t>250508993OWkpzWeyHcGNAz5CyOasL</t>
  </si>
  <si>
    <t>09 May 2025 02:24:05</t>
  </si>
  <si>
    <t>6,966.28</t>
  </si>
  <si>
    <t>250509994ZR2siTKZueKlRzTb9Nn4f</t>
  </si>
  <si>
    <t>5,866.28</t>
  </si>
  <si>
    <t>10 May 2025 02:27:56</t>
  </si>
  <si>
    <t>2.01</t>
  </si>
  <si>
    <t>250510997mcjvPTXe3Ql3eewUBYJt8</t>
  </si>
  <si>
    <t>19 Nov 2025 08:40:36</t>
  </si>
  <si>
    <t>251119995nRrFSai2lqRRgucNjJUOR</t>
  </si>
  <si>
    <t>19 Nov 2025 14:50:12</t>
  </si>
  <si>
    <t>25111999RfMvKCdJDWJpxo5ReWb1Z</t>
  </si>
  <si>
    <t>4,109.24</t>
  </si>
  <si>
    <t>3,909.24</t>
  </si>
  <si>
    <t>1,509.24</t>
  </si>
  <si>
    <t>1,259.24</t>
  </si>
  <si>
    <t>559.24</t>
  </si>
  <si>
    <t>309.24</t>
  </si>
  <si>
    <t>9.24</t>
  </si>
  <si>
    <t>20 Nov 2025 22:20:00</t>
  </si>
  <si>
    <t>4,009.24</t>
  </si>
  <si>
    <t>25112099A8L2oMlE02Pvl6n0J19TJ</t>
  </si>
  <si>
    <t>21 Nov 2025 02:40:34</t>
  </si>
  <si>
    <t>0.09</t>
  </si>
  <si>
    <t>4,009.33</t>
  </si>
  <si>
    <t>251121996GCAPSlzKpjHdYi6tJf3k2</t>
  </si>
  <si>
    <t>2,409.33</t>
  </si>
  <si>
    <t>22 Nov 2025 02:38:06</t>
  </si>
  <si>
    <t>0.82</t>
  </si>
  <si>
    <t>251122996zKSD7HDHcGEWlkzwyMgsI</t>
  </si>
  <si>
    <t>24 Nov 2025 15:20:34</t>
  </si>
  <si>
    <t>251124995JeMapOSBceYXD18DaWcTC</t>
  </si>
  <si>
    <t>26 Nov 2025 02:34:26</t>
  </si>
  <si>
    <t>1.71</t>
  </si>
  <si>
    <t>251126995iPIDHLwcB5ucDh7Bgz2WD</t>
  </si>
  <si>
    <t>Date</t>
  </si>
  <si>
    <t>Month</t>
  </si>
  <si>
    <t>Month_number</t>
  </si>
  <si>
    <t>Transaction type</t>
  </si>
  <si>
    <t xml:space="preserve">Withdrawal </t>
  </si>
  <si>
    <t>Deposit</t>
  </si>
  <si>
    <t>Transaction_Direction</t>
  </si>
  <si>
    <t xml:space="preserve">Time of transaction </t>
  </si>
  <si>
    <t>Amount</t>
  </si>
  <si>
    <t>SUM of Amount</t>
  </si>
  <si>
    <t>Withdrawal</t>
  </si>
  <si>
    <t>Grand Total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</si>
  <si>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</si>
  <si>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</si>
  <si>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</si>
  <si>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</si>
  <si>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</si>
  <si>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</si>
  <si>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</si>
  <si>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</si>
  <si>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</si>
  <si>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</si>
  <si>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</si>
  <si>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</si>
  <si>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Months</t>
  </si>
  <si>
    <t>Total Deposits</t>
  </si>
  <si>
    <t>Total Withdrawals</t>
  </si>
  <si>
    <t>Net_Cash_Flow</t>
  </si>
  <si>
    <t>Category                    Total Amount</t>
  </si>
  <si>
    <t>Transfer</t>
  </si>
  <si>
    <t>Airtime</t>
  </si>
  <si>
    <t>Fixed Deposit</t>
  </si>
  <si>
    <t>Electronic Money Transfer Levy</t>
  </si>
  <si>
    <t xml:space="preserve">                                                    Personal Finance Analysis Transaction Charts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</si>
</sst>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_);\(#,##0.00\)"/>
  </numFmts>
  <fonts count="9">
    <font>
      <sz val="10.0"/>
      <color theme="1"/>
      <name val="Calibri"/>
      <scheme val="minor"/>
    </font>
    <font>
      <b/>
      <sz val="10.0"/>
      <color rgb="FF000000"/>
      <name val="等线"/>
    </font>
    <font>
      <sz val="10.0"/>
      <color rgb="FF000000"/>
      <name val="等线"/>
    </font>
    <font>
      <sz val="10.0"/>
      <color theme="1"/>
      <name val="等线"/>
    </font>
    <font>
      <sz val="9.0"/>
      <color rgb="FF000000"/>
      <name val="等线"/>
    </font>
    <font/>
    <font>
      <color theme="1"/>
      <name val="Calibri"/>
      <scheme val="minor"/>
    </font>
    <font>
      <b/>
      <color theme="1"/>
      <name val="Calibri"/>
      <scheme val="minor"/>
    </font>
    <font>
      <sz val="20.0"/>
      <color rgb="FFFFFFFF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0E3"/>
        <bgColor rgb="FFDEE0E3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top style="thin">
        <color rgb="FFDEE0E3"/>
      </top>
      <bottom style="thin">
        <color rgb="FFDEE0E3"/>
      </bottom>
    </border>
    <border>
      <top style="thin">
        <color rgb="FFDEE0E3"/>
      </top>
      <bottom style="thin">
        <color rgb="FFDEE0E3"/>
      </bottom>
    </border>
    <border>
      <right style="thin">
        <color rgb="FFDEE0E3"/>
      </right>
      <top style="thin">
        <color rgb="FFDEE0E3"/>
      </top>
      <bottom style="thin">
        <color rgb="FFDEE0E3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vertical="center"/>
    </xf>
    <xf borderId="1" fillId="2" fontId="2" numFmtId="22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2" fillId="2" fontId="2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" fillId="2" fontId="2" numFmtId="0" xfId="0" applyAlignment="1" applyBorder="1" applyFont="1">
      <alignment horizontal="left" vertical="center"/>
    </xf>
    <xf borderId="1" fillId="3" fontId="1" numFmtId="0" xfId="0" applyAlignment="1" applyBorder="1" applyFill="1" applyFont="1">
      <alignment vertical="center"/>
    </xf>
    <xf borderId="0" fillId="0" fontId="4" numFmtId="49" xfId="0" applyAlignment="1" applyFont="1" applyNumberFormat="1">
      <alignment horizontal="left" vertical="center"/>
    </xf>
    <xf borderId="0" fillId="0" fontId="4" numFmtId="164" xfId="0" applyAlignment="1" applyFont="1" applyNumberFormat="1">
      <alignment horizontal="left" vertical="center"/>
    </xf>
    <xf borderId="1" fillId="0" fontId="1" numFmtId="0" xfId="0" applyAlignment="1" applyBorder="1" applyFont="1">
      <alignment vertical="center"/>
    </xf>
    <xf borderId="0" fillId="0" fontId="6" numFmtId="0" xfId="0" applyAlignment="1" applyFont="1">
      <alignment readingOrder="0" vertical="center"/>
    </xf>
    <xf borderId="0" fillId="0" fontId="6" numFmtId="3" xfId="0" applyAlignment="1" applyFont="1" applyNumberFormat="1">
      <alignment readingOrder="0" vertical="center"/>
    </xf>
    <xf borderId="0" fillId="0" fontId="6" numFmtId="4" xfId="0" applyAlignment="1" applyFont="1" applyNumberFormat="1">
      <alignment vertical="center"/>
    </xf>
    <xf borderId="0" fillId="0" fontId="6" numFmtId="3" xfId="0" applyAlignment="1" applyFont="1" applyNumberFormat="1">
      <alignment vertical="center"/>
    </xf>
    <xf borderId="0" fillId="0" fontId="7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4" fontId="8" numFmtId="0" xfId="0" applyAlignment="1" applyFill="1" applyFont="1">
      <alignment horizontal="left" readingOrder="0" vertical="center"/>
    </xf>
    <xf borderId="0" fillId="5" fontId="6" numFmtId="0" xfId="0" applyAlignment="1" applyFill="1" applyFon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onthly_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thly_Summary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chartsheet" Target="chartsheets/sheet2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chartsheet" Target="chartsheets/sheet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chartsheet" Target="chart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Spending Distribution by Category</a:t>
            </a:r>
          </a:p>
        </c:rich>
      </c:tx>
      <c:overlay val="0"/>
    </c:title>
    <c:plotArea>
      <c:layout>
        <c:manualLayout>
          <c:xMode val="edge"/>
          <c:yMode val="edge"/>
          <c:x val="0.0425"/>
          <c:y val="0.12254901960784313"/>
          <c:w val="0.915"/>
          <c:h val="0.8294117647058824"/>
        </c:manualLayout>
      </c:layout>
      <c:pieChart>
        <c:varyColors val="1"/>
        <c:ser>
          <c:idx val="0"/>
          <c:order val="0"/>
          <c:tx>
            <c:strRef>
              <c:f>Monthly_Summary!$I$2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666666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Monthly_Summary!$H$3:$H$6</c:f>
            </c:strRef>
          </c:cat>
          <c:val>
            <c:numRef>
              <c:f>Monthly_Summary!$I$3:$I$6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Monthly_Summary!$I$2</c:f>
            </c:strRef>
          </c:tx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Monthly_Summary!$H$3:$H$6</c:f>
            </c:strRef>
          </c:cat>
          <c:val>
            <c:numRef>
              <c:f>Monthly_Summary!$I$3:$I$6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Net Cash Flow Trend
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Monthly_Summary!$D$1</c:f>
            </c:strRef>
          </c:tx>
          <c:spPr>
            <a:ln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Monthly_Summary!$A$2:$A$13</c:f>
            </c:strRef>
          </c:cat>
          <c:val>
            <c:numRef>
              <c:f>Monthly_Summary!$D$2:$D$13</c:f>
              <c:numCache/>
            </c:numRef>
          </c:val>
          <c:smooth val="0"/>
        </c:ser>
        <c:axId val="214081577"/>
        <c:axId val="1076377628"/>
      </c:lineChart>
      <c:catAx>
        <c:axId val="214081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377628"/>
      </c:catAx>
      <c:valAx>
        <c:axId val="107637762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81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Deposits vs Withdrawals
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Monthly_Summary!$B$1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Monthly_Summary!$A$2:$A$13</c:f>
            </c:strRef>
          </c:cat>
          <c:val>
            <c:numRef>
              <c:f>Monthly_Summary!$B$2:$B$13</c:f>
              <c:numCache/>
            </c:numRef>
          </c:val>
        </c:ser>
        <c:ser>
          <c:idx val="1"/>
          <c:order val="1"/>
          <c:tx>
            <c:strRef>
              <c:f>Monthly_Summary!$C$1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Monthly_Summary!$A$2:$A$13</c:f>
            </c:strRef>
          </c:cat>
          <c:val>
            <c:numRef>
              <c:f>Monthly_Summary!$C$2:$C$13</c:f>
              <c:numCache/>
            </c:numRef>
          </c:val>
        </c:ser>
        <c:axId val="813289876"/>
        <c:axId val="1117153197"/>
      </c:barChart>
      <c:catAx>
        <c:axId val="813289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153197"/>
      </c:catAx>
      <c:valAx>
        <c:axId val="111715319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32898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Net Cash Flow Trend
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Monthly_Summary!$D$1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Monthly_Summary!$A$2:$A$13</c:f>
            </c:strRef>
          </c:cat>
          <c:val>
            <c:numRef>
              <c:f>Monthly_Summary!$D$2:$D$13</c:f>
              <c:numCache/>
            </c:numRef>
          </c:val>
          <c:smooth val="0"/>
        </c:ser>
        <c:axId val="1829161724"/>
        <c:axId val="611357893"/>
      </c:lineChart>
      <c:catAx>
        <c:axId val="1829161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357893"/>
      </c:catAx>
      <c:valAx>
        <c:axId val="611357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1617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Deposits vs Withdrawals
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Monthly_Summary!$B$1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Monthly_Summary!$A$2:$A$13</c:f>
            </c:strRef>
          </c:cat>
          <c:val>
            <c:numRef>
              <c:f>Monthly_Summary!$B$2:$B$13</c:f>
              <c:numCache/>
            </c:numRef>
          </c:val>
        </c:ser>
        <c:ser>
          <c:idx val="1"/>
          <c:order val="1"/>
          <c:tx>
            <c:strRef>
              <c:f>Monthly_Summary!$C$1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Monthly_Summary!$A$2:$A$13</c:f>
            </c:strRef>
          </c:cat>
          <c:val>
            <c:numRef>
              <c:f>Monthly_Summary!$C$2:$C$13</c:f>
              <c:numCache/>
            </c:numRef>
          </c:val>
        </c:ser>
        <c:axId val="568726465"/>
        <c:axId val="418830105"/>
      </c:barChart>
      <c:catAx>
        <c:axId val="568726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830105"/>
      </c:catAx>
      <c:valAx>
        <c:axId val="418830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87264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</xdr:rowOff>
    </xdr:from>
    <xdr:ext cx="6134100" cy="3371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6210300</xdr:colOff>
      <xdr:row>1</xdr:row>
      <xdr:rowOff>9525</xdr:rowOff>
    </xdr:from>
    <xdr:ext cx="6038850" cy="3371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57150</xdr:rowOff>
    </xdr:from>
    <xdr:ext cx="12249150" cy="3305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883" sheet="Cleaned_Data"/>
  </cacheSource>
  <cacheFields>
    <cacheField name="Date" numFmtId="0">
      <sharedItems>
        <s v="01 Jan 2025 04:07:19"/>
        <s v="01 Jan 2025 13:29:19"/>
        <s v="01 Jan 2025 14:00:41"/>
        <s v="01 Jan 2025 20:46:58"/>
        <s v="01 Jan 2025 20:51:11"/>
        <s v="01 Jan 2025 22:10:30"/>
        <s v="01 Jan 2025 22:11:06"/>
        <s v="02 Jan 2025 07:33:21"/>
        <s v="02 Jan 2025 07:40:54"/>
        <s v="02 Jan 2025 07:41:54"/>
        <s v="02 Jan 2025 08:03:00"/>
        <s v="02 Jan 2025 12:16:34"/>
        <s v="02 Jan 2025 16:19:54"/>
        <s v="02 Jan 2025 20:04:55"/>
        <s v="02 Jan 2025 20:17:14"/>
        <s v="03 Jan 2025 09:44:30"/>
        <s v="03 Jan 2025 11:02:53"/>
        <s v="03 Jan 2025 11:29:36"/>
        <s v="03 Jan 2025 12:55:56"/>
        <s v="03 Jan 2025 16:09:32"/>
        <s v="03 Jan 2025 23:32:01"/>
        <s v="03 Jan 2025 23:32:22"/>
        <s v="03 Jan 2025 23:35:03"/>
        <s v="04 Jan 2025 08:19:48"/>
        <s v="04 Jan 2025 09:16:10"/>
        <s v="04 Jan 2025 09:38:25"/>
        <s v="04 Jan 2025 09:43:27"/>
        <s v="04 Jan 2025 11:33:54"/>
        <s v="04 Jan 2025 15:28:50"/>
        <s v="05 Jan 2025 11:21:19"/>
        <s v="05 Jan 2025 18:44:12"/>
        <s v="05 Jan 2025 19:02:58"/>
        <s v="05 Jan 2025 19:08:44"/>
        <s v="05 Jan 2025 19:09:46"/>
        <s v="05 Jan 2025 20:03:09"/>
        <s v="06 Jan 2025 06:28:49"/>
        <s v="06 Jan 2025 10:04:58"/>
        <s v="06 Jan 2025 10:47:07"/>
        <s v="06 Jan 2025 12:31:34"/>
        <s v="06 Jan 2025 13:56:52"/>
        <s v="06 Jan 2025 18:18:37"/>
        <s v="06 Jan 2025 22:01:57"/>
        <s v="07 Jan 2025 04:35:11"/>
        <s v="07 Jan 2025 04:35:17"/>
        <s v="07 Jan 2025 04:37:09"/>
        <s v="07 Jan 2025 04:38:28"/>
        <s v="07 Jan 2025 04:41:12"/>
        <s v="07 Jan 2025 04:44:28"/>
        <s v="07 Jan 2025 04:45:33"/>
        <s v="07 Jan 2025 04:45:41"/>
        <s v="07 Jan 2025 04:47:16"/>
        <s v="07 Jan 2025 05:28:25"/>
        <s v="07 Jan 2025 07:16:45"/>
        <s v="07 Jan 2025 08:34:23"/>
        <s v="07 Jan 2025 08:36:16"/>
        <s v="07 Jan 2025 08:48:54"/>
        <s v="07 Jan 2025 08:49:00"/>
        <s v="07 Jan 2025 10:04:28"/>
        <s v="07 Jan 2025 10:09:52"/>
        <s v="07 Jan 2025 10:10:38"/>
        <s v="07 Jan 2025 10:23:24"/>
        <s v="07 Jan 2025 10:27:53"/>
        <s v="07 Jan 2025 10:29:50"/>
        <s v="07 Jan 2025 12:51:33"/>
        <s v="07 Jan 2025 14:25:06"/>
        <s v="07 Jan 2025 14:54:44"/>
        <s v="07 Jan 2025 15:39:32"/>
        <s v="07 Jan 2025 15:41:20"/>
        <s v="07 Jan 2025 17:22:34"/>
        <s v="07 Jan 2025 17:29:30"/>
        <s v="07 Jan 2025 18:46:09"/>
        <s v="07 Jan 2025 19:11:04"/>
        <s v="07 Jan 2025 20:38:51"/>
        <s v="07 Jan 2025 20:40:50"/>
        <s v="08 Jan 2025 07:11:30"/>
        <s v="08 Jan 2025 07:30:35"/>
        <s v="08 Jan 2025 07:51:42"/>
        <s v="08 Jan 2025 07:51:54"/>
        <s v="08 Jan 2025 08:06:13"/>
        <s v="08 Jan 2025 09:21:23"/>
        <s v="08 Jan 2025 10:24:40"/>
        <s v="08 Jan 2025 12:29:10"/>
        <s v="08 Jan 2025 12:56:11"/>
        <s v="08 Jan 2025 13:16:57"/>
        <s v="08 Jan 2025 13:33:57"/>
        <s v="08 Jan 2025 14:39:28"/>
        <s v="08 Jan 2025 17:16:59"/>
        <s v="08 Jan 2025 18:05:38"/>
        <s v="08 Jan 2025 18:05:44"/>
        <s v="08 Jan 2025 18:06:26"/>
        <s v="08 Jan 2025 18:06:53"/>
        <s v="08 Jan 2025 19:07:31"/>
        <s v="08 Jan 2025 19:24:31"/>
        <s v="08 Jan 2025 19:26:10"/>
        <s v="09 Jan 2025 07:56:44"/>
        <s v="09 Jan 2025 08:05:09"/>
        <s v="09 Jan 2025 09:47:00"/>
        <s v="09 Jan 2025 11:16:57"/>
        <s v="09 Jan 2025 12:07:10"/>
        <s v="09 Jan 2025 16:08:18"/>
        <s v="09 Jan 2025 17:03:54"/>
        <s v="09 Jan 2025 17:10:43"/>
        <s v="09 Jan 2025 19:56:44"/>
        <s v="09 Jan 2025 19:56:50"/>
        <s v="09 Jan 2025 20:45:30"/>
        <s v="10 Jan 2025 09:20:56"/>
        <s v="10 Jan 2025 10:58:02"/>
        <s v="10 Jan 2025 16:29:14"/>
        <s v="10 Jan 2025 16:43:33"/>
        <s v="10 Jan 2025 17:24:10"/>
        <s v="10 Jan 2025 17:24:18"/>
        <s v="10 Jan 2025 18:01:35"/>
        <s v="11 Jan 2025 09:00:42"/>
        <s v="11 Jan 2025 09:03:27"/>
        <s v="11 Jan 2025 12:01:24"/>
        <s v="11 Jan 2025 12:15:32"/>
        <s v="11 Jan 2025 17:44:18"/>
        <s v="11 Jan 2025 18:08:23"/>
        <s v="11 Jan 2025 18:08:29"/>
        <s v="11 Jan 2025 18:17:49"/>
        <s v="11 Jan 2025 18:40:43"/>
        <s v="11 Jan 2025 18:45:36"/>
        <s v="11 Jan 2025 18:45:42"/>
        <s v="11 Jan 2025 18:47:11"/>
        <s v="11 Jan 2025 18:48:58"/>
        <s v="12 Jan 2025 09:17:13"/>
        <s v="12 Jan 2025 11:01:06"/>
        <s v="12 Jan 2025 11:04:10"/>
        <s v="12 Jan 2025 16:17:47"/>
        <s v="12 Jan 2025 19:32:40"/>
        <s v="12 Jan 2025 19:33:06"/>
        <s v="12 Jan 2025 19:48:07"/>
        <s v="13 Jan 2025 10:27:25"/>
        <s v="13 Jan 2025 15:03:38"/>
        <s v="13 Jan 2025 17:56:18"/>
        <s v="14 Jan 2025 06:38:06"/>
        <s v="14 Jan 2025 06:38:12"/>
        <s v="14 Jan 2025 06:41:51"/>
        <s v="14 Jan 2025 09:41:55"/>
        <s v="14 Jan 2025 12:25:40"/>
        <s v="14 Jan 2025 12:36:29"/>
        <s v="14 Jan 2025 12:37:56"/>
        <s v="14 Jan 2025 18:35:33"/>
        <s v="14 Jan 2025 19:53:22"/>
        <s v="14 Jan 2025 19:53:27"/>
        <s v="14 Jan 2025 20:40:17"/>
        <s v="15 Jan 2025 20:05:57"/>
        <s v="15 Jan 2025 20:19:09"/>
        <s v="16 Jan 2025 10:59:41"/>
        <s v="16 Jan 2025 13:24:42"/>
        <s v="16 Jan 2025 13:44:19"/>
        <s v="16 Jan 2025 16:36:12"/>
        <s v="16 Jan 2025 16:37:16"/>
        <s v="16 Jan 2025 16:38:24"/>
        <s v="16 Jan 2025 16:38:47"/>
        <s v="16 Jan 2025 16:39:13"/>
        <s v="16 Jan 2025 16:39:56"/>
        <s v="16 Jan 2025 16:40:50"/>
        <s v="17 Jan 2025 01:47:59"/>
        <s v="17 Jan 2025 08:50:51"/>
        <s v="17 Jan 2025 10:41:56"/>
        <s v="17 Jan 2025 13:06:43"/>
        <s v="17 Jan 2025 13:18:11"/>
        <s v="17 Jan 2025 20:44:49"/>
        <s v="18 Jan 2025 08:20:12"/>
        <s v="18 Jan 2025 08:20:17"/>
        <s v="18 Jan 2025 08:25:44"/>
        <s v="18 Jan 2025 08:42:12"/>
        <s v="18 Jan 2025 08:43:52"/>
        <s v="18 Jan 2025 08:50:22"/>
        <s v="18 Jan 2025 10:26:49"/>
        <s v="18 Jan 2025 12:10:15"/>
        <s v="18 Jan 2025 19:11:47"/>
        <s v="19 Jan 2025 07:05:13"/>
        <s v="19 Jan 2025 09:17:12"/>
        <s v="19 Jan 2025 11:28:04"/>
        <s v="19 Jan 2025 13:02:13"/>
        <s v="19 Jan 2025 13:38:19"/>
        <s v="19 Jan 2025 16:18:03"/>
        <s v="19 Jan 2025 19:43:44"/>
        <s v="20 Jan 2025 09:27:51"/>
        <s v="20 Jan 2025 09:27:56"/>
        <s v="20 Jan 2025 09:37:35"/>
        <s v="20 Jan 2025 10:07:41"/>
        <s v="20 Jan 2025 10:07:56"/>
        <s v="20 Jan 2025 10:28:05"/>
        <s v="20 Jan 2025 13:34:31"/>
        <s v="20 Jan 2025 14:15:45"/>
        <s v="20 Jan 2025 15:41:28"/>
        <s v="20 Jan 2025 17:24:06"/>
        <s v="20 Jan 2025 18:56:45"/>
        <s v="21 Jan 2025 07:55:14"/>
        <s v="21 Jan 2025 08:02:14"/>
        <s v="21 Jan 2025 08:39:40"/>
        <s v="21 Jan 2025 11:16:39"/>
        <s v="21 Jan 2025 11:35:33"/>
        <s v="21 Jan 2025 15:17:27"/>
        <s v="21 Jan 2025 17:14:51"/>
        <s v="21 Jan 2025 17:54:08"/>
        <s v="22 Jan 2025 13:13:44"/>
        <s v="22 Jan 2025 15:35:23"/>
        <s v="22 Jan 2025 15:56:10"/>
        <s v="22 Jan 2025 16:55:28"/>
        <s v="22 Jan 2025 16:58:26"/>
        <s v="22 Jan 2025 19:01:18"/>
        <s v="22 Jan 2025 20:16:57"/>
        <s v="23 Jan 2025 05:54:55"/>
        <s v="23 Jan 2025 07:45:46"/>
        <s v="23 Jan 2025 07:45:52"/>
        <s v="23 Jan 2025 08:16:50"/>
        <s v="23 Jan 2025 13:38:21"/>
        <s v="23 Jan 2025 13:56:38"/>
        <s v="23 Jan 2025 14:04:40"/>
        <s v="23 Jan 2025 16:08:33"/>
        <s v="23 Jan 2025 16:14:02"/>
        <s v="23 Jan 2025 16:17:24"/>
        <s v="23 Jan 2025 16:24:46"/>
        <s v="23 Jan 2025 19:53:21"/>
        <s v="24 Jan 2025 07:20:36"/>
        <s v="24 Jan 2025 14:33:12"/>
        <s v="25 Jan 2025 09:31:38"/>
        <s v="25 Jan 2025 09:34:06"/>
        <s v="25 Jan 2025 09:46:19"/>
        <s v="25 Jan 2025 12:25:44"/>
        <s v="25 Jan 2025 12:27:28"/>
        <s v="25 Jan 2025 12:43:20"/>
        <s v="25 Jan 2025 16:01:24"/>
        <s v="25 Jan 2025 16:01:29"/>
        <s v="25 Jan 2025 16:18:07"/>
        <s v="25 Jan 2025 17:10:22"/>
        <s v="25 Jan 2025 17:11:46"/>
        <s v="25 Jan 2025 18:28:39"/>
        <s v="25 Jan 2025 19:12:33"/>
        <s v="25 Jan 2025 19:55:30"/>
        <s v="25 Jan 2025 20:38:25"/>
        <s v="26 Jan 2025 03:24:41"/>
        <s v="26 Jan 2025 08:35:16"/>
        <s v="26 Jan 2025 08:44:19"/>
        <s v="26 Jan 2025 08:49:43"/>
        <s v="26 Jan 2025 08:51:56"/>
        <s v="26 Jan 2025 15:04:46"/>
        <s v="26 Jan 2025 20:23:14"/>
        <s v="27 Jan 2025 08:33:03"/>
        <s v="27 Jan 2025 13:27:55"/>
        <s v="27 Jan 2025 13:55:03"/>
        <s v="27 Jan 2025 15:59:59"/>
        <s v="27 Jan 2025 17:44:27"/>
        <s v="27 Jan 2025 17:45:27"/>
        <s v="27 Jan 2025 19:22:42"/>
        <s v="28 Jan 2025 05:12:35"/>
        <s v="28 Jan 2025 05:13:12"/>
        <s v="28 Jan 2025 05:26:01"/>
        <s v="28 Jan 2025 12:24:35"/>
        <s v="28 Jan 2025 13:19:49"/>
        <s v="28 Jan 2025 13:40:44"/>
        <s v="28 Jan 2025 13:41:49"/>
        <s v="28 Jan 2025 22:20:00"/>
        <s v="29 Jan 2025 07:22:55"/>
        <s v="29 Jan 2025 09:31:30"/>
        <s v="29 Jan 2025 09:34:25"/>
        <s v="29 Jan 2025 21:19:03"/>
        <s v="29 Jan 2025 21:25:48"/>
        <s v="30 Jan 2025 09:35:11"/>
        <s v="30 Jan 2025 16:03:40"/>
        <s v="30 Jan 2025 16:06:29"/>
        <s v="31 Jan 2025 08:34:01"/>
        <s v="31 Jan 2025 20:13:11"/>
        <s v="31 Jan 2025 20:13:16"/>
        <s v="31 Jan 2025 20:18:37"/>
        <s v="31 Jan 2025 20:19:11"/>
        <s v="01 Feb 2025 08:31:00"/>
        <s v="01 Feb 2025 08:31:06"/>
        <s v="01 Feb 2025 08:49:57"/>
        <s v="01 Feb 2025 08:50:17"/>
        <s v="01 Feb 2025 12:59:20"/>
        <s v="01 Feb 2025 13:57:32"/>
        <s v="02 Feb 2025 05:22:35"/>
        <s v="02 Feb 2025 06:37:46"/>
        <s v="02 Feb 2025 08:04:52"/>
        <s v="02 Feb 2025 09:00:55"/>
        <s v="02 Feb 2025 14:44:28"/>
        <s v="02 Feb 2025 16:46:40"/>
        <s v="03 Feb 2025 09:53:45"/>
        <s v="03 Feb 2025 10:36:18"/>
        <s v="03 Feb 2025 12:59:18"/>
        <s v="03 Feb 2025 16:45:02"/>
        <s v="03 Feb 2025 17:53:45"/>
        <s v="03 Feb 2025 17:54:25"/>
        <s v="03 Feb 2025 19:08:05"/>
        <s v="03 Feb 2025 19:11:24"/>
        <s v="03 Feb 2025 20:13:46"/>
        <s v="04 Feb 2025 07:24:53"/>
        <s v="04 Feb 2025 07:24:57"/>
        <s v="04 Feb 2025 07:25:45"/>
        <s v="04 Feb 2025 07:26:54"/>
        <s v="04 Feb 2025 07:34:33"/>
        <s v="04 Feb 2025 09:07:42"/>
        <s v="04 Feb 2025 15:18:27"/>
        <s v="04 Feb 2025 15:35:24"/>
        <s v="04 Feb 2025 15:54:40"/>
        <s v="04 Feb 2025 20:27:21"/>
        <s v="05 Feb 2025 10:29:32"/>
        <s v="05 Feb 2025 12:17:19"/>
        <s v="05 Feb 2025 13:45:13"/>
        <s v="05 Feb 2025 14:45:00"/>
        <s v="06 Feb 2025 08:22:09"/>
        <s v="06 Feb 2025 09:37:56"/>
        <s v="06 Feb 2025 10:24:35"/>
        <s v="06 Feb 2025 10:45:13"/>
        <s v="06 Feb 2025 11:43:23"/>
        <s v="06 Feb 2025 15:10:14"/>
        <s v="06 Feb 2025 15:10:39"/>
        <s v="07 Feb 2025 15:50:52"/>
        <s v="07 Feb 2025 17:21:52"/>
        <s v="07 Feb 2025 17:22:07"/>
        <s v="07 Feb 2025 21:26:52"/>
        <s v="08 Feb 2025 09:46:22"/>
        <s v="08 Feb 2025 09:58:10"/>
        <s v="08 Feb 2025 10:19:07"/>
        <s v="08 Feb 2025 10:26:25"/>
        <s v="08 Feb 2025 13:37:29"/>
        <s v="08 Feb 2025 16:19:24"/>
        <s v="08 Feb 2025 16:19:53"/>
        <s v="08 Feb 2025 16:33:30"/>
        <s v="08 Feb 2025 16:33:35"/>
        <s v="08 Feb 2025 16:35:09"/>
        <s v="08 Feb 2025 16:37:05"/>
        <s v="08 Feb 2025 16:37:11"/>
        <s v="08 Feb 2025 16:38:00"/>
        <s v="08 Feb 2025 17:52:40"/>
        <s v="09 Feb 2025 08:18:46"/>
        <s v="09 Feb 2025 16:26:43"/>
        <s v="09 Feb 2025 16:28:50"/>
        <s v="09 Feb 2025 16:30:06"/>
        <s v="09 Feb 2025 16:42:10"/>
        <s v="09 Feb 2025 16:42:16"/>
        <s v="09 Feb 2025 19:50:55"/>
        <s v="09 Feb 2025 20:01:01"/>
        <s v="09 Feb 2025 21:35:20"/>
        <s v="10 Feb 2025 07:34:50"/>
        <s v="10 Feb 2025 14:01:02"/>
        <s v="10 Feb 2025 23:25:37"/>
        <s v="11 Feb 2025 08:32:13"/>
        <s v="11 Feb 2025 08:37:47"/>
        <s v="11 Feb 2025 13:27:46"/>
        <s v="11 Feb 2025 13:27:52"/>
        <s v="11 Feb 2025 13:29:17"/>
        <s v="11 Feb 2025 14:15:07"/>
        <s v="11 Feb 2025 14:15:14"/>
        <s v="13 Feb 2025 06:02:22"/>
        <s v="13 Feb 2025 06:27:37"/>
        <s v="13 Feb 2025 06:40:05"/>
        <s v="13 Feb 2025 11:04:01"/>
        <s v="13 Feb 2025 16:15:42"/>
        <s v="13 Feb 2025 18:34:38"/>
        <s v="14 Feb 2025 17:22:05"/>
        <s v="14 Feb 2025 21:36:15"/>
        <s v="15 Feb 2025 18:58:58"/>
        <s v="15 Feb 2025 19:05:41"/>
        <s v="16 Feb 2025 08:05:42"/>
        <s v="16 Feb 2025 08:10:04"/>
        <s v="16 Feb 2025 11:48:39"/>
        <s v="16 Feb 2025 11:54:12"/>
        <s v="16 Feb 2025 11:57:38"/>
        <s v="16 Feb 2025 13:46:30"/>
        <s v="16 Feb 2025 17:09:03"/>
        <s v="16 Feb 2025 17:36:50"/>
        <s v="16 Feb 2025 19:02:09"/>
        <s v="16 Feb 2025 19:02:48"/>
        <s v="17 Feb 2025 09:12:18"/>
        <s v="17 Feb 2025 12:18:41"/>
        <s v="17 Feb 2025 16:56:39"/>
        <s v="17 Feb 2025 17:03:39"/>
        <s v="17 Feb 2025 17:10:30"/>
        <s v="17 Feb 2025 17:10:55"/>
        <s v="17 Feb 2025 19:18:09"/>
        <s v="17 Feb 2025 20:07:05"/>
        <s v="18 Feb 2025 07:48:14"/>
        <s v="18 Feb 2025 14:17:32"/>
        <s v="18 Feb 2025 18:14:22"/>
        <s v="18 Feb 2025 19:08:55"/>
        <s v="18 Feb 2025 19:26:47"/>
        <s v="19 Feb 2025 07:51:51"/>
        <s v="19 Feb 2025 07:55:31"/>
        <s v="19 Feb 2025 07:58:04"/>
        <s v="19 Feb 2025 12:39:15"/>
        <s v="19 Feb 2025 17:17:48"/>
        <s v="19 Feb 2025 22:26:40"/>
        <s v="20 Feb 2025 07:07:03"/>
        <s v="20 Feb 2025 07:11:29"/>
        <s v="20 Feb 2025 07:11:35"/>
        <s v="20 Feb 2025 07:15:35"/>
        <s v="20 Feb 2025 07:54:14"/>
        <s v="20 Feb 2025 07:57:15"/>
        <s v="20 Feb 2025 12:20:07"/>
        <s v="20 Feb 2025 12:21:28"/>
        <s v="20 Feb 2025 15:09:10"/>
        <s v="20 Feb 2025 16:26:14"/>
        <s v="20 Feb 2025 16:31:36"/>
        <s v="20 Feb 2025 16:32:00"/>
        <s v="20 Feb 2025 16:35:15"/>
        <s v="20 Feb 2025 17:24:20"/>
        <s v="20 Feb 2025 17:38:25"/>
        <s v="20 Feb 2025 17:41:08"/>
        <s v="20 Feb 2025 19:33:07"/>
        <s v="21 Feb 2025 07:43:24"/>
        <s v="21 Feb 2025 07:44:34"/>
        <s v="21 Feb 2025 09:36:29"/>
        <s v="21 Feb 2025 12:12:03"/>
        <s v="21 Feb 2025 17:48:51"/>
        <s v="22 Feb 2025 08:51:02"/>
        <s v="22 Feb 2025 08:51:07"/>
        <s v="22 Feb 2025 08:52:05"/>
        <s v="22 Feb 2025 08:52:42"/>
        <s v="22 Feb 2025 08:58:22"/>
        <s v="22 Feb 2025 10:32:20"/>
        <s v="22 Feb 2025 11:56:12"/>
        <s v="22 Feb 2025 12:23:30"/>
        <s v="22 Feb 2025 17:45:09"/>
        <s v="22 Feb 2025 17:46:01"/>
        <s v="22 Feb 2025 19:13:36"/>
        <s v="22 Feb 2025 19:14:38"/>
        <s v="23 Feb 2025 07:20:48"/>
        <s v="23 Feb 2025 10:26:51"/>
        <s v="23 Feb 2025 10:53:16"/>
        <s v="23 Feb 2025 12:54:08"/>
        <s v="23 Feb 2025 13:29:50"/>
        <s v="23 Feb 2025 14:40:57"/>
        <s v="24 Feb 2025 15:18:02"/>
        <s v="24 Feb 2025 20:21:31"/>
        <s v="24 Feb 2025 20:52:05"/>
        <s v="25 Feb 2025 11:21:15"/>
        <s v="25 Feb 2025 12:07:08"/>
        <s v="25 Feb 2025 13:03:33"/>
        <s v="25 Feb 2025 19:59:50"/>
        <s v="25 Feb 2025 21:05:45"/>
        <s v="26 Feb 2025 06:31:23"/>
        <s v="26 Feb 2025 07:12:10"/>
        <s v="26 Feb 2025 12:38:48"/>
        <s v="26 Feb 2025 12:39:25"/>
        <s v="26 Feb 2025 13:29:57"/>
        <s v="26 Feb 2025 15:25:16"/>
        <s v="26 Feb 2025 16:36:11"/>
        <s v="26 Feb 2025 17:02:59"/>
        <s v="26 Feb 2025 19:29:41"/>
        <s v="27 Feb 2025 08:41:25"/>
        <s v="27 Feb 2025 18:43:29"/>
        <s v="28 Feb 2025 10:45:17"/>
        <s v="28 Feb 2025 10:50:29"/>
        <s v="28 Feb 2025 10:53:57"/>
        <s v="28 Feb 2025 19:08:11"/>
        <s v="28 Feb 2025 20:13:13"/>
        <s v="28 Feb 2025 20:14:51"/>
        <s v="28 Feb 2025 20:30:17"/>
        <s v="28 Feb 2025 21:16:01"/>
        <s v="01 Mar 2025 13:18:50"/>
        <s v="01 Mar 2025 13:43:23"/>
        <s v="01 Mar 2025 15:50:05"/>
        <s v="01 Mar 2025 15:50:28"/>
        <s v="01 Mar 2025 16:51:20"/>
        <s v="01 Mar 2025 17:38:53"/>
        <s v="02 Mar 2025 09:59:16"/>
        <s v="02 Mar 2025 10:00:55"/>
        <s v="02 Mar 2025 12:05:01"/>
        <s v="02 Mar 2025 12:14:03"/>
        <s v="02 Mar 2025 12:29:43"/>
        <s v="02 Mar 2025 12:31:02"/>
        <s v="02 Mar 2025 15:55:28"/>
        <s v="02 Mar 2025 17:38:26"/>
        <s v="03 Mar 2025 03:47:05"/>
        <s v="03 Mar 2025 14:03:43"/>
        <s v="03 Mar 2025 16:26:50"/>
        <s v="04 Mar 2025 07:40:13"/>
        <s v="04 Mar 2025 13:58:11"/>
        <s v="04 Mar 2025 14:49:55"/>
        <s v="04 Mar 2025 15:22:43"/>
        <s v="04 Mar 2025 15:49:57"/>
        <s v="05 Mar 2025 13:25:44"/>
        <s v="05 Mar 2025 14:31:55"/>
        <s v="05 Mar 2025 14:35:13"/>
        <s v="05 Mar 2025 15:45:02"/>
        <s v="06 Mar 2025 03:34:44"/>
        <s v="06 Mar 2025 15:21:01"/>
        <s v="07 Mar 2025 13:08:33"/>
        <s v="07 Mar 2025 19:49:34"/>
        <s v="08 Mar 2025 04:16:38"/>
        <s v="08 Mar 2025 04:44:33"/>
        <s v="08 Mar 2025 07:56:46"/>
        <s v="08 Mar 2025 10:26:27"/>
        <s v="08 Mar 2025 14:13:31"/>
        <s v="08 Mar 2025 14:57:33"/>
        <s v="08 Mar 2025 15:43:47"/>
        <s v="08 Mar 2025 15:47:21"/>
        <s v="08 Mar 2025 15:47:27"/>
        <s v="08 Mar 2025 15:54:45"/>
        <s v="08 Mar 2025 17:04:39"/>
        <s v="08 Mar 2025 19:02:27"/>
        <s v="08 Mar 2025 21:16:05"/>
        <s v="08 Mar 2025 21:57:39"/>
        <s v="09 Mar 2025 04:14:42"/>
        <s v="09 Mar 2025 07:31:19"/>
        <s v="09 Mar 2025 07:31:31"/>
        <s v="09 Mar 2025 11:50:11"/>
        <s v="09 Mar 2025 16:02:13"/>
        <s v="09 Mar 2025 17:54:52"/>
        <s v="10 Mar 2025 03:29:26"/>
        <s v="10 Mar 2025 03:32:07"/>
        <s v="10 Mar 2025 04:09:29"/>
        <s v="10 Mar 2025 10:15:53"/>
        <s v="10 Mar 2025 11:27:52"/>
        <s v="10 Mar 2025 16:16:53"/>
        <s v="11 Mar 2025 03:42:14"/>
        <s v="11 Mar 2025 12:46:13"/>
        <s v="11 Mar 2025 13:26:44"/>
        <s v="11 Mar 2025 13:42:55"/>
        <s v="11 Mar 2025 13:43:01"/>
        <s v="11 Mar 2025 13:45:07"/>
        <s v="11 Mar 2025 14:02:09"/>
        <s v="11 Mar 2025 14:22:05"/>
        <s v="11 Mar 2025 15:23:36"/>
        <s v="11 Mar 2025 15:51:04"/>
        <s v="11 Mar 2025 17:36:36"/>
        <s v="11 Mar 2025 19:31:29"/>
        <s v="12 Mar 2025 00:12:27"/>
        <s v="12 Mar 2025 04:04:39"/>
        <s v="12 Mar 2025 10:55:17"/>
        <s v="12 Mar 2025 17:43:55"/>
        <s v="12 Mar 2025 17:44:40"/>
        <s v="13 Mar 2025 03:25:01"/>
        <s v="13 Mar 2025 03:28:20"/>
        <s v="13 Mar 2025 04:14:16"/>
        <s v="13 Mar 2025 12:19:47"/>
        <s v="13 Mar 2025 12:44:12"/>
        <s v="13 Mar 2025 15:11:09"/>
        <s v="13 Mar 2025 17:54:34"/>
        <s v="14 Mar 2025 09:05:17"/>
        <s v="14 Mar 2025 14:07:45"/>
        <s v="14 Mar 2025 20:23:24"/>
        <s v="15 Mar 2025 03:24:25"/>
        <s v="15 Mar 2025 07:35:23"/>
        <s v="15 Mar 2025 11:09:35"/>
        <s v="15 Mar 2025 12:52:55"/>
        <s v="15 Mar 2025 12:58:12"/>
        <s v="15 Mar 2025 13:05:42"/>
        <s v="15 Mar 2025 13:08:11"/>
        <s v="15 Mar 2025 13:19:26"/>
        <s v="15 Mar 2025 13:20:20"/>
        <s v="15 Mar 2025 13:26:42"/>
        <s v="15 Mar 2025 15:02:55"/>
        <s v="15 Mar 2025 15:03:32"/>
        <s v="15 Mar 2025 15:05:47"/>
        <s v="15 Mar 2025 15:46:54"/>
        <s v="15 Mar 2025 17:02:26"/>
        <s v="15 Mar 2025 17:24:09"/>
        <s v="15 Mar 2025 18:57:28"/>
        <s v="16 Mar 2025 03:43:14"/>
        <s v="16 Mar 2025 03:43:51"/>
        <s v="16 Mar 2025 15:56:56"/>
        <s v="16 Mar 2025 17:24:57"/>
        <s v="16 Mar 2025 18:04:20"/>
        <s v="16 Mar 2025 18:05:07"/>
        <s v="16 Mar 2025 18:46:02"/>
        <s v="16 Mar 2025 18:49:57"/>
        <s v="16 Mar 2025 19:36:23"/>
        <s v="17 Mar 2025 03:32:35"/>
        <s v="17 Mar 2025 03:32:36"/>
        <s v="17 Mar 2025 17:19:04"/>
        <s v="17 Mar 2025 18:46:26"/>
        <s v="17 Mar 2025 19:37:04"/>
        <s v="18 Mar 2025 03:41:04"/>
        <s v="18 Mar 2025 04:05:22"/>
        <s v="18 Mar 2025 04:07:34"/>
        <s v="18 Mar 2025 04:08:19"/>
        <s v="18 Mar 2025 07:56:04"/>
        <s v="18 Mar 2025 09:43:01"/>
        <s v="18 Mar 2025 16:47:28"/>
        <s v="18 Mar 2025 17:05:30"/>
        <s v="18 Mar 2025 17:06:21"/>
        <s v="18 Mar 2025 17:27:08"/>
        <s v="18 Mar 2025 18:30:30"/>
        <s v="19 Mar 2025 09:01:59"/>
        <s v="19 Mar 2025 09:02:33"/>
        <s v="19 Mar 2025 16:41:31"/>
        <s v="19 Mar 2025 16:58:45"/>
        <s v="19 Mar 2025 17:01:56"/>
        <s v="19 Mar 2025 17:28:10"/>
        <s v="19 Mar 2025 17:46:44"/>
        <s v="20 Mar 2025 10:00:04"/>
        <s v="20 Mar 2025 10:36:53"/>
        <s v="20 Mar 2025 16:07:30"/>
        <s v="20 Mar 2025 18:16:20"/>
        <s v="21 Mar 2025 11:11:50"/>
        <s v="21 Mar 2025 11:11:56"/>
        <s v="21 Mar 2025 11:13:46"/>
        <s v="21 Mar 2025 11:14:15"/>
        <s v="21 Mar 2025 11:19:46"/>
        <s v="21 Mar 2025 11:25:16"/>
        <s v="21 Mar 2025 12:06:50"/>
        <s v="21 Mar 2025 15:24:06"/>
        <s v="21 Mar 2025 16:00:07"/>
        <s v="21 Mar 2025 16:35:32"/>
        <s v="21 Mar 2025 16:43:27"/>
        <s v="21 Mar 2025 21:32:28"/>
        <s v="22 Mar 2025 08:53:57"/>
        <s v="22 Mar 2025 09:24:12"/>
        <s v="22 Mar 2025 10:01:07"/>
        <s v="22 Mar 2025 11:03:37"/>
        <s v="22 Mar 2025 11:22:10"/>
        <s v="22 Mar 2025 12:14:13"/>
        <s v="22 Mar 2025 17:44:56"/>
        <s v="23 Mar 2025 10:36:34"/>
        <s v="23 Mar 2025 15:38:39"/>
        <s v="23 Mar 2025 17:32:42"/>
        <s v="23 Mar 2025 22:05:30"/>
        <s v="24 Mar 2025 09:37:35"/>
        <s v="24 Mar 2025 13:24:34"/>
        <s v="24 Mar 2025 14:39:58"/>
        <s v="24 Mar 2025 14:40:04"/>
        <s v="24 Mar 2025 14:41:25"/>
        <s v="24 Mar 2025 14:48:16"/>
        <s v="24 Mar 2025 14:58:31"/>
        <s v="25 Mar 2025 03:33:31"/>
        <s v="25 Mar 2025 03:33:36"/>
        <s v="25 Mar 2025 03:40:58"/>
        <s v="25 Mar 2025 03:42:47"/>
        <s v="25 Mar 2025 15:18:27"/>
        <s v="25 Mar 2025 17:44:22"/>
        <s v="25 Mar 2025 18:06:04"/>
        <s v="26 Mar 2025 04:10:14"/>
        <s v="26 Mar 2025 14:27:49"/>
        <s v="26 Mar 2025 16:29:02"/>
        <s v="26 Mar 2025 16:52:56"/>
        <s v="26 Mar 2025 19:05:19"/>
        <s v="26 Mar 2025 20:23:11"/>
        <s v="27 Mar 2025 09:24:07"/>
        <s v="27 Mar 2025 16:10:48"/>
        <s v="27 Mar 2025 16:14:45"/>
        <s v="27 Mar 2025 16:16:05"/>
        <s v="27 Mar 2025 16:21:58"/>
        <s v="28 Mar 2025 09:43:20"/>
        <s v="28 Mar 2025 13:19:24"/>
        <s v="28 Mar 2025 13:19:31"/>
        <s v="28 Mar 2025 14:41:32"/>
        <s v="28 Mar 2025 16:39:38"/>
        <s v="28 Mar 2025 17:35:37"/>
        <s v="28 Mar 2025 17:38:59"/>
        <s v="29 Mar 2025 06:38:20"/>
        <s v="29 Mar 2025 17:00:56"/>
        <s v="29 Mar 2025 19:28:19"/>
        <s v="29 Mar 2025 19:39:09"/>
        <s v="30 Mar 2025 06:59:53"/>
        <s v="30 Mar 2025 13:27:53"/>
        <s v="30 Mar 2025 18:31:40"/>
        <s v="31 Mar 2025 11:02:52"/>
        <s v="31 Mar 2025 11:16:48"/>
        <s v="01 Apr 2025 09:43:47"/>
        <s v="01 Apr 2025 13:53:28"/>
        <s v="02 Apr 2025 11:09:04"/>
        <s v="02 Apr 2025 17:18:33"/>
        <s v="02 Apr 2025 18:09:38"/>
        <s v="03 Apr 2025 10:19:43"/>
        <s v="03 Apr 2025 10:20:19"/>
        <s v="04 Apr 2025 05:29:03"/>
        <s v="04 Apr 2025 10:07:59"/>
        <s v="04 Apr 2025 11:49:33"/>
        <s v="04 Apr 2025 13:37:29"/>
        <s v="04 Apr 2025 13:37:56"/>
        <s v="05 Apr 2025 05:58:13"/>
        <s v="05 Apr 2025 07:12:55"/>
        <s v="05 Apr 2025 12:41:46"/>
        <s v="05 Apr 2025 14:45:23"/>
        <s v="05 Apr 2025 16:07:57"/>
        <s v="05 Apr 2025 16:08:02"/>
        <s v="05 Apr 2025 16:09:31"/>
        <s v="05 Apr 2025 16:10:25"/>
        <s v="05 Apr 2025 18:12:28"/>
        <s v="05 Apr 2025 18:27:03"/>
        <s v="05 Apr 2025 19:36:42"/>
        <s v="06 Apr 2025 06:34:57"/>
        <s v="06 Apr 2025 08:59:02"/>
        <s v="06 Apr 2025 09:15:41"/>
        <s v="06 Apr 2025 09:33:50"/>
        <s v="06 Apr 2025 09:41:36"/>
        <s v="06 Apr 2025 10:35:49"/>
        <s v="06 Apr 2025 21:10:40"/>
        <s v="06 Apr 2025 22:19:35"/>
        <s v="06 Apr 2025 23:10:09"/>
        <s v="07 Apr 2025 05:47:02"/>
        <s v="07 Apr 2025 08:15:30"/>
        <s v="07 Apr 2025 08:15:35"/>
        <s v="07 Apr 2025 08:17:11"/>
        <s v="07 Apr 2025 17:54:51"/>
        <s v="07 Apr 2025 18:21:34"/>
        <s v="09 Apr 2025 22:42:44"/>
        <s v="09 Apr 2025 22:42:49"/>
        <s v="09 Apr 2025 22:46:29"/>
        <s v="09 Apr 2025 23:16:19"/>
        <s v="10 Apr 2025 07:54:54"/>
        <s v="10 Apr 2025 07:55:00"/>
        <s v="10 Apr 2025 07:56:35"/>
        <s v="10 Apr 2025 09:07:23"/>
        <s v="10 Apr 2025 10:17:08"/>
        <s v="10 Apr 2025 12:46:00"/>
        <s v="10 Apr 2025 22:51:10"/>
        <s v="11 Apr 2025 07:26:46"/>
        <s v="11 Apr 2025 07:28:21"/>
        <s v="11 Apr 2025 16:57:32"/>
        <s v="12 Apr 2025 13:14:33"/>
        <s v="12 Apr 2025 13:17:29"/>
        <s v="12 Apr 2025 15:47:32"/>
        <s v="12 Apr 2025 15:47:37"/>
        <s v="12 Apr 2025 15:48:49"/>
        <s v="12 Apr 2025 16:03:56"/>
        <s v="12 Apr 2025 16:06:58"/>
        <s v="12 Apr 2025 16:16:48"/>
        <s v="12 Apr 2025 16:48:48"/>
        <s v="12 Apr 2025 18:28:38"/>
        <s v="12 Apr 2025 18:35:07"/>
        <s v="12 Apr 2025 21:56:55"/>
        <s v="13 Apr 2025 09:13:47"/>
        <s v="13 Apr 2025 13:30:08"/>
        <s v="13 Apr 2025 16:48:48"/>
        <s v="13 Apr 2025 20:22:29"/>
        <s v="13 Apr 2025 21:31:24"/>
        <s v="14 Apr 2025 05:57:58"/>
        <s v="14 Apr 2025 08:19:12"/>
        <s v="14 Apr 2025 08:49:38"/>
        <s v="14 Apr 2025 10:05:42"/>
        <s v="14 Apr 2025 11:39:40"/>
        <s v="14 Apr 2025 13:02:20"/>
        <s v="14 Apr 2025 15:51:46"/>
        <s v="14 Apr 2025 17:19:19"/>
        <s v="14 Apr 2025 17:23:38"/>
        <s v="14 Apr 2025 17:35:57"/>
        <s v="14 Apr 2025 18:04:11"/>
        <s v="14 Apr 2025 20:59:55"/>
        <s v="15 Apr 2025 07:27:35"/>
        <s v="15 Apr 2025 07:55:39"/>
        <s v="15 Apr 2025 15:16:06"/>
        <s v="15 Apr 2025 18:05:15"/>
        <s v="16 Apr 2025 07:29:10"/>
        <s v="16 Apr 2025 08:24:25"/>
        <s v="16 Apr 2025 11:23:06"/>
        <s v="16 Apr 2025 13:23:04"/>
        <s v="16 Apr 2025 13:24:04"/>
        <s v="16 Apr 2025 13:26:28"/>
        <s v="16 Apr 2025 18:26:25"/>
        <s v="16 Apr 2025 19:08:26"/>
        <s v="17 Apr 2025 03:14:13"/>
        <s v="17 Apr 2025 03:14:19"/>
        <s v="17 Apr 2025 05:48:07"/>
        <s v="17 Apr 2025 05:59:06"/>
        <s v="17 Apr 2025 09:53:44"/>
        <s v="17 Apr 2025 10:57:04"/>
        <s v="17 Apr 2025 12:57:48"/>
        <s v="17 Apr 2025 15:47:07"/>
        <s v="17 Apr 2025 17:03:38"/>
        <s v="17 Apr 2025 19:39:26"/>
        <s v="18 Apr 2025 20:09:07"/>
        <s v="19 Apr 2025 07:51:45"/>
        <s v="19 Apr 2025 18:24:54"/>
        <s v="20 Apr 2025 08:17:55"/>
        <s v="20 Apr 2025 15:10:40"/>
        <s v="21 Apr 2025 11:12:17"/>
        <s v="22 Apr 2025 03:26:00"/>
        <s v="22 Apr 2025 03:26:10"/>
        <s v="22 Apr 2025 03:26:50"/>
        <s v="22 Apr 2025 03:27:45"/>
        <s v="22 Apr 2025 03:31:29"/>
        <s v="22 Apr 2025 03:35:38"/>
        <s v="22 Apr 2025 03:41:37"/>
        <s v="22 Apr 2025 07:36:37"/>
        <s v="22 Apr 2025 08:56:12"/>
        <s v="22 Apr 2025 12:15:18"/>
        <s v="22 Apr 2025 13:22:25"/>
        <s v="22 Apr 2025 20:32:54"/>
        <s v="22 Apr 2025 21:42:46"/>
        <s v="23 Apr 2025 05:47:00"/>
        <s v="23 Apr 2025 05:47:06"/>
        <s v="23 Apr 2025 06:13:05"/>
        <s v="23 Apr 2025 06:14:44"/>
        <s v="23 Apr 2025 06:36:53"/>
        <s v="23 Apr 2025 06:37:33"/>
        <s v="23 Apr 2025 09:00:47"/>
        <s v="23 Apr 2025 09:34:55"/>
        <s v="23 Apr 2025 09:49:03"/>
        <s v="23 Apr 2025 09:59:36"/>
        <s v="23 Apr 2025 12:36:40"/>
        <s v="23 Apr 2025 13:25:18"/>
        <s v="23 Apr 2025 15:06:02"/>
        <s v="23 Apr 2025 15:06:07"/>
        <s v="23 Apr 2025 15:07:50"/>
        <s v="23 Apr 2025 16:11:13"/>
        <s v="23 Apr 2025 16:15:34"/>
        <s v="24 Apr 2025 08:07:06"/>
        <s v="24 Apr 2025 09:12:46"/>
        <s v="24 Apr 2025 10:39:33"/>
        <s v="24 Apr 2025 16:20:07"/>
        <s v="24 Apr 2025 18:28:51"/>
        <s v="24 Apr 2025 18:35:48"/>
        <s v="24 Apr 2025 18:42:39"/>
        <s v="24 Apr 2025 19:03:15"/>
        <s v="25 Apr 2025 08:38:29"/>
        <s v="25 Apr 2025 10:38:27"/>
        <s v="25 Apr 2025 14:18:41"/>
        <s v="25 Apr 2025 18:47:09"/>
        <s v="25 Apr 2025 20:58:18"/>
        <s v="26 Apr 2025 09:15:44"/>
        <s v="26 Apr 2025 17:59:30"/>
        <s v="26 Apr 2025 18:19:45"/>
        <s v="26 Apr 2025 20:13:26"/>
        <s v="26 Apr 2025 20:13:31"/>
        <s v="26 Apr 2025 20:17:13"/>
        <s v="26 Apr 2025 21:38:14"/>
        <s v="26 Apr 2025 23:11:18"/>
        <s v="27 Apr 2025 08:52:50"/>
        <s v="27 Apr 2025 09:17:40"/>
        <s v="27 Apr 2025 11:40:47"/>
        <s v="27 Apr 2025 12:22:30"/>
        <s v="27 Apr 2025 16:53:42"/>
        <s v="27 Apr 2025 18:08:25"/>
        <s v="27 Apr 2025 20:31:22"/>
        <s v="28 Apr 2025 09:16:37"/>
        <s v="28 Apr 2025 10:36:22"/>
        <s v="28 Apr 2025 10:36:30"/>
        <s v="28 Apr 2025 10:47:53"/>
        <s v="28 Apr 2025 16:53:59"/>
        <s v="28 Apr 2025 17:00:55"/>
        <s v="28 Apr 2025 17:52:10"/>
        <s v="29 Apr 2025 07:57:16"/>
        <s v="29 Apr 2025 08:01:29"/>
        <s v="29 Apr 2025 09:51:23"/>
        <s v="29 Apr 2025 09:51:30"/>
        <s v="29 Apr 2025 11:31:52"/>
        <s v="29 Apr 2025 13:13:29"/>
        <s v="29 Apr 2025 13:13:33"/>
        <s v="29 Apr 2025 14:58:58"/>
        <s v="29 Apr 2025 14:59:05"/>
        <s v="29 Apr 2025 19:52:22"/>
        <s v="29 Apr 2025 19:52:28"/>
        <s v="30 Apr 2025 08:45:59"/>
        <s v="30 Apr 2025 08:46:05"/>
        <s v="30 Apr 2025 09:15:41"/>
        <s v="30 Apr 2025 09:18:18"/>
        <s v="30 Apr 2025 11:12:42"/>
        <s v="30 Apr 2025 11:15:35"/>
        <s v="30 Apr 2025 11:16:06"/>
        <s v="30 Apr 2025 11:35:29"/>
        <s v="30 Apr 2025 12:48:23"/>
        <s v="30 Apr 2025 17:59:22"/>
        <s v="30 Apr 2025 19:56:55"/>
        <s v="30 Apr 2025 21:07:13"/>
        <s v="01 May 2025 09:24:55"/>
        <s v="01 May 2025 10:25:36"/>
        <s v="01 May 2025 11:46:38"/>
        <s v="01 May 2025 11:46:44"/>
        <s v="01 May 2025 13:52:07"/>
        <s v="01 May 2025 16:36:18"/>
        <s v="01 May 2025 20:15:35"/>
        <s v="02 May 2025 08:41:16"/>
        <s v="02 May 2025 08:41:35"/>
        <s v="02 May 2025 08:51:43"/>
        <s v="02 May 2025 09:53:24"/>
        <s v="02 May 2025 16:08:51"/>
        <s v="02 May 2025 18:02:49"/>
        <s v="02 May 2025 19:38:42"/>
        <s v="03 May 2025 09:05:38"/>
        <s v="03 May 2025 09:58:08"/>
        <s v="03 May 2025 10:35:25"/>
        <s v="03 May 2025 10:35:30"/>
        <s v="03 May 2025 11:34:20"/>
        <s v="03 May 2025 16:06:26"/>
        <s v="03 May 2025 18:40:54"/>
        <s v="03 May 2025 19:49:20"/>
        <s v="03 May 2025 20:22:28"/>
        <s v="04 May 2025 05:12:44"/>
        <s v="04 May 2025 05:12:49"/>
        <s v="04 May 2025 08:22:40"/>
        <s v="04 May 2025 08:22:45"/>
        <s v="04 May 2025 08:53:09"/>
        <s v="04 May 2025 09:18:49"/>
        <s v="04 May 2025 12:45:24"/>
        <s v="04 May 2025 15:16:56"/>
        <s v="04 May 2025 18:08:20"/>
        <s v="04 May 2025 18:44:04"/>
        <s v="04 May 2025 18:56:58"/>
        <s v="05 May 2025 07:10:28"/>
        <s v="05 May 2025 07:10:34"/>
        <s v="05 May 2025 10:06:53"/>
        <s v="05 May 2025 10:07:00"/>
        <s v="05 May 2025 14:11:27"/>
        <s v="05 May 2025 14:11:32"/>
        <s v="05 May 2025 17:32:33"/>
        <s v="05 May 2025 17:37:29"/>
        <s v="06 May 2025 07:22:25"/>
        <s v="06 May 2025 07:38:23"/>
        <s v="06 May 2025 08:44:27"/>
        <s v="06 May 2025 17:23:12"/>
        <s v="07 May 2025 05:24:02"/>
        <s v="07 May 2025 05:54:53"/>
        <s v="07 May 2025 07:17:35"/>
        <s v="07 May 2025 09:30:40"/>
        <s v="07 May 2025 11:40:48"/>
        <s v="07 May 2025 12:14:45"/>
        <s v="07 May 2025 12:23:07"/>
        <s v="07 May 2025 12:53:17"/>
        <s v="07 May 2025 12:53:19"/>
        <s v="07 May 2025 12:54:39"/>
        <s v="07 May 2025 13:44:14"/>
        <s v="07 May 2025 15:14:10"/>
        <s v="07 May 2025 15:14:14"/>
        <s v="07 May 2025 15:17:33"/>
        <s v="07 May 2025 15:17:37"/>
        <s v="07 May 2025 18:32:39"/>
        <s v="07 May 2025 18:32:56"/>
        <s v="07 May 2025 19:03:10"/>
        <s v="07 May 2025 19:03:17"/>
        <s v="07 May 2025 19:43:23"/>
        <s v="07 May 2025 19:43:51"/>
        <s v="08 May 2025 07:23:11"/>
        <s v="08 May 2025 07:51:56"/>
        <s v="08 May 2025 11:41:29"/>
        <s v="08 May 2025 19:06:56"/>
        <s v="09 May 2025 07:24:51"/>
        <s v="09 May 2025 07:24:58"/>
        <s v="09 May 2025 08:14:31"/>
        <s v="09 May 2025 08:14:32"/>
        <s v="09 May 2025 08:39:25"/>
        <s v="09 May 2025 08:45:28"/>
        <s v="09 May 2025 08:45:53"/>
        <s v="09 May 2025 13:15:17"/>
        <s v="09 May 2025 18:12:29"/>
        <s v="10 May 2025 04:15:20"/>
        <s v="10 May 2025 04:15:55"/>
        <s v="10 May 2025 07:47:56"/>
        <s v="10 May 2025 13:22:07"/>
        <s v="10 May 2025 19:40:40"/>
        <s v="10 May 2025 20:44:43"/>
        <s v="11 May 2025 08:46:55"/>
        <s v="11 May 2025 08:51:01"/>
        <s v="11 May 2025 09:22:01"/>
        <s v="11 May 2025 09:22:22"/>
        <s v="11 May 2025 10:19:17"/>
        <s v="11 May 2025 10:22:15"/>
        <s v="11 May 2025 18:24:04"/>
        <s v="11 May 2025 18:24:06"/>
        <s v="11 May 2025 18:53:02"/>
        <s v="11 May 2025 19:53:27"/>
        <s v="11 May 2025 19:57:36"/>
        <s v="11 May 2025 19:58:46"/>
        <s v="12 May 2025 13:40:43"/>
        <s v="13 May 2025 12:30:46"/>
        <s v="13 May 2025 12:33:54"/>
        <s v="13 May 2025 19:28:09"/>
        <s v="14 May 2025 09:41:27"/>
        <s v="14 May 2025 10:29:08"/>
        <s v="14 May 2025 10:55:12"/>
        <s v="14 May 2025 13:54:01"/>
        <s v="14 May 2025 19:20:31"/>
        <s v="15 May 2025 08:28:39"/>
        <s v="15 May 2025 13:53:19"/>
        <s v="15 May 2025 18:55:42"/>
        <s v="15 May 2025 23:00:21"/>
        <s v="15 May 2025 23:38:44"/>
        <s v="16 May 2025 12:28:51"/>
        <s v="16 May 2025 18:20:47"/>
        <s v="16 May 2025 18:37:19"/>
        <s v="17 May 2025 07:14:40"/>
        <s v="17 May 2025 08:03:52"/>
        <s v="17 May 2025 08:46:54"/>
        <s v="17 May 2025 13:27:17"/>
        <s v="17 May 2025 16:41:55"/>
        <s v="17 May 2025 16:55:28"/>
        <s v="18 May 2025 08:23:50"/>
        <s v="18 May 2025 15:46:56"/>
        <s v="18 May 2025 16:13:00"/>
        <s v="19 May 2025 18:29:30"/>
        <s v="19 May 2025 18:40:09"/>
        <s v="19 May 2025 18:46:37"/>
        <s v="19 May 2025 18:50:14"/>
        <s v="19 May 2025 19:16:19"/>
        <s v="19 May 2025 19:18:24"/>
        <s v="20 May 2025 16:11:47"/>
        <s v="20 May 2025 16:47:02"/>
        <s v="21 May 2025 12:11:39"/>
        <s v="21 May 2025 12:29:49"/>
        <s v="22 May 2025 04:27:22"/>
        <s v="22 May 2025 04:27:23"/>
        <s v="22 May 2025 04:28:26"/>
        <s v="22 May 2025 05:07:32"/>
        <s v="22 May 2025 07:10:47"/>
        <s v="22 May 2025 09:00:47"/>
        <s v="22 May 2025 10:57:57"/>
        <s v="22 May 2025 13:35:27"/>
        <s v="23 May 2025 12:50:36"/>
        <s v="25 May 2025 07:44:59"/>
        <s v="25 May 2025 09:03:20"/>
        <s v="25 May 2025 15:07:43"/>
        <s v="25 May 2025 15:08:29"/>
        <s v="28 May 2025 09:46:30"/>
        <s v="28 May 2025 09:52:18"/>
        <s v="28 May 2025 13:04:50"/>
        <s v="28 May 2025 13:05:57"/>
        <s v="30 May 2025 21:17:02"/>
        <s v="31 May 2025 06:49:27"/>
        <s v="31 May 2025 06:56:54"/>
        <s v="31 May 2025 06:57:50"/>
        <s v="31 May 2025 10:00:48"/>
        <s v="01 Jun 2025 07:25:18"/>
        <s v="02 Jun 2025 13:34:59"/>
        <s v="02 Jun 2025 13:37:07"/>
        <s v="03 Jun 2025 04:48:43"/>
        <s v="03 Jun 2025 04:48:45"/>
        <s v="03 Jun 2025 06:08:22"/>
        <s v="03 Jun 2025 07:00:15"/>
        <s v="03 Jun 2025 07:25:30"/>
        <s v="03 Jun 2025 07:31:32"/>
        <s v="03 Jun 2025 07:57:13"/>
        <s v="03 Jun 2025 08:25:25"/>
        <s v="03 Jun 2025 13:09:26"/>
        <s v="03 Jun 2025 13:10:11"/>
        <s v="03 Jun 2025 20:15:54"/>
        <s v="04 Jun 2025 13:26:19"/>
        <s v="04 Jun 2025 13:31:14"/>
        <s v="04 Jun 2025 15:25:15"/>
        <s v="04 Jun 2025 20:46:38"/>
        <s v="04 Jun 2025 20:48:42"/>
        <s v="05 Jun 2025 10:20:26"/>
        <s v="06 Jun 2025 10:24:02"/>
        <s v="06 Jun 2025 18:42:55"/>
        <s v="06 Jun 2025 19:04:55"/>
        <s v="06 Jun 2025 19:42:14"/>
        <s v="07 Jun 2025 15:20:58"/>
        <s v="08 Jun 2025 15:42:17"/>
        <s v="08 Jun 2025 15:57:56"/>
        <s v="08 Jun 2025 16:18:22"/>
        <s v="08 Jun 2025 17:15:27"/>
        <s v="08 Jun 2025 19:30:17"/>
        <s v="08 Jun 2025 20:25:52"/>
        <s v="09 Jun 2025 06:44:56"/>
        <s v="09 Jun 2025 10:57:40"/>
        <s v="09 Jun 2025 16:08:02"/>
        <s v="09 Jun 2025 18:26:22"/>
        <s v="10 Jun 2025 11:14:13"/>
        <s v="10 Jun 2025 14:23:34"/>
        <s v="11 Jun 2025 03:59:33"/>
        <s v="11 Jun 2025 08:22:27"/>
        <s v="11 Jun 2025 11:42:51"/>
        <s v="11 Jun 2025 12:36:44"/>
        <s v="11 Jun 2025 13:26:41"/>
        <s v="11 Jun 2025 19:27:24"/>
        <s v="11 Jun 2025 21:51:33"/>
        <s v="12 Jun 2025 07:25:25"/>
        <s v="12 Jun 2025 08:05:30"/>
        <s v="12 Jun 2025 08:29:21"/>
        <s v="12 Jun 2025 08:57:24"/>
        <s v="13 Jun 2025 09:35:18"/>
        <s v="13 Jun 2025 13:16:25"/>
        <s v="13 Jun 2025 15:19:49"/>
        <s v="14 Jun 2025 18:18:11"/>
        <s v="15 Jun 2025 13:18:02"/>
        <s v="15 Jun 2025 13:31:18"/>
        <s v="15 Jun 2025 15:25:27"/>
        <s v="16 Jun 2025 08:18:16"/>
        <s v="16 Jun 2025 14:34:04"/>
        <s v="16 Jun 2025 14:34:05"/>
        <s v="16 Jun 2025 14:46:40"/>
        <s v="16 Jun 2025 14:49:14"/>
        <s v="16 Jun 2025 14:50:54"/>
        <s v="16 Jun 2025 15:20:03"/>
        <s v="16 Jun 2025 16:53:16"/>
        <s v="16 Jun 2025 18:17:17"/>
        <s v="17 Jun 2025 13:55:47"/>
        <s v="17 Jun 2025 17:29:01"/>
        <s v="17 Jun 2025 20:39:22"/>
        <s v="18 Jun 2025 06:50:31"/>
        <s v="18 Jun 2025 10:36:58"/>
        <s v="19 Jun 2025 10:39:44"/>
        <s v="19 Jun 2025 17:03:31"/>
        <s v="19 Jun 2025 18:09:27"/>
        <s v="19 Jun 2025 19:04:19"/>
        <s v="20 Jun 2025 08:07:28"/>
        <s v="20 Jun 2025 11:35:08"/>
        <s v="20 Jun 2025 13:50:07"/>
        <s v="21 Jun 2025 09:51:09"/>
        <s v="22 Jun 2025 11:43:19"/>
        <s v="22 Jun 2025 11:43:20"/>
        <s v="22 Jun 2025 11:48:41"/>
        <s v="22 Jun 2025 15:17:07"/>
        <s v="22 Jun 2025 15:20:04"/>
        <s v="24 Jun 2025 07:49:36"/>
        <s v="24 Jun 2025 07:49:41"/>
        <s v="24 Jun 2025 08:19:39"/>
        <s v="24 Jun 2025 15:50:51"/>
        <s v="25 Jun 2025 11:26:31"/>
        <s v="25 Jun 2025 12:32:02"/>
        <s v="25 Jun 2025 16:10:03"/>
        <s v="25 Jun 2025 18:19:17"/>
        <s v="25 Jun 2025 19:28:59"/>
        <s v="25 Jun 2025 20:01:56"/>
        <s v="27 Jun 2025 04:30:27"/>
        <s v="27 Jun 2025 11:40:15"/>
        <s v="27 Jun 2025 20:44:26"/>
        <s v="27 Jun 2025 20:44:28"/>
        <s v="27 Jun 2025 21:53:10"/>
        <s v="27 Jun 2025 22:07:50"/>
        <s v="27 Jun 2025 22:10:51"/>
        <s v="27 Jun 2025 22:57:16"/>
        <s v="27 Jun 2025 22:57:18"/>
        <s v="27 Jun 2025 22:58:23"/>
        <s v="28 Jun 2025 09:30:02"/>
        <s v="28 Jun 2025 12:22:24"/>
        <s v="28 Jun 2025 12:32:18"/>
        <s v="28 Jun 2025 14:06:42"/>
        <s v="28 Jun 2025 14:09:59"/>
        <s v="28 Jun 2025 14:13:45"/>
        <s v="28 Jun 2025 18:54:49"/>
        <s v="28 Jun 2025 19:50:20"/>
        <s v="28 Jun 2025 20:24:31"/>
        <s v="29 Jun 2025 08:01:50"/>
        <s v="29 Jun 2025 10:04:39"/>
        <s v="29 Jun 2025 10:04:42"/>
        <s v="29 Jun 2025 10:19:34"/>
        <s v="30 Jun 2025 15:42:57"/>
        <s v="30 Jun 2025 15:51:14"/>
        <s v="30 Jun 2025 15:52:23"/>
        <s v="30 Jun 2025 15:52:34"/>
        <s v="30 Jun 2025 16:10:26"/>
        <s v="30 Jun 2025 16:52:18"/>
        <s v="30 Jun 2025 16:54:58"/>
        <s v="30 Jun 2025 18:27:46"/>
        <s v="01 Jul 2025 11:06:57"/>
        <s v="01 Jul 2025 20:57:30"/>
        <s v="02 Jul 2025 08:32:07"/>
        <s v="02 Jul 2025 12:17:55"/>
        <s v="02 Jul 2025 16:05:58"/>
        <s v="02 Jul 2025 20:24:59"/>
        <s v="03 Jul 2025 08:57:56"/>
        <s v="04 Jul 2025 10:03:03"/>
        <s v="05 Jul 2025 16:23:42"/>
        <s v="06 Jul 2025 16:34:56"/>
        <s v="07 Jul 2025 10:00:31"/>
        <s v="07 Jul 2025 12:37:30"/>
        <s v="07 Jul 2025 20:14:16"/>
        <s v="07 Jul 2025 20:54:15"/>
        <s v="07 Jul 2025 21:03:35"/>
        <s v="08 Jul 2025 13:41:20"/>
        <s v="08 Jul 2025 13:42:42"/>
        <s v="09 Jul 2025 11:24:40"/>
        <s v="09 Jul 2025 11:25:59"/>
        <s v="09 Jul 2025 19:16:05"/>
        <s v="10 Jul 2025 10:16:11"/>
        <s v="10 Jul 2025 15:47:59"/>
        <s v="12 Jul 2025 08:12:51"/>
        <s v="12 Jul 2025 08:13:02"/>
        <s v="12 Jul 2025 08:17:14"/>
        <s v="12 Jul 2025 08:17:55"/>
        <s v="12 Jul 2025 08:19:21"/>
        <s v="12 Jul 2025 08:25:31"/>
        <s v="14 Jul 2025 08:00:19"/>
        <s v="14 Jul 2025 08:02:04"/>
        <s v="14 Jul 2025 17:45:38"/>
        <s v="15 Jul 2025 08:10:16"/>
        <s v="15 Jul 2025 09:17:31"/>
        <s v="15 Jul 2025 09:19:19"/>
        <s v="15 Jul 2025 09:39:23"/>
        <s v="16 Jul 2025 09:45:12"/>
        <s v="16 Jul 2025 10:47:09"/>
        <s v="16 Jul 2025 10:59:05"/>
        <s v="16 Jul 2025 11:05:15"/>
        <s v="17 Jul 2025 07:59:10"/>
        <s v="17 Jul 2025 22:15:03"/>
        <s v="18 Jul 2025 08:08:07"/>
        <s v="18 Jul 2025 08:52:36"/>
        <s v="18 Jul 2025 09:01:40"/>
        <s v="18 Jul 2025 22:03:39"/>
        <s v="20 Jul 2025 12:15:37"/>
        <s v="20 Jul 2025 17:20:55"/>
        <s v="20 Jul 2025 20:54:50"/>
        <s v="20 Jul 2025 20:55:04"/>
        <s v="21 Jul 2025 08:00:48"/>
        <s v="21 Jul 2025 21:04:35"/>
        <s v="22 Jul 2025 17:56:11"/>
        <s v="22 Jul 2025 17:56:35"/>
        <s v="22 Jul 2025 18:23:07"/>
        <s v="22 Jul 2025 21:41:35"/>
        <s v="23 Jul 2025 09:44:22"/>
        <s v="23 Jul 2025 21:44:51"/>
        <s v="24 Jul 2025 09:20:49"/>
        <s v="24 Jul 2025 14:18:56"/>
        <s v="24 Jul 2025 14:18:57"/>
        <s v="24 Jul 2025 14:20:25"/>
        <s v="24 Jul 2025 14:22:38"/>
        <s v="25 Jul 2025 02:37:19"/>
        <s v="25 Jul 2025 20:26:58"/>
        <s v="26 Jul 2025 07:36:09"/>
        <s v="26 Jul 2025 07:36:22"/>
        <s v="26 Jul 2025 12:43:12"/>
        <s v="26 Jul 2025 12:44:53"/>
        <s v="26 Jul 2025 18:55:08"/>
        <s v="27 Jul 2025 15:41:33"/>
        <s v="27 Jul 2025 18:16:19"/>
        <s v="28 Jul 2025 16:09:58"/>
        <s v="29 Jul 2025 14:20:48"/>
        <s v="29 Jul 2025 14:29:03"/>
        <s v="29 Jul 2025 14:34:18"/>
        <s v="29 Jul 2025 18:23:20"/>
        <s v="29 Jul 2025 20:01:20"/>
        <s v="30 Jul 2025 12:09:46"/>
        <s v="02 Aug 2025 09:25:33"/>
        <s v="02 Aug 2025 10:04:11"/>
        <s v="02 Aug 2025 18:21:38"/>
        <s v="02 Aug 2025 20:25:42"/>
        <s v="02 Aug 2025 23:27:34"/>
        <s v="03 Aug 2025 17:46:34"/>
        <s v="04 Aug 2025 07:04:00"/>
        <s v="04 Aug 2025 07:04:02"/>
        <s v="04 Aug 2025 07:42:45"/>
        <s v="05 Aug 2025 04:06:58"/>
        <s v="05 Aug 2025 09:35:52"/>
        <s v="06 Aug 2025 08:49:02"/>
        <s v="06 Aug 2025 09:48:46"/>
        <s v="07 Aug 2025 08:41:16"/>
        <s v="07 Aug 2025 19:09:29"/>
        <s v="07 Aug 2025 19:31:20"/>
        <s v="08 Aug 2025 15:36:36"/>
        <s v="08 Aug 2025 15:44:28"/>
        <s v="08 Aug 2025 15:44:30"/>
        <s v="08 Aug 2025 16:20:29"/>
        <s v="08 Aug 2025 22:15:36"/>
        <s v="09 Aug 2025 07:32:51"/>
        <s v="09 Aug 2025 07:37:53"/>
        <s v="09 Aug 2025 09:08:25"/>
        <s v="09 Aug 2025 14:14:50"/>
        <s v="09 Aug 2025 15:54:43"/>
        <s v="09 Aug 2025 18:23:20"/>
        <s v="10 Aug 2025 15:03:11"/>
        <s v="10 Aug 2025 15:03:12"/>
        <s v="10 Aug 2025 15:04:13"/>
        <s v="10 Aug 2025 15:34:35"/>
        <s v="11 Aug 2025 04:09:06"/>
        <s v="12 Aug 2025 15:30:57"/>
        <s v="13 Aug 2025 08:28:33"/>
        <s v="13 Aug 2025 08:28:34"/>
        <s v="13 Aug 2025 08:31:31"/>
        <s v="13 Aug 2025 11:56:19"/>
        <s v="13 Aug 2025 16:49:59"/>
        <s v="13 Aug 2025 16:50:01"/>
        <s v="13 Aug 2025 17:02:33"/>
        <s v="13 Aug 2025 20:05:12"/>
        <s v="14 Aug 2025 07:41:49"/>
        <s v="14 Aug 2025 07:41:50"/>
        <s v="14 Aug 2025 08:32:34"/>
        <s v="14 Aug 2025 11:01:08"/>
        <s v="14 Aug 2025 19:28:09"/>
        <s v="15 Aug 2025 07:38:03"/>
        <s v="15 Aug 2025 08:02:46"/>
        <s v="15 Aug 2025 08:02:48"/>
        <s v="15 Aug 2025 08:33:00"/>
        <s v="15 Aug 2025 10:57:34"/>
        <s v="15 Aug 2025 11:02:31"/>
        <s v="15 Aug 2025 14:00:15"/>
        <s v="15 Aug 2025 17:01:09"/>
        <s v="15 Aug 2025 17:01:11"/>
        <s v="15 Aug 2025 17:02:00"/>
        <s v="15 Aug 2025 18:30:20"/>
        <s v="16 Aug 2025 14:07:02"/>
        <s v="16 Aug 2025 20:24:45"/>
        <s v="17 Aug 2025 03:58:07"/>
        <s v="17 Aug 2025 07:54:41"/>
        <s v="17 Aug 2025 08:19:10"/>
        <s v="17 Aug 2025 17:07:28"/>
        <s v="18 Aug 2025 05:27:20"/>
        <s v="18 Aug 2025 13:51:51"/>
        <s v="21 Aug 2025 09:59:43"/>
        <s v="21 Aug 2025 09:59:44"/>
        <s v="21 Aug 2025 10:00:14"/>
        <s v="22 Aug 2025 07:30:43"/>
        <s v="22 Aug 2025 09:10:13"/>
        <s v="22 Aug 2025 09:10:15"/>
        <s v="22 Aug 2025 09:48:49"/>
        <s v="22 Aug 2025 11:06:38"/>
        <s v="23 Aug 2025 09:41:09"/>
        <s v="23 Aug 2025 09:41:24"/>
        <s v="23 Aug 2025 10:02:37"/>
        <s v="23 Aug 2025 10:03:15"/>
        <s v="23 Aug 2025 10:06:09"/>
        <s v="23 Aug 2025 10:06:36"/>
        <s v="23 Aug 2025 10:07:42"/>
        <s v="23 Aug 2025 20:50:27"/>
        <s v="23 Aug 2025 20:51:46"/>
        <s v="24 Aug 2025 04:51:41"/>
        <s v="24 Aug 2025 04:52:08"/>
        <s v="24 Aug 2025 04:53:55"/>
        <s v="25 Aug 2025 06:29:15"/>
        <s v="25 Aug 2025 12:02:12"/>
        <s v="25 Aug 2025 17:59:24"/>
        <s v="26 Aug 2025 11:45:14"/>
        <s v="26 Aug 2025 11:45:15"/>
        <s v="26 Aug 2025 11:46:35"/>
        <s v="26 Aug 2025 13:36:45"/>
        <s v="26 Aug 2025 13:37:11"/>
        <s v="27 Aug 2025 13:06:47"/>
        <s v="27 Aug 2025 14:40:06"/>
        <s v="27 Aug 2025 18:53:48"/>
        <s v="28 Aug 2025 05:06:49"/>
        <s v="28 Aug 2025 05:06:51"/>
        <s v="28 Aug 2025 08:23:22"/>
        <s v="28 Aug 2025 14:08:04"/>
        <s v="28 Aug 2025 14:11:28"/>
        <s v="28 Aug 2025 17:37:15"/>
        <s v="28 Aug 2025 18:57:19"/>
        <s v="28 Aug 2025 19:54:33"/>
        <s v="29 Aug 2025 22:05:55"/>
        <s v="30 Aug 2025 08:42:52"/>
        <s v="30 Aug 2025 08:56:31"/>
        <s v="30 Aug 2025 09:29:57"/>
        <s v="30 Aug 2025 10:03:12"/>
        <s v="30 Aug 2025 10:03:28"/>
        <s v="30 Aug 2025 10:30:57"/>
        <s v="30 Aug 2025 16:37:25"/>
        <s v="30 Aug 2025 16:47:24"/>
        <s v="30 Aug 2025 17:05:23"/>
        <s v="30 Aug 2025 18:23:05"/>
        <s v="31 Aug 2025 04:50:54"/>
        <s v="31 Aug 2025 10:27:45"/>
        <s v="31 Aug 2025 10:40:04"/>
        <s v="31 Aug 2025 12:34:49"/>
        <s v="31 Aug 2025 13:20:13"/>
        <s v="31 Aug 2025 13:36:15"/>
        <s v="31 Aug 2025 14:30:19"/>
        <s v="31 Aug 2025 14:48:55"/>
        <s v="31 Aug 2025 17:02:30"/>
        <s v="31 Aug 2025 18:10:57"/>
        <s v="01 Sep 2025 14:55:55"/>
        <s v="01 Sep 2025 17:37:36"/>
        <s v="01 Sep 2025 17:56:27"/>
        <s v="01 Sep 2025 18:49:39"/>
        <s v="01 Sep 2025 18:51:08"/>
        <s v="03 Sep 2025 07:12:22"/>
        <s v="04 Sep 2025 08:16:24"/>
        <s v="04 Sep 2025 08:16:26"/>
        <s v="04 Sep 2025 08:17:04"/>
        <s v="04 Sep 2025 20:51:47"/>
        <s v="07 Sep 2025 14:23:59"/>
        <s v="07 Sep 2025 14:24:01"/>
        <s v="07 Sep 2025 14:24:53"/>
        <s v="07 Sep 2025 14:35:18"/>
        <s v="08 Sep 2025 09:44:26"/>
        <s v="08 Sep 2025 12:35:31"/>
        <s v="08 Sep 2025 12:44:58"/>
        <s v="08 Sep 2025 20:07:11"/>
        <s v="09 Sep 2025 08:11:24"/>
        <s v="09 Sep 2025 11:10:14"/>
        <s v="09 Sep 2025 13:27:54"/>
        <s v="10 Sep 2025 11:34:54"/>
        <s v="11 Sep 2025 14:02:30"/>
        <s v="11 Sep 2025 15:38:10"/>
        <s v="12 Sep 2025 01:48:35"/>
        <s v="12 Sep 2025 01:48:49"/>
        <s v="12 Sep 2025 17:01:39"/>
        <s v="12 Sep 2025 17:22:38"/>
        <s v="12 Sep 2025 19:57:14"/>
        <s v="12 Sep 2025 19:57:23"/>
        <s v="13 Sep 2025 07:48:08"/>
        <s v="13 Sep 2025 11:54:23"/>
        <s v="13 Sep 2025 18:41:31"/>
        <s v="13 Sep 2025 18:41:39"/>
        <s v="13 Sep 2025 19:03:36"/>
        <s v="13 Sep 2025 19:05:09"/>
        <s v="14 Sep 2025 00:32:07"/>
        <s v="14 Sep 2025 10:47:42"/>
        <s v="14 Sep 2025 13:02:09"/>
        <s v="14 Sep 2025 17:07:42"/>
        <s v="15 Sep 2025 21:15:30"/>
        <s v="16 Sep 2025 09:09:37"/>
        <s v="16 Sep 2025 19:13:09"/>
        <s v="16 Sep 2025 21:23:59"/>
        <s v="17 Sep 2025 07:43:52"/>
        <s v="18 Sep 2025 10:16:13"/>
        <s v="18 Sep 2025 10:16:15"/>
        <s v="18 Sep 2025 10:17:37"/>
        <s v="18 Sep 2025 20:43:12"/>
        <s v="18 Sep 2025 20:44:06"/>
        <s v="19 Sep 2025 16:47:21"/>
        <s v="19 Sep 2025 16:47:40"/>
        <s v="21 Sep 2025 11:33:00"/>
        <s v="21 Sep 2025 12:19:27"/>
        <s v="22 Sep 2025 10:03:49"/>
        <s v="22 Sep 2025 10:03:51"/>
        <s v="22 Sep 2025 10:04:59"/>
        <s v="23 Sep 2025 13:15:36"/>
        <s v="23 Sep 2025 13:17:57"/>
        <s v="23 Sep 2025 13:23:12"/>
        <s v="23 Sep 2025 17:30:24"/>
        <s v="24 Sep 2025 12:19:31"/>
        <s v="24 Sep 2025 19:22:36"/>
        <s v="24 Sep 2025 19:36:51"/>
        <s v="26 Sep 2025 10:28:48"/>
        <s v="26 Sep 2025 10:28:49"/>
        <s v="26 Sep 2025 13:21:54"/>
        <s v="27 Sep 2025 12:31:42"/>
        <s v="27 Sep 2025 13:27:42"/>
        <s v="27 Sep 2025 13:39:20"/>
        <s v="28 Sep 2025 08:40:14"/>
        <s v="28 Sep 2025 10:13:33"/>
        <s v="28 Sep 2025 10:18:41"/>
        <s v="28 Sep 2025 10:24:13"/>
        <s v="28 Sep 2025 10:24:30"/>
        <s v="29 Sep 2025 12:00:16"/>
        <s v="29 Sep 2025 14:25:24"/>
        <s v="30 Sep 2025 15:59:02"/>
        <s v="30 Sep 2025 15:59:11"/>
        <s v="30 Sep 2025 16:12:00"/>
        <s v="30 Sep 2025 17:12:22"/>
        <s v="01 Oct 2025 09:01:30"/>
        <s v="01 Oct 2025 09:27:13"/>
        <s v="04 Oct 2025 19:12:21"/>
        <s v="05 Oct 2025 16:22:59"/>
        <s v="05 Oct 2025 17:51:20"/>
        <s v="07 Oct 2025 18:25:09"/>
        <s v="09 Oct 2025 04:43:27"/>
        <s v="09 Oct 2025 04:43:29"/>
        <s v="09 Oct 2025 04:46:49"/>
        <s v="09 Oct 2025 06:36:04"/>
        <s v="10 Oct 2025 09:01:06"/>
        <s v="10 Oct 2025 10:19:15"/>
        <s v="10 Oct 2025 10:20:29"/>
        <s v="10 Oct 2025 14:31:36"/>
        <s v="10 Oct 2025 14:33:54"/>
        <s v="10 Oct 2025 21:47:28"/>
        <s v="11 Oct 2025 09:37:21"/>
        <s v="11 Oct 2025 13:16:06"/>
        <s v="12 Oct 2025 07:47:28"/>
        <s v="12 Oct 2025 13:58:16"/>
        <s v="13 Oct 2025 08:04:36"/>
        <s v="13 Oct 2025 10:06:37"/>
        <s v="13 Oct 2025 10:16:46"/>
        <s v="13 Oct 2025 10:20:46"/>
        <s v="13 Oct 2025 12:27:36"/>
        <s v="13 Oct 2025 18:38:19"/>
        <s v="14 Oct 2025 09:01:05"/>
        <s v="14 Oct 2025 11:53:26"/>
        <s v="14 Oct 2025 14:00:05"/>
        <s v="14 Oct 2025 14:17:21"/>
        <s v="14 Oct 2025 16:13:21"/>
        <s v="15 Oct 2025 06:55:20"/>
        <s v="15 Oct 2025 10:31:31"/>
        <s v="15 Oct 2025 10:31:45"/>
        <s v="15 Oct 2025 15:00:10"/>
        <s v="15 Oct 2025 16:08:27"/>
        <s v="15 Oct 2025 16:26:38"/>
        <s v="15 Oct 2025 20:20:33"/>
        <s v="16 Oct 2025 09:30:50"/>
        <s v="16 Oct 2025 11:20:41"/>
        <s v="16 Oct 2025 15:29:10"/>
        <s v="17 Oct 2025 08:22:09"/>
        <s v="17 Oct 2025 21:11:21"/>
        <s v="18 Oct 2025 07:36:51"/>
        <s v="18 Oct 2025 08:15:34"/>
        <s v="18 Oct 2025 10:01:40"/>
        <s v="18 Oct 2025 11:49:50"/>
        <s v="18 Oct 2025 11:52:05"/>
        <s v="18 Oct 2025 13:01:11"/>
        <s v="18 Oct 2025 13:01:26"/>
        <s v="18 Oct 2025 17:29:54"/>
        <s v="19 Oct 2025 09:27:42"/>
        <s v="19 Oct 2025 09:30:15"/>
        <s v="19 Oct 2025 09:47:20"/>
        <s v="19 Oct 2025 17:24:54"/>
        <s v="20 Oct 2025 10:36:24"/>
        <s v="20 Oct 2025 11:56:13"/>
        <s v="20 Oct 2025 11:56:39"/>
        <s v="20 Oct 2025 14:15:45"/>
        <s v="20 Oct 2025 16:05:42"/>
        <s v="21 Oct 2025 08:16:53"/>
        <s v="21 Oct 2025 09:52:15"/>
        <s v="21 Oct 2025 16:17:41"/>
        <s v="21 Oct 2025 16:18:15"/>
        <s v="21 Oct 2025 18:48:51"/>
        <s v="22 Oct 2025 08:31:54"/>
        <s v="22 Oct 2025 10:28:28"/>
        <s v="22 Oct 2025 11:54:25"/>
        <s v="22 Oct 2025 11:54:46"/>
        <s v="22 Oct 2025 18:24:38"/>
        <s v="22 Oct 2025 18:27:14"/>
        <s v="22 Oct 2025 18:30:15"/>
        <s v="23 Oct 2025 07:26:57"/>
        <s v="23 Oct 2025 07:27:38"/>
        <s v="25 Oct 2025 18:36:40"/>
        <s v="25 Oct 2025 18:41:25"/>
        <s v="26 Oct 2025 05:28:20"/>
        <s v="26 Oct 2025 10:30:55"/>
        <s v="26 Oct 2025 10:35:13"/>
        <s v="26 Oct 2025 10:35:28"/>
        <s v="26 Oct 2025 15:30:05"/>
        <s v="27 Oct 2025 07:54:08"/>
        <s v="27 Oct 2025 12:45:46"/>
        <s v="27 Oct 2025 12:47:53"/>
        <s v="27 Oct 2025 12:50:08"/>
        <s v="27 Oct 2025 18:03:05"/>
        <s v="27 Oct 2025 18:07:28"/>
        <s v="27 Oct 2025 18:10:47"/>
        <s v="27 Oct 2025 20:39:49"/>
        <s v="27 Oct 2025 21:21:01"/>
        <s v="28 Oct 2025 08:26:06"/>
        <s v="28 Oct 2025 08:31:42"/>
        <s v="28 Oct 2025 09:05:13"/>
        <s v="28 Oct 2025 09:19:08"/>
        <s v="28 Oct 2025 10:56:56"/>
        <s v="28 Oct 2025 13:53:57"/>
        <s v="28 Oct 2025 14:41:59"/>
        <s v="28 Oct 2025 15:18:46"/>
        <s v="28 Oct 2025 16:55:55"/>
        <s v="28 Oct 2025 20:29:02"/>
        <s v="28 Oct 2025 20:29:04"/>
        <s v="28 Oct 2025 20:30:49"/>
        <s v="28 Oct 2025 20:37:43"/>
        <s v="28 Oct 2025 20:37:58"/>
        <s v="28 Oct 2025 20:38:20"/>
        <s v="28 Oct 2025 20:39:32"/>
        <s v="29 Oct 2025 07:47:11"/>
        <s v="29 Oct 2025 08:08:14"/>
        <s v="29 Oct 2025 08:46:34"/>
        <s v="29 Oct 2025 08:50:58"/>
        <s v="29 Oct 2025 09:00:14"/>
        <s v="29 Oct 2025 10:55:24"/>
        <s v="29 Oct 2025 11:03:50"/>
        <s v="30 Oct 2025 04:13:58"/>
        <s v="30 Oct 2025 04:14:00"/>
        <s v="30 Oct 2025 06:17:47"/>
        <s v="30 Oct 2025 06:58:53"/>
        <s v="30 Oct 2025 07:45:11"/>
        <s v="30 Oct 2025 08:30:02"/>
        <s v="30 Oct 2025 08:32:23"/>
        <s v="30 Oct 2025 08:36:34"/>
        <s v="30 Oct 2025 08:37:02"/>
        <s v="30 Oct 2025 17:23:38"/>
        <s v="30 Oct 2025 17:46:58"/>
        <s v="31 Oct 2025 06:22:36"/>
        <s v="31 Oct 2025 06:25:05"/>
        <s v="31 Oct 2025 07:24:38"/>
        <s v="31 Oct 2025 08:29:58"/>
        <s v="31 Oct 2025 09:13:28"/>
        <s v="31 Oct 2025 09:17:04"/>
        <s v="31 Oct 2025 12:27:35"/>
        <s v="31 Oct 2025 13:41:21"/>
        <s v="31 Oct 2025 13:53:47"/>
        <s v="01 Nov 2025 10:55:49"/>
        <s v="01 Nov 2025 11:05:10"/>
        <s v="01 Nov 2025 11:06:05"/>
        <s v="01 Nov 2025 19:53:32"/>
        <s v="02 Nov 2025 08:45:58"/>
        <s v="02 Nov 2025 12:17:42"/>
        <s v="02 Nov 2025 12:19:52"/>
        <s v="02 Nov 2025 12:25:43"/>
        <s v="02 Nov 2025 12:45:05"/>
        <s v="02 Nov 2025 14:32:49"/>
        <s v="02 Nov 2025 19:26:00"/>
        <s v="03 Nov 2025 08:51:56"/>
        <s v="03 Nov 2025 09:45:24"/>
        <s v="03 Nov 2025 10:40:48"/>
        <s v="03 Nov 2025 12:09:02"/>
        <s v="03 Nov 2025 12:11:50"/>
        <s v="03 Nov 2025 12:12:16"/>
        <s v="03 Nov 2025 12:13:10"/>
        <s v="04 Nov 2025 08:11:16"/>
        <s v="04 Nov 2025 08:38:30"/>
        <s v="04 Nov 2025 10:41:24"/>
        <s v="04 Nov 2025 11:52:44"/>
        <s v="04 Nov 2025 22:45:13"/>
        <s v="05 Nov 2025 09:09:55"/>
        <s v="05 Nov 2025 09:21:37"/>
        <s v="05 Nov 2025 09:22:02"/>
        <s v="05 Nov 2025 16:26:22"/>
        <s v="06 Nov 2025 07:25:20"/>
        <s v="06 Nov 2025 17:44:51"/>
        <s v="06 Nov 2025 18:58:44"/>
        <s v="06 Nov 2025 19:13:05"/>
        <s v="06 Nov 2025 19:13:42"/>
        <s v="07 Nov 2025 15:48:59"/>
        <s v="08 Nov 2025 06:17:13"/>
        <s v="08 Nov 2025 08:08:38"/>
        <s v="08 Nov 2025 08:12:23"/>
        <s v="08 Nov 2025 08:39:13"/>
        <s v="08 Nov 2025 08:39:52"/>
        <s v="08 Nov 2025 08:40:28"/>
        <s v="08 Nov 2025 15:27:39"/>
        <s v="08 Nov 2025 15:27:56"/>
        <s v="08 Nov 2025 15:34:33"/>
        <s v="08 Nov 2025 15:35:03"/>
        <s v="08 Nov 2025 15:35:22"/>
        <s v="08 Nov 2025 17:48:02"/>
        <s v="08 Nov 2025 17:48:55"/>
        <s v="09 Nov 2025 08:06:44"/>
        <s v="09 Nov 2025 09:18:48"/>
        <s v="09 Nov 2025 09:41:02"/>
        <s v="09 Nov 2025 09:41:33"/>
        <s v="09 Nov 2025 14:58:11"/>
        <s v="09 Nov 2025 17:54:23"/>
        <s v="09 Nov 2025 18:17:49"/>
        <s v="10 Nov 2025 06:38:22"/>
        <s v="10 Nov 2025 07:31:24"/>
        <s v="10 Nov 2025 13:14:27"/>
        <s v="10 Nov 2025 13:24:55"/>
        <s v="10 Nov 2025 13:25:01"/>
        <s v="10 Nov 2025 18:26:43"/>
        <s v="11 Nov 2025 06:57:04"/>
        <s v="11 Nov 2025 13:30:23"/>
        <s v="11 Nov 2025 13:30:59"/>
        <s v="11 Nov 2025 17:58:42"/>
        <s v="11 Nov 2025 19:32:07"/>
        <s v="12 Nov 2025 08:46:37"/>
        <s v="13 Nov 2025 08:15:09"/>
        <s v="13 Nov 2025 08:19:47"/>
        <s v="13 Nov 2025 21:16:18"/>
        <s v="14 Nov 2025 10:28:17"/>
        <s v="14 Nov 2025 10:56:39"/>
        <s v="14 Nov 2025 16:35:29"/>
        <s v="14 Nov 2025 17:37:24"/>
        <s v="15 Nov 2025 07:01:07"/>
        <s v="15 Nov 2025 07:02:07"/>
        <s v="15 Nov 2025 15:38:51"/>
        <s v="15 Nov 2025 17:00:24"/>
        <s v="16 Nov 2025 08:12:28"/>
        <s v="16 Nov 2025 08:12:40"/>
        <s v="16 Nov 2025 08:27:14"/>
        <s v="16 Nov 2025 21:41:53"/>
        <s v="16 Nov 2025 23:00:06"/>
        <s v="17 Nov 2025 09:43:41"/>
        <s v="17 Nov 2025 10:02:52"/>
        <s v="17 Nov 2025 10:31:39"/>
        <s v="17 Nov 2025 10:37:50"/>
        <s v="17 Nov 2025 16:45:45"/>
        <s v="17 Nov 2025 21:30:35"/>
        <s v="18 Nov 2025 06:54:24"/>
        <s v="18 Nov 2025 10:10:02"/>
        <s v="18 Nov 2025 10:15:01"/>
        <s v="18 Nov 2025 14:44:54"/>
        <s v="18 Nov 2025 14:45:55"/>
        <s v="18 Nov 2025 19:38:10"/>
        <s v="19 Nov 2025 08:42:15"/>
        <s v="19 Nov 2025 08:43:12"/>
        <s v="19 Nov 2025 09:56:21"/>
        <s v="19 Nov 2025 11:23:31"/>
        <s v="19 Nov 2025 14:50:34"/>
        <s v="19 Nov 2025 14:50:38"/>
        <s v="19 Nov 2025 16:09:56"/>
        <s v="19 Nov 2025 16:10:00"/>
        <s v="19 Nov 2025 16:21:58"/>
        <s v="19 Nov 2025 16:22:03"/>
        <s v="19 Nov 2025 16:23:02"/>
        <s v="19 Nov 2025 16:23:07"/>
        <s v="19 Nov 2025 16:45:36"/>
        <s v="19 Nov 2025 16:45:40"/>
        <s v="19 Nov 2025 16:46:15"/>
        <s v="19 Nov 2025 16:46:20"/>
        <s v="20 Nov 2025 13:05:53"/>
        <s v="20 Nov 2025 14:36:37"/>
        <s v="20 Nov 2025 15:18:34"/>
        <s v="20 Nov 2025 15:18:38"/>
        <s v="20 Nov 2025 18:45:49"/>
        <s v="20 Nov 2025 18:46:26"/>
        <s v="20 Nov 2025 18:53:32"/>
        <s v="20 Nov 2025 19:45:28"/>
        <s v="21 Nov 2025 12:55:56"/>
        <s v="21 Nov 2025 12:56:00"/>
        <s v="21 Nov 2025 12:59:23"/>
        <s v="21 Nov 2025 17:12:53"/>
        <s v="22 Nov 2025 07:38:07"/>
        <s v="22 Nov 2025 07:38:23"/>
        <s v="22 Nov 2025 07:39:35"/>
        <s v="22 Nov 2025 09:34:18"/>
        <s v="22 Nov 2025 18:16:30"/>
        <s v="22 Nov 2025 18:36:32"/>
        <s v="22 Nov 2025 20:24:07"/>
        <s v="23 Nov 2025 08:31:55"/>
        <s v="23 Nov 2025 10:39:28"/>
        <s v="23 Nov 2025 10:52:28"/>
        <s v="23 Nov 2025 15:12:53"/>
        <s v="24 Nov 2025 08:49:00"/>
        <s v="24 Nov 2025 09:20:31"/>
        <s v="24 Nov 2025 09:29:21"/>
        <s v="24 Nov 2025 09:48:59"/>
        <s v="24 Nov 2025 12:58:30"/>
        <s v="24 Nov 2025 12:58:35"/>
        <s v="24 Nov 2025 13:05:59"/>
        <s v="24 Nov 2025 13:06:01"/>
        <s v="24 Nov 2025 13:09:57"/>
        <s v="25 Nov 2025 16:12:26"/>
        <s v="25 Nov 2025 16:53:50"/>
        <s v="25 Nov 2025 16:58:12"/>
        <s v="25 Nov 2025 17:04:31"/>
        <s v="25 Nov 2025 17:53:53"/>
        <s v="25 Nov 2025 17:55:05"/>
        <s v="25 Nov 2025 18:14:44"/>
        <s v="25 Nov 2025 18:16:34"/>
        <s v="25 Nov 2025 18:40:14"/>
        <s v="25 Nov 2025 18:59:03"/>
        <s v="26 Nov 2025 07:11:15"/>
        <s v="26 Nov 2025 07:11:53"/>
        <s v="26 Nov 2025 07:13:59"/>
        <s v="26 Nov 2025 07:26:33"/>
        <s v="26 Nov 2025 08:03:24"/>
        <s v="26 Nov 2025 09:19:01"/>
        <s v="26 Nov 2025 11:14:32"/>
        <s v="26 Nov 2025 12:33:04"/>
        <s v="26 Nov 2025 13:12:01"/>
        <s v="26 Nov 2025 16:45:23"/>
        <s v="26 Nov 2025 16:45:41"/>
        <s v="27 Nov 2025 08:59:52"/>
        <s v="27 Nov 2025 18:10:20"/>
        <s v="27 Nov 2025 18:11:52"/>
        <s v="27 Nov 2025 19:05:37"/>
        <s v="27 Nov 2025 19:05:54"/>
        <s v="27 Nov 2025 19:06:30"/>
        <s v="27 Nov 2025 20:06:57"/>
        <s v="27 Nov 2025 21:13:31"/>
        <s v="27 Nov 2025 21:14:14"/>
        <s v="27 Nov 2025 21:38:13"/>
        <s v="28 Nov 2025 12:59:19"/>
        <s v="28 Nov 2025 13:01:22"/>
        <s v="28 Nov 2025 13:01:34"/>
        <s v="28 Nov 2025 13:07:45"/>
        <s v="28 Nov 2025 13:12:33"/>
        <s v="28 Nov 2025 13:42:01"/>
        <s v="28 Nov 2025 17:26:24"/>
        <s v="28 Nov 2025 21:03:05"/>
        <s v="29 Nov 2025 06:28:40"/>
        <s v="29 Nov 2025 08:14:31"/>
        <s v="29 Nov 2025 08:23:27"/>
        <s v="29 Nov 2025 08:29:24"/>
        <s v="29 Nov 2025 09:28:56"/>
        <s v="29 Nov 2025 10:20:55"/>
        <s v="30 Nov 2025 09:14:08"/>
        <s v="30 Nov 2025 09:21:27"/>
        <s v="30 Nov 2025 14:02:34"/>
        <s v="30 Nov 2025 14:16:44"/>
        <s v="01 Dec 2025 13:34:18"/>
        <s v="01 Dec 2025 13:36:23"/>
        <s v="01 Dec 2025 17:54:06"/>
        <s v="01 Dec 2025 17:54:11"/>
        <s v="01 Dec 2025 17:55:02"/>
        <s v="01 Dec 2025 17:55:25"/>
        <s v="01 Dec 2025 18:21:40"/>
        <s v="02 Dec 2025 08:08:48"/>
        <s v="02 Dec 2025 10:39:58"/>
        <s v="02 Dec 2025 12:21:02"/>
        <s v="02 Dec 2025 12:26:06"/>
        <s v="02 Dec 2025 21:17:47"/>
        <s v="03 Dec 2025 08:34:46"/>
        <s v="04 Dec 2025 16:58:43"/>
        <s v="04 Dec 2025 18:33:48"/>
        <s v="04 Dec 2025 18:34:32"/>
        <s v="05 Dec 2025 12:04:10"/>
        <s v="05 Dec 2025 13:29:03"/>
        <s v="05 Dec 2025 14:14:05"/>
        <s v="06 Dec 2025 10:19:19"/>
        <s v="06 Dec 2025 10:23:52"/>
        <s v="07 Dec 2025 16:30:04"/>
        <s v="07 Dec 2025 16:30:11"/>
        <s v="07 Dec 2025 17:42:15"/>
        <s v="07 Dec 2025 18:00:50"/>
        <s v="07 Dec 2025 18:00:52"/>
        <s v="08 Dec 2025 01:00:07"/>
        <s v="08 Dec 2025 06:45:13"/>
        <s v="08 Dec 2025 07:14:23"/>
        <s v="08 Dec 2025 11:25:18"/>
        <s v="08 Dec 2025 12:35:59"/>
        <s v="08 Dec 2025 13:03:56"/>
        <s v="08 Dec 2025 13:20:49"/>
        <s v="08 Dec 2025 15:01:41"/>
        <s v="08 Dec 2025 18:00:15"/>
        <s v="09 Dec 2025 09:36:35"/>
        <s v="09 Dec 2025 12:15:03"/>
        <s v="09 Dec 2025 12:15:05"/>
        <s v="09 Dec 2025 12:21:27"/>
        <s v="09 Dec 2025 12:22:17"/>
        <s v="09 Dec 2025 12:51:29"/>
        <s v="09 Dec 2025 15:31:21"/>
        <s v="09 Dec 2025 15:43:18"/>
        <s v="09 Dec 2025 16:29:39"/>
        <s v="09 Dec 2025 18:35:49"/>
        <s v="09 Dec 2025 18:41:39"/>
        <s v="10 Dec 2025 08:47:36"/>
        <s v="10 Dec 2025 13:50:56"/>
        <s v="10 Dec 2025 14:18:19"/>
        <s v="10 Dec 2025 15:50:17"/>
        <s v="10 Dec 2025 17:54:43"/>
        <s v="10 Dec 2025 22:43:40"/>
        <s v="10 Dec 2025 22:46:36"/>
        <s v="11 Dec 2025 12:21:10"/>
        <s v="11 Dec 2025 16:51:40"/>
        <s v="11 Dec 2025 17:01:23"/>
        <s v="11 Dec 2025 17:03:56"/>
        <s v="11 Dec 2025 20:04:52"/>
        <s v="12 Dec 2025 08:34:18"/>
        <s v="12 Dec 2025 10:04:15"/>
        <s v="13 Dec 2025 12:23:49"/>
        <s v="13 Dec 2025 14:39:26"/>
        <s v="13 Dec 2025 14:42:59"/>
        <s v="13 Dec 2025 19:12:06"/>
        <s v="13 Dec 2025 19:12:22"/>
        <s v="13 Dec 2025 19:20:31"/>
        <s v="13 Dec 2025 21:30:02"/>
        <s v="13 Dec 2025 21:39:20"/>
        <s v="14 Dec 2025 13:06:03"/>
        <s v="14 Dec 2025 13:44:50"/>
        <s v="14 Dec 2025 19:02:01"/>
        <s v="15 Dec 2025 09:04:25"/>
        <s v="15 Dec 2025 10:09:35"/>
        <s v="15 Dec 2025 10:32:31"/>
        <s v="16 Dec 2025 13:43:10"/>
        <s v="16 Dec 2025 15:14:26"/>
        <s v="17 Dec 2025 12:24:30"/>
        <s v="17 Dec 2025 14:12:23"/>
        <s v="17 Dec 2025 14:19:30"/>
        <s v="18 Dec 2025 07:22:44"/>
        <s v="18 Dec 2025 07:39:50"/>
        <s v="18 Dec 2025 07:52:37"/>
        <s v="18 Dec 2025 08:17:57"/>
        <s v="18 Dec 2025 13:48:28"/>
        <s v="18 Dec 2025 16:34:15"/>
        <s v="18 Dec 2025 17:12:16"/>
        <s v="18 Dec 2025 17:14:33"/>
        <s v="18 Dec 2025 17:34:30"/>
        <s v="18 Dec 2025 17:34:32"/>
        <s v="18 Dec 2025 17:36:18"/>
        <s v="18 Dec 2025 19:52:49"/>
        <s v="19 Dec 2025 10:20:14"/>
        <s v="19 Dec 2025 10:46:54"/>
        <s v="19 Dec 2025 11:15:57"/>
        <s v="19 Dec 2025 16:41:11"/>
        <s v="19 Dec 2025 19:42:58"/>
        <s v="19 Dec 2025 19:45:17"/>
        <s v="20 Dec 2025 08:17:18"/>
        <s v="20 Dec 2025 08:40:43"/>
        <s v="20 Dec 2025 14:27:43"/>
        <s v="20 Dec 2025 17:39:37"/>
        <s v="20 Dec 2025 17:39:39"/>
        <s v="20 Dec 2025 18:26:46"/>
        <s v="20 Dec 2025 18:28:48"/>
        <s v="20 Dec 2025 18:29:12"/>
        <s v="20 Dec 2025 19:58:00"/>
        <s v="20 Dec 2025 19:58:02"/>
        <s v="20 Dec 2025 19:59:56"/>
        <s v="20 Dec 2025 20:07:01"/>
        <s v="21 Dec 2025 08:16:39"/>
        <s v="21 Dec 2025 10:03:24"/>
        <s v="21 Dec 2025 19:41:56"/>
        <s v="21 Dec 2025 19:43:00"/>
        <s v="22 Dec 2025 16:12:25"/>
        <s v="22 Dec 2025 20:36:40"/>
        <s v="22 Dec 2025 21:32:06"/>
        <s v="23 Dec 2025 09:23:32"/>
        <s v="23 Dec 2025 09:40:02"/>
        <s v="23 Dec 2025 10:44:29"/>
        <s v="23 Dec 2025 17:57:45"/>
        <s v="23 Dec 2025 18:23:39"/>
        <s v="23 Dec 2025 18:25:45"/>
        <s v="23 Dec 2025 19:36:43"/>
        <s v="24 Dec 2025 08:09:31"/>
        <s v="24 Dec 2025 08:09:45"/>
        <s v="24 Dec 2025 08:28:27"/>
        <s v="24 Dec 2025 08:31:29"/>
        <s v="24 Dec 2025 16:28:22"/>
        <s v="24 Dec 2025 16:28:39"/>
        <s v="24 Dec 2025 17:42:19"/>
        <s v="24 Dec 2025 18:06:43"/>
        <s v="24 Dec 2025 18:08:22"/>
        <s v="25 Dec 2025 08:27:43"/>
        <s v="25 Dec 2025 08:27:59"/>
        <s v="25 Dec 2025 15:47:55"/>
        <s v="25 Dec 2025 17:24:35"/>
        <s v="25 Dec 2025 17:50:33"/>
        <s v="26 Dec 2025 08:40:02"/>
        <s v="26 Dec 2025 16:02:32"/>
        <s v="26 Dec 2025 17:04:41"/>
        <s v="26 Dec 2025 17:46:08"/>
        <s v="26 Dec 2025 20:45:17"/>
      </sharedItems>
    </cacheField>
    <cacheField name="Month" numFmtId="0">
      <sharedItems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Month_number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Transaction type" numFmtId="0">
      <sharedItems>
        <s v="Airtime"/>
        <s v="Transfer"/>
        <s v="Electronic Money Transfer Levy"/>
        <s v="Other"/>
        <s v="Fixed Deposit"/>
      </sharedItems>
    </cacheField>
    <cacheField name="Withdrawal " numFmtId="4">
      <sharedItems containsSemiMixedTypes="0" containsString="0" containsNumber="1">
        <n v="200.0"/>
        <n v="0.0"/>
        <n v="700.0"/>
        <n v="500.0"/>
        <n v="100.0"/>
        <n v="2000.0"/>
        <n v="3300.0"/>
        <n v="1410.0"/>
        <n v="2110.0"/>
        <n v="1050.0"/>
        <n v="1000.0"/>
        <n v="250.0"/>
        <n v="600.0"/>
        <n v="12000.0"/>
        <n v="300.0"/>
        <n v="2150.0"/>
        <n v="1820.0"/>
        <n v="1650.0"/>
        <n v="900.0"/>
        <n v="1300.0"/>
        <n v="50.0"/>
        <n v="100000.0"/>
        <n v="95000.0"/>
        <n v="12500.0"/>
        <n v="50000.0"/>
        <n v="4000.0"/>
        <n v="10000.0"/>
        <n v="1700.0"/>
        <n v="3210.0"/>
        <n v="2860.0"/>
        <n v="3500.0"/>
        <n v="6500.0"/>
        <n v="510.0"/>
        <n v="1500.0"/>
        <n v="4810.0"/>
        <n v="47000.0"/>
        <n v="13000.0"/>
        <n v="3000.0"/>
        <n v="5010.0"/>
        <n v="1510.0"/>
        <n v="33600.0"/>
        <n v="40000.0"/>
        <n v="17000.0"/>
        <n v="6000.0"/>
        <n v="5000.0"/>
        <n v="64000.0"/>
        <n v="3010.0"/>
        <n v="400.0"/>
        <n v="710.0"/>
        <n v="13010.0"/>
        <n v="41000.0"/>
        <n v="150.0"/>
        <n v="360.0"/>
        <n v="2100.0"/>
        <n v="33800.92"/>
        <n v="2210.0"/>
        <n v="8000.0"/>
        <n v="650.0"/>
        <n v="110.0"/>
        <n v="460.0"/>
        <n v="1900.0"/>
        <n v="82800.0"/>
        <n v="20000.0"/>
        <n v="4700.0"/>
        <n v="2500.0"/>
        <n v="550.0"/>
        <n v="2460.0"/>
        <n v="11000.0"/>
        <n v="4800.0"/>
        <n v="2400.0"/>
        <n v="260.0"/>
        <n v="4600.0"/>
        <n v="750.0"/>
        <n v="210.0"/>
        <n v="3100.0"/>
        <n v="410.0"/>
        <n v="800.0"/>
        <n v="3050.0"/>
        <n v="1150.0"/>
        <n v="910.0"/>
        <n v="610.0"/>
        <n v="2390.0"/>
        <n v="1310.0"/>
        <n v="2200.0"/>
        <n v="1100.0"/>
        <n v="4500.0"/>
        <n v="450.0"/>
        <n v="1060.0"/>
        <n v="9600.0"/>
        <n v="2300.0"/>
        <n v="810.0"/>
        <n v="2450.0"/>
        <n v="440.0"/>
        <n v="30000.0"/>
        <n v="760.0"/>
        <n v="180.0"/>
        <n v="860.0"/>
        <n v="350.0"/>
        <n v="133000.0"/>
        <n v="3200.0"/>
        <n v="1400.0"/>
        <n v="160.0"/>
        <n v="2550.0"/>
        <n v="540.0"/>
        <n v="940.0"/>
        <n v="580.0"/>
        <n v="4100.0"/>
        <n v="470.0"/>
        <n v="960.0"/>
        <n v="370.0"/>
        <n v="1070.0"/>
        <n v="1200.0"/>
        <n v="310.0"/>
        <n v="560.0"/>
        <n v="1010.0"/>
        <n v="21000.0"/>
        <n v="2800.0"/>
        <n v="7000.0"/>
        <n v="670.0"/>
        <n v="129800.0"/>
        <n v="4200.0"/>
        <n v="1800.0"/>
        <n v="63000.0"/>
        <n v="1580.0"/>
        <n v="6100.0"/>
        <n v="801.0"/>
        <n v="781000.0"/>
        <n v="1600.0"/>
        <n v="15000.0"/>
        <n v="271600.0"/>
        <n v="5810.0"/>
        <n v="1030.0"/>
        <n v="1850.0"/>
        <n v="1110.0"/>
        <n v="1210.0"/>
        <n v="155000.0"/>
        <n v="47500.0"/>
        <n v="2180.0"/>
        <n v="160000.0"/>
        <n v="8500.0"/>
        <n v="5500.0"/>
        <n v="1550.0"/>
        <n v="2600.0"/>
        <n v="5100.0"/>
        <n v="3600.0"/>
        <n v="13469.0"/>
        <n v="9000.0"/>
        <n v="950.0"/>
        <n v="7350.0"/>
        <n v="10100.0"/>
        <n v="23255.55"/>
        <n v="25000.0"/>
        <n v="23146.35"/>
        <n v="81000.0"/>
        <n v="7300.0"/>
        <n v="5510.0"/>
        <n v="156000.0"/>
        <n v="13999.0"/>
        <n v="40589.0"/>
        <n v="7100.0"/>
        <n v="855.0"/>
        <n v="18000.0"/>
        <n v="240.0"/>
        <n v="24000.0"/>
        <n v="45000.0"/>
        <n v="850.0"/>
        <n v="24662.0"/>
        <n v="10200.0"/>
        <n v="27500.0"/>
        <n v="520.0"/>
        <n v="76000.0"/>
        <n v="380.0"/>
        <n v="27000.0"/>
        <n v="200000.0"/>
        <n v="2700.0"/>
        <n v="29595.0"/>
        <n v="32000.0"/>
        <n v="37000.0"/>
        <n v="14900.0"/>
        <n v="1450.0"/>
        <n v="8300.0"/>
        <n v="11100.0"/>
        <n v="43.65"/>
        <n v="1130.0"/>
        <n v="2010.0"/>
        <n v="18900.0"/>
        <n v="99.0"/>
        <n v="660.0"/>
        <n v="3610.0"/>
        <n v="4980.0"/>
        <n v="2496.0"/>
        <n v="1980.0"/>
        <n v="980.0"/>
        <n v="2050.0"/>
        <n v="12478.0"/>
        <n v="22000.0"/>
        <n v="1750.0"/>
        <n v="4210.0"/>
        <n v="3800.0"/>
        <n v="10.0"/>
        <n v="720.0"/>
      </sharedItems>
    </cacheField>
    <cacheField name="Deposit" numFmtId="4">
      <sharedItems containsSemiMixedTypes="0" containsString="0" containsNumber="1">
        <n v="0.0"/>
        <n v="300.0"/>
        <n v="9900.0"/>
        <n v="5000.0"/>
        <n v="1000.0"/>
        <n v="9999.0"/>
        <n v="5001.0"/>
        <n v="1500.0"/>
        <n v="410520.0"/>
        <n v="30000.0"/>
        <n v="82051.0"/>
        <n v="900.0"/>
        <n v="33600.0"/>
        <n v="74160.0"/>
        <n v="40000.0"/>
        <n v="3500.0"/>
        <n v="15000.0"/>
        <n v="33120.0"/>
        <n v="82811.0"/>
        <n v="20000.0"/>
        <n v="9970.0"/>
        <n v="49974.0"/>
        <n v="10000.0"/>
        <n v="6000.0"/>
        <n v="2000.0"/>
        <n v="24333.0"/>
        <n v="9682.0"/>
        <n v="1650.0"/>
        <n v="800.0"/>
        <n v="100.0"/>
        <n v="36340.0"/>
        <n v="450.0"/>
        <n v="37934.0"/>
        <n v="3000.0"/>
        <n v="100000.0"/>
        <n v="133243.0"/>
        <n v="700.0"/>
        <n v="600.0"/>
        <n v="1100.0"/>
        <n v="19500.0"/>
        <n v="500.0"/>
        <n v="64997.0"/>
        <n v="4500.0"/>
        <n v="4200.0"/>
        <n v="400.0"/>
        <n v="440.0"/>
        <n v="161343.0"/>
        <n v="63421.0"/>
        <n v="20050.0"/>
        <n v="4000.0"/>
        <n v="21250.0"/>
        <n v="1700.0"/>
        <n v="781135.0"/>
        <n v="62000.0"/>
        <n v="303693.0"/>
        <n v="4320.0"/>
        <n v="15945.0"/>
        <n v="50000.0"/>
        <n v="2500.0"/>
        <n v="155539.0"/>
        <n v="650.0"/>
        <n v="7000.0"/>
        <n v="3100.0"/>
        <n v="170000.0"/>
        <n v="143.9"/>
        <n v="2200.0"/>
        <n v="2100.0"/>
        <n v="5868.29"/>
        <n v="28000.0"/>
        <n v="19900.0"/>
        <n v="32000.0"/>
        <n v="19950.0"/>
        <n v="2900.0"/>
        <n v="25000.0"/>
        <n v="79000.0"/>
        <n v="81335.0"/>
        <n v="156181.0"/>
        <n v="13000.0"/>
        <n v="7300.0"/>
        <n v="24500.0"/>
        <n v="45960.0"/>
        <n v="24000.0"/>
        <n v="76540.0"/>
        <n v="21000.0"/>
        <n v="8000.0"/>
        <n v="27483.0"/>
        <n v="200000.0"/>
        <n v="30057.0"/>
        <n v="17000.0"/>
        <n v="1600.0"/>
        <n v="37678.0"/>
        <n v="15036.5"/>
        <n v="10500.0"/>
        <n v="9000.0"/>
        <n v="6500.0"/>
        <n v="200.0"/>
        <n v="890.76"/>
        <n v="2400.0"/>
        <n v="250.0"/>
        <n v="2410.15"/>
        <n v="5001.71"/>
        <n v="850.0"/>
        <n v="47000.0"/>
        <n v="5030.0"/>
      </sharedItems>
    </cacheField>
    <cacheField name="Transaction_Direction" numFmtId="0">
      <sharedItems>
        <s v="Withdrawal"/>
        <s v="Deposit"/>
      </sharedItems>
    </cacheField>
    <cacheField name="Time of transaction " numFmtId="0">
      <sharedItems>
        <s v="04:07:19"/>
        <s v="13:29:19"/>
        <s v="14:00:41"/>
        <s v="20:46:58"/>
        <s v="20:51:11"/>
        <s v="22:10:30"/>
        <s v="22:11:06"/>
        <s v="07:33:21"/>
        <s v="07:40:54"/>
        <s v="07:41:54"/>
        <s v="08:03:00"/>
        <s v="12:16:34"/>
        <s v="16:19:54"/>
        <s v="20:04:55"/>
        <s v="20:17:14"/>
        <s v="09:44:30"/>
        <s v="11:02:53"/>
        <s v="11:29:36"/>
        <s v="12:55:56"/>
        <s v="16:09:32"/>
        <s v="23:32:01"/>
        <s v="23:32:22"/>
        <s v="23:35:03"/>
        <s v="08:19:48"/>
        <s v="09:16:10"/>
        <s v="09:38:25"/>
        <s v="09:43:27"/>
        <s v="11:33:54"/>
        <s v="15:28:50"/>
        <s v="11:21:19"/>
        <s v="18:44:12"/>
        <s v="19:02:58"/>
        <s v="19:08:44"/>
        <s v="19:09:46"/>
        <s v="20:03:09"/>
        <s v="06:28:49"/>
        <s v="10:04:58"/>
        <s v="10:47:07"/>
        <s v="12:31:34"/>
        <s v="13:56:52"/>
        <s v="18:18:37"/>
        <s v="22:01:57"/>
        <s v="04:35:11"/>
        <s v="04:35:17"/>
        <s v="04:37:09"/>
        <s v="04:38:28"/>
        <s v="04:41:12"/>
        <s v="04:44:28"/>
        <s v="04:45:33"/>
        <s v="04:45:41"/>
        <s v="04:47:16"/>
        <s v="05:28:25"/>
        <s v="07:16:45"/>
        <s v="08:34:23"/>
        <s v="08:36:16"/>
        <s v="08:48:54"/>
        <s v="08:49:00"/>
        <s v="10:04:28"/>
        <s v="10:09:52"/>
        <s v="10:10:38"/>
        <s v="10:23:24"/>
        <s v="10:27:53"/>
        <s v="10:29:50"/>
        <s v="12:51:33"/>
        <s v="14:25:06"/>
        <s v="14:54:44"/>
        <s v="15:39:32"/>
        <s v="15:41:20"/>
        <s v="17:22:34"/>
        <s v="17:29:30"/>
        <s v="18:46:09"/>
        <s v="19:11:04"/>
        <s v="20:38:51"/>
        <s v="20:40:50"/>
        <s v="07:11:30"/>
        <s v="07:30:35"/>
        <s v="07:51:42"/>
        <s v="07:51:54"/>
        <s v="08:06:13"/>
        <s v="09:21:23"/>
        <s v="10:24:40"/>
        <s v="12:29:10"/>
        <s v="12:56:11"/>
        <s v="13:16:57"/>
        <s v="13:33:57"/>
        <s v="14:39:28"/>
        <s v="17:16:59"/>
        <s v="18:05:38"/>
        <s v="18:05:44"/>
        <s v="18:06:26"/>
        <s v="18:06:53"/>
        <s v="19:07:31"/>
        <s v="19:24:31"/>
        <s v="19:26:10"/>
        <s v="07:56:44"/>
        <s v="08:05:09"/>
        <s v="09:47:00"/>
        <s v="11:16:57"/>
        <s v="12:07:10"/>
        <s v="16:08:18"/>
        <s v="17:03:54"/>
        <s v="17:10:43"/>
        <s v="19:56:44"/>
        <s v="19:56:50"/>
        <s v="20:45:30"/>
        <s v="09:20:56"/>
        <s v="10:58:02"/>
        <s v="16:29:14"/>
        <s v="16:43:33"/>
        <s v="17:24:10"/>
        <s v="17:24:18"/>
        <s v="18:01:35"/>
        <s v="09:00:42"/>
        <s v="09:03:27"/>
        <s v="12:01:24"/>
        <s v="12:15:32"/>
        <s v="17:44:18"/>
        <s v="18:08:23"/>
        <s v="18:08:29"/>
        <s v="18:17:49"/>
        <s v="18:40:43"/>
        <s v="18:45:36"/>
        <s v="18:45:42"/>
        <s v="18:47:11"/>
        <s v="18:48:58"/>
        <s v="09:17:13"/>
        <s v="11:01:06"/>
        <s v="11:04:10"/>
        <s v="16:17:47"/>
        <s v="19:32:40"/>
        <s v="19:33:06"/>
        <s v="19:48:07"/>
        <s v="10:27:25"/>
        <s v="15:03:38"/>
        <s v="17:56:18"/>
        <s v="06:38:06"/>
        <s v="06:38:12"/>
        <s v="06:41:51"/>
        <s v="09:41:55"/>
        <s v="12:25:40"/>
        <s v="12:36:29"/>
        <s v="12:37:56"/>
        <s v="18:35:33"/>
        <s v="19:53:22"/>
        <s v="19:53:27"/>
        <s v="20:40:17"/>
        <s v="20:05:57"/>
        <s v="20:19:09"/>
        <s v="10:59:41"/>
        <s v="13:24:42"/>
        <s v="13:44:19"/>
        <s v="16:36:12"/>
        <s v="16:37:16"/>
        <s v="16:38:24"/>
        <s v="16:38:47"/>
        <s v="16:39:13"/>
        <s v="16:39:56"/>
        <s v="16:40:50"/>
        <s v="01:47:59"/>
        <s v="08:50:51"/>
        <s v="10:41:56"/>
        <s v="13:06:43"/>
        <s v="13:18:11"/>
        <s v="20:44:49"/>
        <s v="08:20:12"/>
        <s v="08:20:17"/>
        <s v="08:25:44"/>
        <s v="08:42:12"/>
        <s v="08:43:52"/>
        <s v="08:50:22"/>
        <s v="10:26:49"/>
        <s v="12:10:15"/>
        <s v="19:11:47"/>
        <s v="07:05:13"/>
        <s v="09:17:12"/>
        <s v="11:28:04"/>
        <s v="13:02:13"/>
        <s v="13:38:19"/>
        <s v="16:18:03"/>
        <s v="19:43:44"/>
        <s v="09:27:51"/>
        <s v="09:27:56"/>
        <s v="09:37:35"/>
        <s v="10:07:41"/>
        <s v="10:07:56"/>
        <s v="10:28:05"/>
        <s v="13:34:31"/>
        <s v="14:15:45"/>
        <s v="15:41:28"/>
        <s v="17:24:06"/>
        <s v="18:56:45"/>
        <s v="07:55:14"/>
        <s v="08:02:14"/>
        <s v="08:39:40"/>
        <s v="11:16:39"/>
        <s v="11:35:33"/>
        <s v="15:17:27"/>
        <s v="17:14:51"/>
        <s v="17:54:08"/>
        <s v="13:13:44"/>
        <s v="15:35:23"/>
        <s v="15:56:10"/>
        <s v="16:55:28"/>
        <s v="16:58:26"/>
        <s v="19:01:18"/>
        <s v="20:16:57"/>
        <s v="05:54:55"/>
        <s v="07:45:46"/>
        <s v="07:45:52"/>
        <s v="08:16:50"/>
        <s v="13:38:21"/>
        <s v="13:56:38"/>
        <s v="14:04:40"/>
        <s v="16:08:33"/>
        <s v="16:14:02"/>
        <s v="16:17:24"/>
        <s v="16:24:46"/>
        <s v="19:53:21"/>
        <s v="07:20:36"/>
        <s v="14:33:12"/>
        <s v="09:31:38"/>
        <s v="09:34:06"/>
        <s v="09:46:19"/>
        <s v="12:25:44"/>
        <s v="12:27:28"/>
        <s v="12:43:20"/>
        <s v="16:01:24"/>
        <s v="16:01:29"/>
        <s v="16:18:07"/>
        <s v="17:10:22"/>
        <s v="17:11:46"/>
        <s v="18:28:39"/>
        <s v="19:12:33"/>
        <s v="19:55:30"/>
        <s v="20:38:25"/>
        <s v="03:24:41"/>
        <s v="08:35:16"/>
        <s v="08:44:19"/>
        <s v="08:49:43"/>
        <s v="08:51:56"/>
        <s v="15:04:46"/>
        <s v="20:23:14"/>
        <s v="08:33:03"/>
        <s v="13:27:55"/>
        <s v="13:55:03"/>
        <s v="15:59:59"/>
        <s v="17:44:27"/>
        <s v="17:45:27"/>
        <s v="19:22:42"/>
        <s v="05:12:35"/>
        <s v="05:13:12"/>
        <s v="05:26:01"/>
        <s v="12:24:35"/>
        <s v="13:19:49"/>
        <s v="13:40:44"/>
        <s v="13:41:49"/>
        <s v="22:20:00"/>
        <s v="07:22:55"/>
        <s v="09:31:30"/>
        <s v="09:34:25"/>
        <s v="21:19:03"/>
        <s v="21:25:48"/>
        <s v="09:35:11"/>
        <s v="16:03:40"/>
        <s v="16:06:29"/>
        <s v="08:34:01"/>
        <s v="20:13:11"/>
        <s v="20:13:16"/>
        <s v="20:18:37"/>
        <s v="20:19:11"/>
        <s v="08:31:00"/>
        <s v="08:31:06"/>
        <s v="08:49:57"/>
        <s v="08:50:17"/>
        <s v="12:59:20"/>
        <s v="13:57:32"/>
        <s v="05:22:35"/>
        <s v="06:37:46"/>
        <s v="08:04:52"/>
        <s v="09:00:55"/>
        <s v="14:44:28"/>
        <s v="16:46:40"/>
        <s v="09:53:45"/>
        <s v="10:36:18"/>
        <s v="12:59:18"/>
        <s v="16:45:02"/>
        <s v="17:53:45"/>
        <s v="17:54:25"/>
        <s v="19:08:05"/>
        <s v="19:11:24"/>
        <s v="20:13:46"/>
        <s v="07:24:53"/>
        <s v="07:24:57"/>
        <s v="07:25:45"/>
        <s v="07:26:54"/>
        <s v="07:34:33"/>
        <s v="09:07:42"/>
        <s v="15:18:27"/>
        <s v="15:35:24"/>
        <s v="15:54:40"/>
        <s v="20:27:21"/>
        <s v="10:29:32"/>
        <s v="12:17:19"/>
        <s v="13:45:13"/>
        <s v="14:45:00"/>
        <s v="08:22:09"/>
        <s v="09:37:56"/>
        <s v="10:24:35"/>
        <s v="10:45:13"/>
        <s v="11:43:23"/>
        <s v="15:10:14"/>
        <s v="15:10:39"/>
        <s v="15:50:52"/>
        <s v="17:21:52"/>
        <s v="17:22:07"/>
        <s v="21:26:52"/>
        <s v="09:46:22"/>
        <s v="09:58:10"/>
        <s v="10:19:07"/>
        <s v="10:26:25"/>
        <s v="13:37:29"/>
        <s v="16:19:24"/>
        <s v="16:19:53"/>
        <s v="16:33:30"/>
        <s v="16:33:35"/>
        <s v="16:35:09"/>
        <s v="16:37:05"/>
        <s v="16:37:11"/>
        <s v="16:38:00"/>
        <s v="17:52:40"/>
        <s v="08:18:46"/>
        <s v="16:26:43"/>
        <s v="16:28:50"/>
        <s v="16:30:06"/>
        <s v="16:42:10"/>
        <s v="16:42:16"/>
        <s v="19:50:55"/>
        <s v="20:01:01"/>
        <s v="21:35:20"/>
        <s v="07:34:50"/>
        <s v="14:01:02"/>
        <s v="23:25:37"/>
        <s v="08:32:13"/>
        <s v="08:37:47"/>
        <s v="13:27:46"/>
        <s v="13:27:52"/>
        <s v="13:29:17"/>
        <s v="14:15:07"/>
        <s v="14:15:14"/>
        <s v="06:02:22"/>
        <s v="06:27:37"/>
        <s v="06:40:05"/>
        <s v="11:04:01"/>
        <s v="16:15:42"/>
        <s v="18:34:38"/>
        <s v="17:22:05"/>
        <s v="21:36:15"/>
        <s v="18:58:58"/>
        <s v="19:05:41"/>
        <s v="08:05:42"/>
        <s v="08:10:04"/>
        <s v="11:48:39"/>
        <s v="11:54:12"/>
        <s v="11:57:38"/>
        <s v="13:46:30"/>
        <s v="17:09:03"/>
        <s v="17:36:50"/>
        <s v="19:02:09"/>
        <s v="19:02:48"/>
        <s v="09:12:18"/>
        <s v="12:18:41"/>
        <s v="16:56:39"/>
        <s v="17:03:39"/>
        <s v="17:10:30"/>
        <s v="17:10:55"/>
        <s v="19:18:09"/>
        <s v="20:07:05"/>
        <s v="07:48:14"/>
        <s v="14:17:32"/>
        <s v="18:14:22"/>
        <s v="19:08:55"/>
        <s v="19:26:47"/>
        <s v="07:51:51"/>
        <s v="07:55:31"/>
        <s v="07:58:04"/>
        <s v="12:39:15"/>
        <s v="17:17:48"/>
        <s v="22:26:40"/>
        <s v="07:07:03"/>
        <s v="07:11:29"/>
        <s v="07:11:35"/>
        <s v="07:15:35"/>
        <s v="07:54:14"/>
        <s v="07:57:15"/>
        <s v="12:20:07"/>
        <s v="12:21:28"/>
        <s v="15:09:10"/>
        <s v="16:26:14"/>
        <s v="16:31:36"/>
        <s v="16:32:00"/>
        <s v="16:35:15"/>
        <s v="17:24:20"/>
        <s v="17:38:25"/>
        <s v="17:41:08"/>
        <s v="19:33:07"/>
        <s v="07:43:24"/>
        <s v="07:44:34"/>
        <s v="09:36:29"/>
        <s v="12:12:03"/>
        <s v="17:48:51"/>
        <s v="08:51:02"/>
        <s v="08:51:07"/>
        <s v="08:52:05"/>
        <s v="08:52:42"/>
        <s v="08:58:22"/>
        <s v="10:32:20"/>
        <s v="11:56:12"/>
        <s v="12:23:30"/>
        <s v="17:45:09"/>
        <s v="17:46:01"/>
        <s v="19:13:36"/>
        <s v="19:14:38"/>
        <s v="07:20:48"/>
        <s v="10:26:51"/>
        <s v="10:53:16"/>
        <s v="12:54:08"/>
        <s v="13:29:50"/>
        <s v="14:40:57"/>
        <s v="15:18:02"/>
        <s v="20:21:31"/>
        <s v="20:52:05"/>
        <s v="11:21:15"/>
        <s v="12:07:08"/>
        <s v="13:03:33"/>
        <s v="19:59:50"/>
        <s v="21:05:45"/>
        <s v="06:31:23"/>
        <s v="07:12:10"/>
        <s v="12:38:48"/>
        <s v="12:39:25"/>
        <s v="13:29:57"/>
        <s v="15:25:16"/>
        <s v="16:36:11"/>
        <s v="17:02:59"/>
        <s v="19:29:41"/>
        <s v="08:41:25"/>
        <s v="18:43:29"/>
        <s v="10:45:17"/>
        <s v="10:50:29"/>
        <s v="10:53:57"/>
        <s v="19:08:11"/>
        <s v="20:13:13"/>
        <s v="20:14:51"/>
        <s v="20:30:17"/>
        <s v="21:16:01"/>
        <s v="13:18:50"/>
        <s v="13:43:23"/>
        <s v="15:50:05"/>
        <s v="15:50:28"/>
        <s v="16:51:20"/>
        <s v="17:38:53"/>
        <s v="09:59:16"/>
        <s v="10:00:55"/>
        <s v="12:05:01"/>
        <s v="12:14:03"/>
        <s v="12:29:43"/>
        <s v="12:31:02"/>
        <s v="15:55:28"/>
        <s v="17:38:26"/>
        <s v="03:47:05"/>
        <s v="14:03:43"/>
        <s v="16:26:50"/>
        <s v="07:40:13"/>
        <s v="13:58:11"/>
        <s v="14:49:55"/>
        <s v="15:22:43"/>
        <s v="15:49:57"/>
        <s v="13:25:44"/>
        <s v="14:31:55"/>
        <s v="14:35:13"/>
        <s v="15:45:02"/>
        <s v="03:34:44"/>
        <s v="15:21:01"/>
        <s v="13:08:33"/>
        <s v="19:49:34"/>
        <s v="04:16:38"/>
        <s v="04:44:33"/>
        <s v="07:56:46"/>
        <s v="10:26:27"/>
        <s v="14:13:31"/>
        <s v="14:57:33"/>
        <s v="15:43:47"/>
        <s v="15:47:21"/>
        <s v="15:47:27"/>
        <s v="15:54:45"/>
        <s v="17:04:39"/>
        <s v="19:02:27"/>
        <s v="21:16:05"/>
        <s v="21:57:39"/>
        <s v="04:14:42"/>
        <s v="07:31:19"/>
        <s v="07:31:31"/>
        <s v="11:50:11"/>
        <s v="16:02:13"/>
        <s v="17:54:52"/>
        <s v="03:29:26"/>
        <s v="03:32:07"/>
        <s v="04:09:29"/>
        <s v="10:15:53"/>
        <s v="11:27:52"/>
        <s v="16:16:53"/>
        <s v="03:42:14"/>
        <s v="12:46:13"/>
        <s v="13:26:44"/>
        <s v="13:42:55"/>
        <s v="13:43:01"/>
        <s v="13:45:07"/>
        <s v="14:02:09"/>
        <s v="14:22:05"/>
        <s v="15:23:36"/>
        <s v="15:51:04"/>
        <s v="17:36:36"/>
        <s v="19:31:29"/>
        <s v="00:12:27"/>
        <s v="04:04:39"/>
        <s v="10:55:17"/>
        <s v="17:43:55"/>
        <s v="17:44:40"/>
        <s v="03:25:01"/>
        <s v="03:28:20"/>
        <s v="04:14:16"/>
        <s v="12:19:47"/>
        <s v="12:44:12"/>
        <s v="15:11:09"/>
        <s v="17:54:34"/>
        <s v="09:05:17"/>
        <s v="14:07:45"/>
        <s v="20:23:24"/>
        <s v="03:24:25"/>
        <s v="07:35:23"/>
        <s v="11:09:35"/>
        <s v="12:52:55"/>
        <s v="12:58:12"/>
        <s v="13:05:42"/>
        <s v="13:08:11"/>
        <s v="13:19:26"/>
        <s v="13:20:20"/>
        <s v="13:26:42"/>
        <s v="15:02:55"/>
        <s v="15:03:32"/>
        <s v="15:05:47"/>
        <s v="15:46:54"/>
        <s v="17:02:26"/>
        <s v="17:24:09"/>
        <s v="18:57:28"/>
        <s v="03:43:14"/>
        <s v="03:43:51"/>
        <s v="15:56:56"/>
        <s v="17:24:57"/>
        <s v="18:04:20"/>
        <s v="18:05:07"/>
        <s v="18:46:02"/>
        <s v="18:49:57"/>
        <s v="19:36:23"/>
        <s v="03:32:35"/>
        <s v="03:32:36"/>
        <s v="17:19:04"/>
        <s v="18:46:26"/>
        <s v="19:37:04"/>
        <s v="03:41:04"/>
        <s v="04:05:22"/>
        <s v="04:07:34"/>
        <s v="04:08:19"/>
        <s v="07:56:04"/>
        <s v="09:43:01"/>
        <s v="16:47:28"/>
        <s v="17:05:30"/>
        <s v="17:06:21"/>
        <s v="17:27:08"/>
        <s v="18:30:30"/>
        <s v="09:01:59"/>
        <s v="09:02:33"/>
        <s v="16:41:31"/>
        <s v="16:58:45"/>
        <s v="17:01:56"/>
        <s v="17:28:10"/>
        <s v="17:46:44"/>
        <s v="10:00:04"/>
        <s v="10:36:53"/>
        <s v="16:07:30"/>
        <s v="18:16:20"/>
        <s v="11:11:50"/>
        <s v="11:11:56"/>
        <s v="11:13:46"/>
        <s v="11:14:15"/>
        <s v="11:19:46"/>
        <s v="11:25:16"/>
        <s v="12:06:50"/>
        <s v="15:24:06"/>
        <s v="16:00:07"/>
        <s v="16:35:32"/>
        <s v="16:43:27"/>
        <s v="21:32:28"/>
        <s v="08:53:57"/>
        <s v="09:24:12"/>
        <s v="10:01:07"/>
        <s v="11:03:37"/>
        <s v="11:22:10"/>
        <s v="12:14:13"/>
        <s v="17:44:56"/>
        <s v="10:36:34"/>
        <s v="15:38:39"/>
        <s v="17:32:42"/>
        <s v="22:05:30"/>
        <s v="13:24:34"/>
        <s v="14:39:58"/>
        <s v="14:40:04"/>
        <s v="14:41:25"/>
        <s v="14:48:16"/>
        <s v="14:58:31"/>
        <s v="03:33:31"/>
        <s v="03:33:36"/>
        <s v="03:40:58"/>
        <s v="03:42:47"/>
        <s v="17:44:22"/>
        <s v="18:06:04"/>
        <s v="04:10:14"/>
        <s v="14:27:49"/>
        <s v="16:29:02"/>
        <s v="16:52:56"/>
        <s v="19:05:19"/>
        <s v="20:23:11"/>
        <s v="09:24:07"/>
        <s v="16:10:48"/>
        <s v="16:14:45"/>
        <s v="16:16:05"/>
        <s v="16:21:58"/>
        <s v="09:43:20"/>
        <s v="13:19:24"/>
        <s v="13:19:31"/>
        <s v="14:41:32"/>
        <s v="16:39:38"/>
        <s v="17:35:37"/>
        <s v="17:38:59"/>
        <s v="06:38:20"/>
        <s v="17:00:56"/>
        <s v="19:28:19"/>
        <s v="19:39:09"/>
        <s v="06:59:53"/>
        <s v="13:27:53"/>
        <s v="18:31:40"/>
        <s v="11:02:52"/>
        <s v="11:16:48"/>
        <s v="09:43:47"/>
        <s v="13:53:28"/>
        <s v="11:09:04"/>
        <s v="17:18:33"/>
        <s v="18:09:38"/>
        <s v="10:19:43"/>
        <s v="10:20:19"/>
        <s v="05:29:03"/>
        <s v="10:07:59"/>
        <s v="11:49:33"/>
        <s v="13:37:56"/>
        <s v="05:58:13"/>
        <s v="07:12:55"/>
        <s v="12:41:46"/>
        <s v="14:45:23"/>
        <s v="16:07:57"/>
        <s v="16:08:02"/>
        <s v="16:09:31"/>
        <s v="16:10:25"/>
        <s v="18:12:28"/>
        <s v="18:27:03"/>
        <s v="19:36:42"/>
        <s v="06:34:57"/>
        <s v="08:59:02"/>
        <s v="09:15:41"/>
        <s v="09:33:50"/>
        <s v="09:41:36"/>
        <s v="10:35:49"/>
        <s v="21:10:40"/>
        <s v="22:19:35"/>
        <s v="23:10:09"/>
        <s v="05:47:02"/>
        <s v="08:15:30"/>
        <s v="08:15:35"/>
        <s v="08:17:11"/>
        <s v="17:54:51"/>
        <s v="18:21:34"/>
        <s v="22:42:44"/>
        <s v="22:42:49"/>
        <s v="22:46:29"/>
        <s v="23:16:19"/>
        <s v="07:54:54"/>
        <s v="07:55:00"/>
        <s v="07:56:35"/>
        <s v="09:07:23"/>
        <s v="10:17:08"/>
        <s v="12:46:00"/>
        <s v="22:51:10"/>
        <s v="07:26:46"/>
        <s v="07:28:21"/>
        <s v="16:57:32"/>
        <s v="13:14:33"/>
        <s v="13:17:29"/>
        <s v="15:47:32"/>
        <s v="15:47:37"/>
        <s v="15:48:49"/>
        <s v="16:03:56"/>
        <s v="16:06:58"/>
        <s v="16:16:48"/>
        <s v="16:48:48"/>
        <s v="18:28:38"/>
        <s v="18:35:07"/>
        <s v="21:56:55"/>
        <s v="09:13:47"/>
        <s v="13:30:08"/>
        <s v="20:22:29"/>
        <s v="21:31:24"/>
        <s v="05:57:58"/>
        <s v="08:19:12"/>
        <s v="08:49:38"/>
        <s v="10:05:42"/>
        <s v="11:39:40"/>
        <s v="13:02:20"/>
        <s v="15:51:46"/>
        <s v="17:19:19"/>
        <s v="17:23:38"/>
        <s v="17:35:57"/>
        <s v="18:04:11"/>
        <s v="20:59:55"/>
        <s v="07:27:35"/>
        <s v="07:55:39"/>
        <s v="15:16:06"/>
        <s v="18:05:15"/>
        <s v="07:29:10"/>
        <s v="08:24:25"/>
        <s v="11:23:06"/>
        <s v="13:23:04"/>
        <s v="13:24:04"/>
        <s v="13:26:28"/>
        <s v="18:26:25"/>
        <s v="19:08:26"/>
        <s v="03:14:13"/>
        <s v="03:14:19"/>
        <s v="05:48:07"/>
        <s v="05:59:06"/>
        <s v="09:53:44"/>
        <s v="10:57:04"/>
        <s v="12:57:48"/>
        <s v="15:47:07"/>
        <s v="17:03:38"/>
        <s v="19:39:26"/>
        <s v="20:09:07"/>
        <s v="07:51:45"/>
        <s v="18:24:54"/>
        <s v="08:17:55"/>
        <s v="15:10:40"/>
        <s v="11:12:17"/>
        <s v="03:26:00"/>
        <s v="03:26:10"/>
        <s v="03:26:50"/>
        <s v="03:27:45"/>
        <s v="03:31:29"/>
        <s v="03:35:38"/>
        <s v="03:41:37"/>
        <s v="07:36:37"/>
        <s v="08:56:12"/>
        <s v="12:15:18"/>
        <s v="13:22:25"/>
        <s v="20:32:54"/>
        <s v="21:42:46"/>
        <s v="05:47:00"/>
        <s v="05:47:06"/>
        <s v="06:13:05"/>
        <s v="06:14:44"/>
        <s v="06:36:53"/>
        <s v="06:37:33"/>
        <s v="09:00:47"/>
        <s v="09:34:55"/>
        <s v="09:49:03"/>
        <s v="09:59:36"/>
        <s v="12:36:40"/>
        <s v="13:25:18"/>
        <s v="15:06:02"/>
        <s v="15:06:07"/>
        <s v="15:07:50"/>
        <s v="16:11:13"/>
        <s v="16:15:34"/>
        <s v="08:07:06"/>
        <s v="09:12:46"/>
        <s v="10:39:33"/>
        <s v="16:20:07"/>
        <s v="18:28:51"/>
        <s v="18:35:48"/>
        <s v="18:42:39"/>
        <s v="19:03:15"/>
        <s v="08:38:29"/>
        <s v="10:38:27"/>
        <s v="14:18:41"/>
        <s v="18:47:09"/>
        <s v="20:58:18"/>
        <s v="09:15:44"/>
        <s v="17:59:30"/>
        <s v="18:19:45"/>
        <s v="20:13:26"/>
        <s v="20:13:31"/>
        <s v="20:17:13"/>
        <s v="21:38:14"/>
        <s v="23:11:18"/>
        <s v="08:52:50"/>
        <s v="09:17:40"/>
        <s v="11:40:47"/>
        <s v="12:22:30"/>
        <s v="16:53:42"/>
        <s v="18:08:25"/>
        <s v="20:31:22"/>
        <s v="09:16:37"/>
        <s v="10:36:22"/>
        <s v="10:36:30"/>
        <s v="10:47:53"/>
        <s v="16:53:59"/>
        <s v="17:00:55"/>
        <s v="17:52:10"/>
        <s v="07:57:16"/>
        <s v="08:01:29"/>
        <s v="09:51:23"/>
        <s v="09:51:30"/>
        <s v="11:31:52"/>
        <s v="13:13:29"/>
        <s v="13:13:33"/>
        <s v="14:58:58"/>
        <s v="14:59:05"/>
        <s v="19:52:22"/>
        <s v="19:52:28"/>
        <s v="08:45:59"/>
        <s v="08:46:05"/>
        <s v="09:18:18"/>
        <s v="11:12:42"/>
        <s v="11:15:35"/>
        <s v="11:16:06"/>
        <s v="11:35:29"/>
        <s v="12:48:23"/>
        <s v="17:59:22"/>
        <s v="19:56:55"/>
        <s v="21:07:13"/>
        <s v="09:24:55"/>
        <s v="10:25:36"/>
        <s v="11:46:38"/>
        <s v="11:46:44"/>
        <s v="13:52:07"/>
        <s v="16:36:18"/>
        <s v="20:15:35"/>
        <s v="08:41:16"/>
        <s v="08:41:35"/>
        <s v="08:51:43"/>
        <s v="09:53:24"/>
        <s v="16:08:51"/>
        <s v="18:02:49"/>
        <s v="19:38:42"/>
        <s v="09:05:38"/>
        <s v="09:58:08"/>
        <s v="10:35:25"/>
        <s v="10:35:30"/>
        <s v="11:34:20"/>
        <s v="16:06:26"/>
        <s v="18:40:54"/>
        <s v="19:49:20"/>
        <s v="20:22:28"/>
        <s v="05:12:44"/>
        <s v="05:12:49"/>
        <s v="08:22:40"/>
        <s v="08:22:45"/>
        <s v="08:53:09"/>
        <s v="09:18:49"/>
        <s v="12:45:24"/>
        <s v="15:16:56"/>
        <s v="18:08:20"/>
        <s v="18:44:04"/>
        <s v="18:56:58"/>
        <s v="07:10:28"/>
        <s v="07:10:34"/>
        <s v="10:06:53"/>
        <s v="10:07:00"/>
        <s v="14:11:27"/>
        <s v="14:11:32"/>
        <s v="17:32:33"/>
        <s v="17:37:29"/>
        <s v="07:22:25"/>
        <s v="07:38:23"/>
        <s v="08:44:27"/>
        <s v="17:23:12"/>
        <s v="05:24:02"/>
        <s v="05:54:53"/>
        <s v="07:17:35"/>
        <s v="09:30:40"/>
        <s v="11:40:48"/>
        <s v="12:14:45"/>
        <s v="12:23:07"/>
        <s v="12:53:17"/>
        <s v="12:53:19"/>
        <s v="12:54:39"/>
        <s v="13:44:14"/>
        <s v="15:14:10"/>
        <s v="15:14:14"/>
        <s v="15:17:33"/>
        <s v="15:17:37"/>
        <s v="18:32:39"/>
        <s v="18:32:56"/>
        <s v="19:03:10"/>
        <s v="19:03:17"/>
        <s v="19:43:23"/>
        <s v="19:43:51"/>
        <s v="07:23:11"/>
        <s v="07:51:56"/>
        <s v="11:41:29"/>
        <s v="19:06:56"/>
        <s v="07:24:51"/>
        <s v="07:24:58"/>
        <s v="08:14:31"/>
        <s v="08:14:32"/>
        <s v="08:39:25"/>
        <s v="08:45:28"/>
        <s v="08:45:53"/>
        <s v="13:15:17"/>
        <s v="18:12:29"/>
        <s v="04:15:20"/>
        <s v="04:15:55"/>
        <s v="07:47:56"/>
        <s v="13:22:07"/>
        <s v="19:40:40"/>
        <s v="20:44:43"/>
        <s v="08:46:55"/>
        <s v="08:51:01"/>
        <s v="09:22:01"/>
        <s v="09:22:22"/>
        <s v="10:19:17"/>
        <s v="10:22:15"/>
        <s v="18:24:04"/>
        <s v="18:24:06"/>
        <s v="18:53:02"/>
        <s v="19:57:36"/>
        <s v="19:58:46"/>
        <s v="13:40:43"/>
        <s v="12:30:46"/>
        <s v="12:33:54"/>
        <s v="19:28:09"/>
        <s v="09:41:27"/>
        <s v="10:29:08"/>
        <s v="10:55:12"/>
        <s v="13:54:01"/>
        <s v="19:20:31"/>
        <s v="08:28:39"/>
        <s v="13:53:19"/>
        <s v="18:55:42"/>
        <s v="23:00:21"/>
        <s v="23:38:44"/>
        <s v="12:28:51"/>
        <s v="18:20:47"/>
        <s v="18:37:19"/>
        <s v="07:14:40"/>
        <s v="08:03:52"/>
        <s v="08:46:54"/>
        <s v="13:27:17"/>
        <s v="16:41:55"/>
        <s v="08:23:50"/>
        <s v="15:46:56"/>
        <s v="16:13:00"/>
        <s v="18:29:30"/>
        <s v="18:40:09"/>
        <s v="18:46:37"/>
        <s v="18:50:14"/>
        <s v="19:16:19"/>
        <s v="19:18:24"/>
        <s v="16:11:47"/>
        <s v="16:47:02"/>
        <s v="12:11:39"/>
        <s v="12:29:49"/>
        <s v="04:27:22"/>
        <s v="04:27:23"/>
        <s v="04:28:26"/>
        <s v="05:07:32"/>
        <s v="07:10:47"/>
        <s v="10:57:57"/>
        <s v="13:35:27"/>
        <s v="12:50:36"/>
        <s v="07:44:59"/>
        <s v="09:03:20"/>
        <s v="15:07:43"/>
        <s v="15:08:29"/>
        <s v="09:46:30"/>
        <s v="09:52:18"/>
        <s v="13:04:50"/>
        <s v="13:05:57"/>
        <s v="21:17:02"/>
        <s v="06:49:27"/>
        <s v="06:56:54"/>
        <s v="06:57:50"/>
        <s v="10:00:48"/>
        <s v="07:25:18"/>
        <s v="13:34:59"/>
        <s v="13:37:07"/>
        <s v="04:48:43"/>
        <s v="04:48:45"/>
        <s v="06:08:22"/>
        <s v="07:00:15"/>
        <s v="07:25:30"/>
        <s v="07:31:32"/>
        <s v="07:57:13"/>
        <s v="08:25:25"/>
        <s v="13:09:26"/>
        <s v="13:10:11"/>
        <s v="20:15:54"/>
        <s v="13:26:19"/>
        <s v="13:31:14"/>
        <s v="15:25:15"/>
        <s v="20:46:38"/>
        <s v="20:48:42"/>
        <s v="10:20:26"/>
        <s v="10:24:02"/>
        <s v="18:42:55"/>
        <s v="19:04:55"/>
        <s v="19:42:14"/>
        <s v="15:20:58"/>
        <s v="15:42:17"/>
        <s v="15:57:56"/>
        <s v="16:18:22"/>
        <s v="17:15:27"/>
        <s v="19:30:17"/>
        <s v="20:25:52"/>
        <s v="06:44:56"/>
        <s v="10:57:40"/>
        <s v="18:26:22"/>
        <s v="11:14:13"/>
        <s v="14:23:34"/>
        <s v="03:59:33"/>
        <s v="08:22:27"/>
        <s v="11:42:51"/>
        <s v="12:36:44"/>
        <s v="13:26:41"/>
        <s v="19:27:24"/>
        <s v="21:51:33"/>
        <s v="07:25:25"/>
        <s v="08:05:30"/>
        <s v="08:29:21"/>
        <s v="08:57:24"/>
        <s v="09:35:18"/>
        <s v="13:16:25"/>
        <s v="15:19:49"/>
        <s v="18:18:11"/>
        <s v="13:18:02"/>
        <s v="13:31:18"/>
        <s v="15:25:27"/>
        <s v="08:18:16"/>
        <s v="14:34:04"/>
        <s v="14:34:05"/>
        <s v="14:46:40"/>
        <s v="14:49:14"/>
        <s v="14:50:54"/>
        <s v="15:20:03"/>
        <s v="16:53:16"/>
        <s v="18:17:17"/>
        <s v="13:55:47"/>
        <s v="17:29:01"/>
        <s v="20:39:22"/>
        <s v="06:50:31"/>
        <s v="10:36:58"/>
        <s v="10:39:44"/>
        <s v="17:03:31"/>
        <s v="18:09:27"/>
        <s v="19:04:19"/>
        <s v="08:07:28"/>
        <s v="11:35:08"/>
        <s v="13:50:07"/>
        <s v="09:51:09"/>
        <s v="11:43:19"/>
        <s v="11:43:20"/>
        <s v="11:48:41"/>
        <s v="15:17:07"/>
        <s v="15:20:04"/>
        <s v="07:49:36"/>
        <s v="07:49:41"/>
        <s v="08:19:39"/>
        <s v="15:50:51"/>
        <s v="11:26:31"/>
        <s v="12:32:02"/>
        <s v="16:10:03"/>
        <s v="18:19:17"/>
        <s v="19:28:59"/>
        <s v="20:01:56"/>
        <s v="04:30:27"/>
        <s v="11:40:15"/>
        <s v="20:44:26"/>
        <s v="20:44:28"/>
        <s v="21:53:10"/>
        <s v="22:07:50"/>
        <s v="22:10:51"/>
        <s v="22:57:16"/>
        <s v="22:57:18"/>
        <s v="22:58:23"/>
        <s v="09:30:02"/>
        <s v="12:22:24"/>
        <s v="12:32:18"/>
        <s v="14:06:42"/>
        <s v="14:09:59"/>
        <s v="14:13:45"/>
        <s v="18:54:49"/>
        <s v="19:50:20"/>
        <s v="20:24:31"/>
        <s v="08:01:50"/>
        <s v="10:04:39"/>
        <s v="10:04:42"/>
        <s v="10:19:34"/>
        <s v="15:42:57"/>
        <s v="15:51:14"/>
        <s v="15:52:23"/>
        <s v="15:52:34"/>
        <s v="16:10:26"/>
        <s v="16:52:18"/>
        <s v="16:54:58"/>
        <s v="18:27:46"/>
        <s v="11:06:57"/>
        <s v="20:57:30"/>
        <s v="08:32:07"/>
        <s v="12:17:55"/>
        <s v="16:05:58"/>
        <s v="20:24:59"/>
        <s v="08:57:56"/>
        <s v="10:03:03"/>
        <s v="16:23:42"/>
        <s v="16:34:56"/>
        <s v="10:00:31"/>
        <s v="12:37:30"/>
        <s v="20:14:16"/>
        <s v="20:54:15"/>
        <s v="21:03:35"/>
        <s v="13:41:20"/>
        <s v="13:42:42"/>
        <s v="11:24:40"/>
        <s v="11:25:59"/>
        <s v="19:16:05"/>
        <s v="10:16:11"/>
        <s v="15:47:59"/>
        <s v="08:12:51"/>
        <s v="08:13:02"/>
        <s v="08:17:14"/>
        <s v="08:19:21"/>
        <s v="08:25:31"/>
        <s v="08:00:19"/>
        <s v="08:02:04"/>
        <s v="17:45:38"/>
        <s v="08:10:16"/>
        <s v="09:17:31"/>
        <s v="09:19:19"/>
        <s v="09:39:23"/>
        <s v="09:45:12"/>
        <s v="10:47:09"/>
        <s v="10:59:05"/>
        <s v="11:05:15"/>
        <s v="07:59:10"/>
        <s v="22:15:03"/>
        <s v="08:08:07"/>
        <s v="08:52:36"/>
        <s v="09:01:40"/>
        <s v="22:03:39"/>
        <s v="12:15:37"/>
        <s v="17:20:55"/>
        <s v="20:54:50"/>
        <s v="20:55:04"/>
        <s v="08:00:48"/>
        <s v="21:04:35"/>
        <s v="17:56:11"/>
        <s v="17:56:35"/>
        <s v="18:23:07"/>
        <s v="21:41:35"/>
        <s v="09:44:22"/>
        <s v="21:44:51"/>
        <s v="09:20:49"/>
        <s v="14:18:56"/>
        <s v="14:18:57"/>
        <s v="14:20:25"/>
        <s v="14:22:38"/>
        <s v="02:37:19"/>
        <s v="20:26:58"/>
        <s v="07:36:09"/>
        <s v="07:36:22"/>
        <s v="12:43:12"/>
        <s v="12:44:53"/>
        <s v="18:55:08"/>
        <s v="15:41:33"/>
        <s v="18:16:19"/>
        <s v="16:09:58"/>
        <s v="14:20:48"/>
        <s v="14:29:03"/>
        <s v="14:34:18"/>
        <s v="18:23:20"/>
        <s v="20:01:20"/>
        <s v="12:09:46"/>
        <s v="09:25:33"/>
        <s v="10:04:11"/>
        <s v="18:21:38"/>
        <s v="20:25:42"/>
        <s v="23:27:34"/>
        <s v="17:46:34"/>
        <s v="07:04:00"/>
        <s v="07:04:02"/>
        <s v="07:42:45"/>
        <s v="04:06:58"/>
        <s v="09:35:52"/>
        <s v="08:49:02"/>
        <s v="09:48:46"/>
        <s v="19:09:29"/>
        <s v="19:31:20"/>
        <s v="15:36:36"/>
        <s v="15:44:28"/>
        <s v="15:44:30"/>
        <s v="16:20:29"/>
        <s v="22:15:36"/>
        <s v="07:32:51"/>
        <s v="07:37:53"/>
        <s v="09:08:25"/>
        <s v="14:14:50"/>
        <s v="15:54:43"/>
        <s v="15:03:11"/>
        <s v="15:03:12"/>
        <s v="15:04:13"/>
        <s v="15:34:35"/>
        <s v="04:09:06"/>
        <s v="15:30:57"/>
        <s v="08:28:33"/>
        <s v="08:28:34"/>
        <s v="08:31:31"/>
        <s v="11:56:19"/>
        <s v="16:49:59"/>
        <s v="16:50:01"/>
        <s v="17:02:33"/>
        <s v="20:05:12"/>
        <s v="07:41:49"/>
        <s v="07:41:50"/>
        <s v="08:32:34"/>
        <s v="11:01:08"/>
        <s v="07:38:03"/>
        <s v="08:02:46"/>
        <s v="08:02:48"/>
        <s v="08:33:00"/>
        <s v="10:57:34"/>
        <s v="11:02:31"/>
        <s v="14:00:15"/>
        <s v="17:01:09"/>
        <s v="17:01:11"/>
        <s v="17:02:00"/>
        <s v="18:30:20"/>
        <s v="14:07:02"/>
        <s v="20:24:45"/>
        <s v="03:58:07"/>
        <s v="07:54:41"/>
        <s v="08:19:10"/>
        <s v="17:07:28"/>
        <s v="05:27:20"/>
        <s v="13:51:51"/>
        <s v="09:59:43"/>
        <s v="09:59:44"/>
        <s v="10:00:14"/>
        <s v="07:30:43"/>
        <s v="09:10:13"/>
        <s v="09:10:15"/>
        <s v="09:48:49"/>
        <s v="11:06:38"/>
        <s v="09:41:09"/>
        <s v="09:41:24"/>
        <s v="10:02:37"/>
        <s v="10:03:15"/>
        <s v="10:06:09"/>
        <s v="10:06:36"/>
        <s v="10:07:42"/>
        <s v="20:50:27"/>
        <s v="20:51:46"/>
        <s v="04:51:41"/>
        <s v="04:52:08"/>
        <s v="04:53:55"/>
        <s v="06:29:15"/>
        <s v="12:02:12"/>
        <s v="17:59:24"/>
        <s v="11:45:14"/>
        <s v="11:45:15"/>
        <s v="11:46:35"/>
        <s v="13:36:45"/>
        <s v="13:37:11"/>
        <s v="13:06:47"/>
        <s v="14:40:06"/>
        <s v="18:53:48"/>
        <s v="05:06:49"/>
        <s v="05:06:51"/>
        <s v="08:23:22"/>
        <s v="14:08:04"/>
        <s v="14:11:28"/>
        <s v="17:37:15"/>
        <s v="18:57:19"/>
        <s v="19:54:33"/>
        <s v="22:05:55"/>
        <s v="08:42:52"/>
        <s v="08:56:31"/>
        <s v="09:29:57"/>
        <s v="10:03:12"/>
        <s v="10:03:28"/>
        <s v="10:30:57"/>
        <s v="16:37:25"/>
        <s v="16:47:24"/>
        <s v="17:05:23"/>
        <s v="18:23:05"/>
        <s v="04:50:54"/>
        <s v="10:27:45"/>
        <s v="10:40:04"/>
        <s v="12:34:49"/>
        <s v="13:20:13"/>
        <s v="13:36:15"/>
        <s v="14:30:19"/>
        <s v="14:48:55"/>
        <s v="17:02:30"/>
        <s v="18:10:57"/>
        <s v="14:55:55"/>
        <s v="17:37:36"/>
        <s v="17:56:27"/>
        <s v="18:49:39"/>
        <s v="18:51:08"/>
        <s v="07:12:22"/>
        <s v="08:16:24"/>
        <s v="08:16:26"/>
        <s v="08:17:04"/>
        <s v="20:51:47"/>
        <s v="14:23:59"/>
        <s v="14:24:01"/>
        <s v="14:24:53"/>
        <s v="14:35:18"/>
        <s v="09:44:26"/>
        <s v="12:35:31"/>
        <s v="12:44:58"/>
        <s v="20:07:11"/>
        <s v="08:11:24"/>
        <s v="11:10:14"/>
        <s v="13:27:54"/>
        <s v="11:34:54"/>
        <s v="14:02:30"/>
        <s v="15:38:10"/>
        <s v="01:48:35"/>
        <s v="01:48:49"/>
        <s v="17:01:39"/>
        <s v="17:22:38"/>
        <s v="19:57:14"/>
        <s v="19:57:23"/>
        <s v="07:48:08"/>
        <s v="11:54:23"/>
        <s v="18:41:31"/>
        <s v="18:41:39"/>
        <s v="19:03:36"/>
        <s v="19:05:09"/>
        <s v="00:32:07"/>
        <s v="10:47:42"/>
        <s v="13:02:09"/>
        <s v="17:07:42"/>
        <s v="21:15:30"/>
        <s v="09:09:37"/>
        <s v="19:13:09"/>
        <s v="21:23:59"/>
        <s v="07:43:52"/>
        <s v="10:16:13"/>
        <s v="10:16:15"/>
        <s v="10:17:37"/>
        <s v="20:43:12"/>
        <s v="20:44:06"/>
        <s v="16:47:21"/>
        <s v="16:47:40"/>
        <s v="11:33:00"/>
        <s v="12:19:27"/>
        <s v="10:03:49"/>
        <s v="10:03:51"/>
        <s v="10:04:59"/>
        <s v="13:15:36"/>
        <s v="13:17:57"/>
        <s v="13:23:12"/>
        <s v="17:30:24"/>
        <s v="12:19:31"/>
        <s v="19:22:36"/>
        <s v="19:36:51"/>
        <s v="10:28:48"/>
        <s v="10:28:49"/>
        <s v="13:21:54"/>
        <s v="12:31:42"/>
        <s v="13:27:42"/>
        <s v="13:39:20"/>
        <s v="08:40:14"/>
        <s v="10:13:33"/>
        <s v="10:18:41"/>
        <s v="10:24:13"/>
        <s v="10:24:30"/>
        <s v="12:00:16"/>
        <s v="14:25:24"/>
        <s v="15:59:02"/>
        <s v="15:59:11"/>
        <s v="16:12:00"/>
        <s v="17:12:22"/>
        <s v="09:01:30"/>
        <s v="09:27:13"/>
        <s v="19:12:21"/>
        <s v="16:22:59"/>
        <s v="17:51:20"/>
        <s v="18:25:09"/>
        <s v="04:43:27"/>
        <s v="04:43:29"/>
        <s v="04:46:49"/>
        <s v="06:36:04"/>
        <s v="09:01:06"/>
        <s v="10:19:15"/>
        <s v="10:20:29"/>
        <s v="14:31:36"/>
        <s v="14:33:54"/>
        <s v="21:47:28"/>
        <s v="09:37:21"/>
        <s v="13:16:06"/>
        <s v="07:47:28"/>
        <s v="13:58:16"/>
        <s v="08:04:36"/>
        <s v="10:06:37"/>
        <s v="10:16:46"/>
        <s v="10:20:46"/>
        <s v="12:27:36"/>
        <s v="18:38:19"/>
        <s v="09:01:05"/>
        <s v="11:53:26"/>
        <s v="14:00:05"/>
        <s v="14:17:21"/>
        <s v="16:13:21"/>
        <s v="06:55:20"/>
        <s v="10:31:31"/>
        <s v="10:31:45"/>
        <s v="15:00:10"/>
        <s v="16:08:27"/>
        <s v="16:26:38"/>
        <s v="20:20:33"/>
        <s v="09:30:50"/>
        <s v="11:20:41"/>
        <s v="15:29:10"/>
        <s v="21:11:21"/>
        <s v="07:36:51"/>
        <s v="08:15:34"/>
        <s v="10:01:40"/>
        <s v="11:49:50"/>
        <s v="11:52:05"/>
        <s v="13:01:11"/>
        <s v="13:01:26"/>
        <s v="17:29:54"/>
        <s v="09:27:42"/>
        <s v="09:30:15"/>
        <s v="09:47:20"/>
        <s v="17:24:54"/>
        <s v="10:36:24"/>
        <s v="11:56:13"/>
        <s v="11:56:39"/>
        <s v="16:05:42"/>
        <s v="08:16:53"/>
        <s v="09:52:15"/>
        <s v="16:17:41"/>
        <s v="16:18:15"/>
        <s v="18:48:51"/>
        <s v="08:31:54"/>
        <s v="10:28:28"/>
        <s v="11:54:25"/>
        <s v="11:54:46"/>
        <s v="18:24:38"/>
        <s v="18:27:14"/>
        <s v="18:30:15"/>
        <s v="07:26:57"/>
        <s v="07:27:38"/>
        <s v="18:36:40"/>
        <s v="18:41:25"/>
        <s v="05:28:20"/>
        <s v="10:30:55"/>
        <s v="10:35:13"/>
        <s v="10:35:28"/>
        <s v="15:30:05"/>
        <s v="07:54:08"/>
        <s v="12:45:46"/>
        <s v="12:47:53"/>
        <s v="12:50:08"/>
        <s v="18:03:05"/>
        <s v="18:07:28"/>
        <s v="18:10:47"/>
        <s v="20:39:49"/>
        <s v="21:21:01"/>
        <s v="08:26:06"/>
        <s v="08:31:42"/>
        <s v="09:05:13"/>
        <s v="09:19:08"/>
        <s v="10:56:56"/>
        <s v="13:53:57"/>
        <s v="14:41:59"/>
        <s v="15:18:46"/>
        <s v="16:55:55"/>
        <s v="20:29:02"/>
        <s v="20:29:04"/>
        <s v="20:30:49"/>
        <s v="20:37:43"/>
        <s v="20:37:58"/>
        <s v="20:38:20"/>
        <s v="20:39:32"/>
        <s v="07:47:11"/>
        <s v="08:08:14"/>
        <s v="08:46:34"/>
        <s v="08:50:58"/>
        <s v="09:00:14"/>
        <s v="10:55:24"/>
        <s v="11:03:50"/>
        <s v="04:13:58"/>
        <s v="04:14:00"/>
        <s v="06:17:47"/>
        <s v="06:58:53"/>
        <s v="07:45:11"/>
        <s v="08:30:02"/>
        <s v="08:32:23"/>
        <s v="08:36:34"/>
        <s v="08:37:02"/>
        <s v="17:46:58"/>
        <s v="06:22:36"/>
        <s v="06:25:05"/>
        <s v="07:24:38"/>
        <s v="08:29:58"/>
        <s v="09:13:28"/>
        <s v="09:17:04"/>
        <s v="12:27:35"/>
        <s v="13:41:21"/>
        <s v="13:53:47"/>
        <s v="10:55:49"/>
        <s v="11:05:10"/>
        <s v="11:06:05"/>
        <s v="19:53:32"/>
        <s v="08:45:58"/>
        <s v="12:17:42"/>
        <s v="12:19:52"/>
        <s v="12:25:43"/>
        <s v="12:45:05"/>
        <s v="14:32:49"/>
        <s v="19:26:00"/>
        <s v="09:45:24"/>
        <s v="10:40:48"/>
        <s v="12:09:02"/>
        <s v="12:11:50"/>
        <s v="12:12:16"/>
        <s v="12:13:10"/>
        <s v="08:11:16"/>
        <s v="08:38:30"/>
        <s v="10:41:24"/>
        <s v="11:52:44"/>
        <s v="22:45:13"/>
        <s v="09:09:55"/>
        <s v="09:21:37"/>
        <s v="09:22:02"/>
        <s v="16:26:22"/>
        <s v="07:25:20"/>
        <s v="17:44:51"/>
        <s v="18:58:44"/>
        <s v="19:13:05"/>
        <s v="19:13:42"/>
        <s v="15:48:59"/>
        <s v="06:17:13"/>
        <s v="08:08:38"/>
        <s v="08:12:23"/>
        <s v="08:39:13"/>
        <s v="08:39:52"/>
        <s v="08:40:28"/>
        <s v="15:27:39"/>
        <s v="15:27:56"/>
        <s v="15:34:33"/>
        <s v="15:35:03"/>
        <s v="15:35:22"/>
        <s v="17:48:02"/>
        <s v="17:48:55"/>
        <s v="08:06:44"/>
        <s v="09:18:48"/>
        <s v="09:41:02"/>
        <s v="09:41:33"/>
        <s v="14:58:11"/>
        <s v="17:54:23"/>
        <s v="06:38:22"/>
        <s v="07:31:24"/>
        <s v="13:14:27"/>
        <s v="13:24:55"/>
        <s v="13:25:01"/>
        <s v="18:26:43"/>
        <s v="06:57:04"/>
        <s v="13:30:23"/>
        <s v="13:30:59"/>
        <s v="17:58:42"/>
        <s v="19:32:07"/>
        <s v="08:46:37"/>
        <s v="08:15:09"/>
        <s v="08:19:47"/>
        <s v="21:16:18"/>
        <s v="10:28:17"/>
        <s v="10:56:39"/>
        <s v="16:35:29"/>
        <s v="17:37:24"/>
        <s v="07:01:07"/>
        <s v="07:02:07"/>
        <s v="15:38:51"/>
        <s v="17:00:24"/>
        <s v="08:12:28"/>
        <s v="08:12:40"/>
        <s v="08:27:14"/>
        <s v="21:41:53"/>
        <s v="23:00:06"/>
        <s v="09:43:41"/>
        <s v="10:02:52"/>
        <s v="10:31:39"/>
        <s v="10:37:50"/>
        <s v="16:45:45"/>
        <s v="21:30:35"/>
        <s v="06:54:24"/>
        <s v="10:10:02"/>
        <s v="10:15:01"/>
        <s v="14:44:54"/>
        <s v="14:45:55"/>
        <s v="19:38:10"/>
        <s v="08:42:15"/>
        <s v="08:43:12"/>
        <s v="09:56:21"/>
        <s v="11:23:31"/>
        <s v="14:50:34"/>
        <s v="14:50:38"/>
        <s v="16:09:56"/>
        <s v="16:10:00"/>
        <s v="16:22:03"/>
        <s v="16:23:02"/>
        <s v="16:23:07"/>
        <s v="16:45:36"/>
        <s v="16:45:40"/>
        <s v="16:46:15"/>
        <s v="16:46:20"/>
        <s v="13:05:53"/>
        <s v="14:36:37"/>
        <s v="15:18:34"/>
        <s v="15:18:38"/>
        <s v="18:45:49"/>
        <s v="18:53:32"/>
        <s v="19:45:28"/>
        <s v="12:56:00"/>
        <s v="12:59:23"/>
        <s v="17:12:53"/>
        <s v="07:38:07"/>
        <s v="07:39:35"/>
        <s v="09:34:18"/>
        <s v="18:16:30"/>
        <s v="18:36:32"/>
        <s v="20:24:07"/>
        <s v="08:31:55"/>
        <s v="10:39:28"/>
        <s v="10:52:28"/>
        <s v="15:12:53"/>
        <s v="09:20:31"/>
        <s v="09:29:21"/>
        <s v="09:48:59"/>
        <s v="12:58:30"/>
        <s v="12:58:35"/>
        <s v="13:05:59"/>
        <s v="13:06:01"/>
        <s v="13:09:57"/>
        <s v="16:12:26"/>
        <s v="16:53:50"/>
        <s v="16:58:12"/>
        <s v="17:04:31"/>
        <s v="17:53:53"/>
        <s v="17:55:05"/>
        <s v="18:14:44"/>
        <s v="18:16:34"/>
        <s v="18:40:14"/>
        <s v="18:59:03"/>
        <s v="07:11:15"/>
        <s v="07:11:53"/>
        <s v="07:13:59"/>
        <s v="07:26:33"/>
        <s v="08:03:24"/>
        <s v="09:19:01"/>
        <s v="11:14:32"/>
        <s v="12:33:04"/>
        <s v="13:12:01"/>
        <s v="16:45:23"/>
        <s v="16:45:41"/>
        <s v="08:59:52"/>
        <s v="18:10:20"/>
        <s v="18:11:52"/>
        <s v="19:05:37"/>
        <s v="19:05:54"/>
        <s v="19:06:30"/>
        <s v="20:06:57"/>
        <s v="21:13:31"/>
        <s v="21:14:14"/>
        <s v="21:38:13"/>
        <s v="12:59:19"/>
        <s v="13:01:22"/>
        <s v="13:01:34"/>
        <s v="13:07:45"/>
        <s v="13:12:33"/>
        <s v="13:42:01"/>
        <s v="17:26:24"/>
        <s v="21:03:05"/>
        <s v="06:28:40"/>
        <s v="08:23:27"/>
        <s v="08:29:24"/>
        <s v="09:28:56"/>
        <s v="10:20:55"/>
        <s v="09:14:08"/>
        <s v="09:21:27"/>
        <s v="14:02:34"/>
        <s v="14:16:44"/>
        <s v="13:34:18"/>
        <s v="13:36:23"/>
        <s v="17:54:06"/>
        <s v="17:54:11"/>
        <s v="17:55:02"/>
        <s v="17:55:25"/>
        <s v="18:21:40"/>
        <s v="08:08:48"/>
        <s v="10:39:58"/>
        <s v="12:21:02"/>
        <s v="12:26:06"/>
        <s v="21:17:47"/>
        <s v="08:34:46"/>
        <s v="16:58:43"/>
        <s v="18:33:48"/>
        <s v="18:34:32"/>
        <s v="12:04:10"/>
        <s v="13:29:03"/>
        <s v="14:14:05"/>
        <s v="10:19:19"/>
        <s v="10:23:52"/>
        <s v="16:30:04"/>
        <s v="16:30:11"/>
        <s v="17:42:15"/>
        <s v="18:00:50"/>
        <s v="18:00:52"/>
        <s v="01:00:07"/>
        <s v="06:45:13"/>
        <s v="07:14:23"/>
        <s v="11:25:18"/>
        <s v="12:35:59"/>
        <s v="13:03:56"/>
        <s v="13:20:49"/>
        <s v="15:01:41"/>
        <s v="18:00:15"/>
        <s v="09:36:35"/>
        <s v="12:15:03"/>
        <s v="12:15:05"/>
        <s v="12:21:27"/>
        <s v="12:22:17"/>
        <s v="12:51:29"/>
        <s v="15:31:21"/>
        <s v="15:43:18"/>
        <s v="16:29:39"/>
        <s v="18:35:49"/>
        <s v="08:47:36"/>
        <s v="13:50:56"/>
        <s v="14:18:19"/>
        <s v="15:50:17"/>
        <s v="17:54:43"/>
        <s v="22:43:40"/>
        <s v="22:46:36"/>
        <s v="12:21:10"/>
        <s v="16:51:40"/>
        <s v="17:01:23"/>
        <s v="17:03:56"/>
        <s v="20:04:52"/>
        <s v="08:34:18"/>
        <s v="10:04:15"/>
        <s v="12:23:49"/>
        <s v="14:39:26"/>
        <s v="14:42:59"/>
        <s v="19:12:06"/>
        <s v="19:12:22"/>
        <s v="21:30:02"/>
        <s v="21:39:20"/>
        <s v="13:06:03"/>
        <s v="13:44:50"/>
        <s v="19:02:01"/>
        <s v="09:04:25"/>
        <s v="10:09:35"/>
        <s v="10:32:31"/>
        <s v="13:43:10"/>
        <s v="15:14:26"/>
        <s v="12:24:30"/>
        <s v="14:12:23"/>
        <s v="14:19:30"/>
        <s v="07:22:44"/>
        <s v="07:39:50"/>
        <s v="07:52:37"/>
        <s v="08:17:57"/>
        <s v="13:48:28"/>
        <s v="16:34:15"/>
        <s v="17:12:16"/>
        <s v="17:14:33"/>
        <s v="17:34:30"/>
        <s v="17:34:32"/>
        <s v="17:36:18"/>
        <s v="19:52:49"/>
        <s v="10:20:14"/>
        <s v="10:46:54"/>
        <s v="11:15:57"/>
        <s v="16:41:11"/>
        <s v="19:42:58"/>
        <s v="19:45:17"/>
        <s v="08:17:18"/>
        <s v="08:40:43"/>
        <s v="14:27:43"/>
        <s v="17:39:37"/>
        <s v="17:39:39"/>
        <s v="18:26:46"/>
        <s v="18:28:48"/>
        <s v="18:29:12"/>
        <s v="19:58:00"/>
        <s v="19:58:02"/>
        <s v="19:59:56"/>
        <s v="20:07:01"/>
        <s v="08:16:39"/>
        <s v="10:03:24"/>
        <s v="19:41:56"/>
        <s v="19:43:00"/>
        <s v="16:12:25"/>
        <s v="20:36:40"/>
        <s v="21:32:06"/>
        <s v="09:23:32"/>
        <s v="09:40:02"/>
        <s v="10:44:29"/>
        <s v="17:57:45"/>
        <s v="18:23:39"/>
        <s v="18:25:45"/>
        <s v="19:36:43"/>
        <s v="08:09:31"/>
        <s v="08:09:45"/>
        <s v="08:28:27"/>
        <s v="08:31:29"/>
        <s v="16:28:22"/>
        <s v="16:28:39"/>
        <s v="17:42:19"/>
        <s v="18:06:43"/>
        <s v="18:08:22"/>
        <s v="08:27:43"/>
        <s v="08:27:59"/>
        <s v="15:47:55"/>
        <s v="17:24:35"/>
        <s v="17:50:33"/>
        <s v="08:40:02"/>
        <s v="16:02:32"/>
        <s v="17:04:41"/>
        <s v="17:46:08"/>
        <s v="20:45:17"/>
      </sharedItems>
    </cacheField>
    <cacheField name="Amount" numFmtId="4">
      <sharedItems containsSemiMixedTypes="0" containsString="0" containsNumber="1">
        <n v="200.0"/>
        <n v="300.0"/>
        <n v="700.0"/>
        <n v="500.0"/>
        <n v="100.0"/>
        <n v="9900.0"/>
        <n v="5000.0"/>
        <n v="2000.0"/>
        <n v="3300.0"/>
        <n v="1410.0"/>
        <n v="1000.0"/>
        <n v="2110.0"/>
        <n v="1050.0"/>
        <n v="250.0"/>
        <n v="600.0"/>
        <n v="9999.0"/>
        <n v="5001.0"/>
        <n v="12000.0"/>
        <n v="2150.0"/>
        <n v="1820.0"/>
        <n v="1650.0"/>
        <n v="900.0"/>
        <n v="1500.0"/>
        <n v="1300.0"/>
        <n v="410520.0"/>
        <n v="50.0"/>
        <n v="100000.0"/>
        <n v="95000.0"/>
        <n v="12500.0"/>
        <n v="50000.0"/>
        <n v="30000.0"/>
        <n v="4000.0"/>
        <n v="10000.0"/>
        <n v="1700.0"/>
        <n v="82051.0"/>
        <n v="3210.0"/>
        <n v="2860.0"/>
        <n v="3500.0"/>
        <n v="6500.0"/>
        <n v="510.0"/>
        <n v="4810.0"/>
        <n v="47000.0"/>
        <n v="13000.0"/>
        <n v="3000.0"/>
        <n v="5010.0"/>
        <n v="1510.0"/>
        <n v="33600.0"/>
        <n v="40000.0"/>
        <n v="17000.0"/>
        <n v="6000.0"/>
        <n v="74160.0"/>
        <n v="64000.0"/>
        <n v="3010.0"/>
        <n v="400.0"/>
        <n v="710.0"/>
        <n v="13010.0"/>
        <n v="41000.0"/>
        <n v="15000.0"/>
        <n v="150.0"/>
        <n v="360.0"/>
        <n v="2100.0"/>
        <n v="33120.0"/>
        <n v="33800.92"/>
        <n v="2210.0"/>
        <n v="8000.0"/>
        <n v="650.0"/>
        <n v="110.0"/>
        <n v="460.0"/>
        <n v="1900.0"/>
        <n v="82811.0"/>
        <n v="82800.0"/>
        <n v="20000.0"/>
        <n v="9970.0"/>
        <n v="4700.0"/>
        <n v="2500.0"/>
        <n v="550.0"/>
        <n v="2460.0"/>
        <n v="49974.0"/>
        <n v="11000.0"/>
        <n v="4800.0"/>
        <n v="2400.0"/>
        <n v="260.0"/>
        <n v="4600.0"/>
        <n v="750.0"/>
        <n v="210.0"/>
        <n v="3100.0"/>
        <n v="410.0"/>
        <n v="800.0"/>
        <n v="3050.0"/>
        <n v="1150.0"/>
        <n v="910.0"/>
        <n v="610.0"/>
        <n v="2390.0"/>
        <n v="1310.0"/>
        <n v="24333.0"/>
        <n v="2200.0"/>
        <n v="1100.0"/>
        <n v="4500.0"/>
        <n v="450.0"/>
        <n v="1060.0"/>
        <n v="9682.0"/>
        <n v="9600.0"/>
        <n v="36340.0"/>
        <n v="2300.0"/>
        <n v="810.0"/>
        <n v="2450.0"/>
        <n v="440.0"/>
        <n v="37934.0"/>
        <n v="760.0"/>
        <n v="180.0"/>
        <n v="860.0"/>
        <n v="350.0"/>
        <n v="133243.0"/>
        <n v="133000.0"/>
        <n v="3200.0"/>
        <n v="1400.0"/>
        <n v="160.0"/>
        <n v="2550.0"/>
        <n v="19500.0"/>
        <n v="540.0"/>
        <n v="940.0"/>
        <n v="580.0"/>
        <n v="4100.0"/>
        <n v="470.0"/>
        <n v="960.0"/>
        <n v="370.0"/>
        <n v="1070.0"/>
        <n v="1200.0"/>
        <n v="64997.0"/>
        <n v="310.0"/>
        <n v="560.0"/>
        <n v="1010.0"/>
        <n v="21000.0"/>
        <n v="2800.0"/>
        <n v="7000.0"/>
        <n v="4200.0"/>
        <n v="670.0"/>
        <n v="161343.0"/>
        <n v="129800.0"/>
        <n v="1800.0"/>
        <n v="63421.0"/>
        <n v="63000.0"/>
        <n v="1580.0"/>
        <n v="20050.0"/>
        <n v="6100.0"/>
        <n v="801.0"/>
        <n v="21250.0"/>
        <n v="781135.0"/>
        <n v="781000.0"/>
        <n v="62000.0"/>
        <n v="1600.0"/>
        <n v="303693.0"/>
        <n v="271600.0"/>
        <n v="5810.0"/>
        <n v="1030.0"/>
        <n v="1850.0"/>
        <n v="4320.0"/>
        <n v="1110.0"/>
        <n v="1210.0"/>
        <n v="15945.0"/>
        <n v="155539.0"/>
        <n v="155000.0"/>
        <n v="47500.0"/>
        <n v="2180.0"/>
        <n v="170000.0"/>
        <n v="160000.0"/>
        <n v="8500.0"/>
        <n v="5500.0"/>
        <n v="143.9"/>
        <n v="5868.29"/>
        <n v="28000.0"/>
        <n v="1550.0"/>
        <n v="2600.0"/>
        <n v="5100.0"/>
        <n v="3600.0"/>
        <n v="19900.0"/>
        <n v="13469.0"/>
        <n v="9000.0"/>
        <n v="950.0"/>
        <n v="32000.0"/>
        <n v="7350.0"/>
        <n v="19950.0"/>
        <n v="2900.0"/>
        <n v="10100.0"/>
        <n v="25000.0"/>
        <n v="23255.55"/>
        <n v="79000.0"/>
        <n v="23146.35"/>
        <n v="81335.0"/>
        <n v="81000.0"/>
        <n v="7300.0"/>
        <n v="5510.0"/>
        <n v="156181.0"/>
        <n v="156000.0"/>
        <n v="13999.0"/>
        <n v="40589.0"/>
        <n v="7100.0"/>
        <n v="855.0"/>
        <n v="18000.0"/>
        <n v="240.0"/>
        <n v="24500.0"/>
        <n v="24000.0"/>
        <n v="45960.0"/>
        <n v="45000.0"/>
        <n v="850.0"/>
        <n v="24662.0"/>
        <n v="10200.0"/>
        <n v="27500.0"/>
        <n v="520.0"/>
        <n v="76540.0"/>
        <n v="76000.0"/>
        <n v="380.0"/>
        <n v="27483.0"/>
        <n v="27000.0"/>
        <n v="200000.0"/>
        <n v="2700.0"/>
        <n v="29595.0"/>
        <n v="30057.0"/>
        <n v="37678.0"/>
        <n v="37000.0"/>
        <n v="15036.5"/>
        <n v="14900.0"/>
        <n v="1450.0"/>
        <n v="10500.0"/>
        <n v="8300.0"/>
        <n v="11100.0"/>
        <n v="43.65"/>
        <n v="1130.0"/>
        <n v="2010.0"/>
        <n v="18900.0"/>
        <n v="99.0"/>
        <n v="660.0"/>
        <n v="3610.0"/>
        <n v="4980.0"/>
        <n v="2496.0"/>
        <n v="890.76"/>
        <n v="1980.0"/>
        <n v="2410.15"/>
        <n v="980.0"/>
        <n v="2050.0"/>
        <n v="5001.71"/>
        <n v="12478.0"/>
        <n v="22000.0"/>
        <n v="1750.0"/>
        <n v="4210.0"/>
        <n v="3800.0"/>
        <n v="10.0"/>
        <n v="720.0"/>
        <n v="503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Monthly" cacheId="0" dataCaption="" compact="0" compactData="0">
  <location ref="A1:E15" firstHeaderRow="0" firstDataRow="2" firstDataCol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t="default"/>
      </items>
    </pivotField>
    <pivotField name="Month" axis="axisRow" compact="0" outline="0" multipleItemSelectionAllowed="1" showAll="0" sortType="ascending" defaultSubtotal="0">
      <items>
        <item x="3"/>
        <item x="7"/>
        <item x="11"/>
        <item x="1"/>
        <item x="0"/>
        <item x="6"/>
        <item x="5"/>
        <item x="2"/>
        <item x="4"/>
        <item x="10"/>
        <item x="9"/>
        <item x="8"/>
      </items>
    </pivotField>
    <pivotField name="Month_numb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ransaction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ithdrawal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Deposi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Transaction_Direction" axis="axisCol" compact="0" outline="0" multipleItemSelectionAllowed="1" showAll="0" sortType="ascending">
      <items>
        <item x="1"/>
        <item x="0"/>
        <item t="default"/>
      </items>
    </pivotField>
    <pivotField name="Time of transac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t="default"/>
      </items>
    </pivotField>
    <pivotField name="Amoun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</pivotFields>
  <rowFields>
    <field x="1"/>
    <field x="2"/>
  </rowFields>
  <colFields>
    <field x="6"/>
  </colFields>
  <dataFields>
    <dataField name="SUM of Amount" fld="8" baseField="0"/>
  </dataFields>
</pivotTableDefinition>
</file>

<file path=xl/tables/table1.xml><?xml version="1.0" encoding="utf-8"?>
<table xmlns="http://schemas.openxmlformats.org/spreadsheetml/2006/main" ref="A1:D13" displayName="Monthly_Summary" name="Monthly_Summary" id="1">
  <tableColumns count="4">
    <tableColumn name="Months" id="1"/>
    <tableColumn name="Total Deposits" id="2"/>
    <tableColumn name="Total Withdrawals" id="3"/>
    <tableColumn name="Net_Cash_Flow" id="4"/>
  </tableColumns>
  <tableStyleInfo name="Monthly_Summary-style" showColumnStripes="0" showFirstColumn="1" showLastColumn="1" showRowStripes="1"/>
</table>
</file>

<file path=xl/tables/table2.xml><?xml version="1.0" encoding="utf-8"?>
<table xmlns="http://schemas.openxmlformats.org/spreadsheetml/2006/main" ref="H2:I6" displayName="Transaction_Categories_" name="Transaction_Categories_" id="2">
  <tableColumns count="2">
    <tableColumn name="Category                    Total Amount" id="1"/>
    <tableColumn name="Amount" id="2"/>
  </tableColumns>
  <tableStyleInfo name="Monthly_Summar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0.0"/>
    <col customWidth="1" min="3" max="3" width="169.14"/>
    <col customWidth="1" min="4" max="4" width="18.0"/>
    <col customWidth="1" min="5" max="5" width="14.0"/>
    <col customWidth="1" min="6" max="6" width="16.14"/>
    <col customWidth="1" min="7" max="7" width="21.29"/>
    <col customWidth="1" min="8" max="8" width="24.29"/>
    <col customWidth="1" min="9" max="26" width="14.0"/>
  </cols>
  <sheetData>
    <row r="1" ht="12.75" customHeight="1">
      <c r="A1" s="1" t="s">
        <v>0</v>
      </c>
      <c r="B1" s="1"/>
      <c r="C1" s="1"/>
      <c r="D1" s="1"/>
      <c r="E1" s="2" t="s">
        <v>1</v>
      </c>
      <c r="F1" s="3" t="s">
        <v>2</v>
      </c>
      <c r="G1" s="1"/>
      <c r="H1" s="4"/>
    </row>
    <row r="2" ht="12.75" customHeight="1">
      <c r="A2" s="2" t="s">
        <v>3</v>
      </c>
      <c r="B2" s="5" t="s">
        <v>4</v>
      </c>
      <c r="C2" s="2" t="s">
        <v>5</v>
      </c>
      <c r="D2" s="6" t="s">
        <v>6</v>
      </c>
      <c r="E2" s="2" t="s">
        <v>7</v>
      </c>
      <c r="F2" s="7" t="s">
        <v>8</v>
      </c>
      <c r="G2" s="8"/>
      <c r="H2" s="9"/>
    </row>
    <row r="3" ht="12.75" customHeight="1">
      <c r="A3" s="2" t="s">
        <v>9</v>
      </c>
      <c r="B3" s="10" t="s">
        <v>10</v>
      </c>
      <c r="C3" s="2" t="s">
        <v>11</v>
      </c>
      <c r="D3" s="10" t="s">
        <v>12</v>
      </c>
      <c r="E3" s="11"/>
      <c r="F3" s="11"/>
      <c r="G3" s="2"/>
      <c r="H3" s="2"/>
    </row>
    <row r="4" ht="12.75" customHeight="1">
      <c r="A4" s="2" t="s">
        <v>13</v>
      </c>
      <c r="B4" s="12" t="s">
        <v>14</v>
      </c>
      <c r="C4" s="2" t="s">
        <v>15</v>
      </c>
      <c r="D4" s="10" t="s">
        <v>16</v>
      </c>
      <c r="E4" s="2" t="s">
        <v>17</v>
      </c>
      <c r="F4" s="13">
        <v>1505.0</v>
      </c>
      <c r="G4" s="11"/>
      <c r="H4" s="11"/>
    </row>
    <row r="5" ht="12.75" customHeight="1">
      <c r="A5" s="2" t="s">
        <v>18</v>
      </c>
      <c r="B5" s="12" t="s">
        <v>19</v>
      </c>
      <c r="C5" s="2" t="s">
        <v>20</v>
      </c>
      <c r="D5" s="10" t="s">
        <v>21</v>
      </c>
      <c r="E5" s="2" t="s">
        <v>22</v>
      </c>
      <c r="F5" s="13">
        <v>377.0</v>
      </c>
      <c r="G5" s="11"/>
      <c r="H5" s="11"/>
    </row>
    <row r="6" ht="12.75" customHeight="1">
      <c r="A6" s="10"/>
      <c r="B6" s="10"/>
      <c r="C6" s="10"/>
      <c r="D6" s="10"/>
      <c r="E6" s="10"/>
      <c r="F6" s="13"/>
      <c r="G6" s="4"/>
      <c r="H6" s="4"/>
    </row>
    <row r="7" ht="12.75" customHeight="1">
      <c r="A7" s="14" t="s">
        <v>23</v>
      </c>
      <c r="B7" s="14" t="s">
        <v>24</v>
      </c>
      <c r="C7" s="14" t="s">
        <v>25</v>
      </c>
      <c r="D7" s="14" t="s">
        <v>26</v>
      </c>
      <c r="E7" s="14" t="s">
        <v>27</v>
      </c>
      <c r="F7" s="14" t="s">
        <v>28</v>
      </c>
      <c r="G7" s="14" t="s">
        <v>29</v>
      </c>
      <c r="H7" s="14" t="s">
        <v>30</v>
      </c>
    </row>
    <row r="8" ht="12.75" customHeight="1">
      <c r="A8" s="6" t="s">
        <v>31</v>
      </c>
      <c r="B8" s="6" t="s">
        <v>32</v>
      </c>
      <c r="C8" s="6" t="s">
        <v>33</v>
      </c>
      <c r="D8" s="15" t="s">
        <v>34</v>
      </c>
      <c r="E8" s="15" t="s">
        <v>35</v>
      </c>
      <c r="F8" s="16" t="s">
        <v>36</v>
      </c>
      <c r="G8" s="6" t="s">
        <v>37</v>
      </c>
      <c r="H8" s="6" t="s">
        <v>38</v>
      </c>
    </row>
    <row r="9" ht="12.75" customHeight="1">
      <c r="A9" s="6" t="s">
        <v>39</v>
      </c>
      <c r="B9" s="6" t="s">
        <v>32</v>
      </c>
      <c r="C9" s="6" t="s">
        <v>40</v>
      </c>
      <c r="D9" s="15" t="s">
        <v>35</v>
      </c>
      <c r="E9" s="15" t="s">
        <v>41</v>
      </c>
      <c r="F9" s="16" t="s">
        <v>42</v>
      </c>
      <c r="G9" s="6" t="s">
        <v>37</v>
      </c>
      <c r="H9" s="6" t="s">
        <v>43</v>
      </c>
    </row>
    <row r="10" ht="12.75" customHeight="1">
      <c r="A10" s="6" t="s">
        <v>44</v>
      </c>
      <c r="B10" s="6" t="s">
        <v>32</v>
      </c>
      <c r="C10" s="6" t="s">
        <v>45</v>
      </c>
      <c r="D10" s="15" t="s">
        <v>46</v>
      </c>
      <c r="E10" s="15" t="s">
        <v>35</v>
      </c>
      <c r="F10" s="16" t="s">
        <v>47</v>
      </c>
      <c r="G10" s="6" t="s">
        <v>37</v>
      </c>
      <c r="H10" s="6" t="s">
        <v>48</v>
      </c>
    </row>
    <row r="11" ht="12.75" customHeight="1">
      <c r="A11" s="6" t="s">
        <v>49</v>
      </c>
      <c r="B11" s="6" t="s">
        <v>32</v>
      </c>
      <c r="C11" s="6" t="s">
        <v>45</v>
      </c>
      <c r="D11" s="15" t="s">
        <v>50</v>
      </c>
      <c r="E11" s="15" t="s">
        <v>35</v>
      </c>
      <c r="F11" s="16" t="s">
        <v>51</v>
      </c>
      <c r="G11" s="6" t="s">
        <v>37</v>
      </c>
      <c r="H11" s="6" t="s">
        <v>52</v>
      </c>
    </row>
    <row r="12" ht="12.75" customHeight="1">
      <c r="A12" s="6" t="s">
        <v>53</v>
      </c>
      <c r="B12" s="6" t="s">
        <v>32</v>
      </c>
      <c r="C12" s="6" t="s">
        <v>54</v>
      </c>
      <c r="D12" s="15" t="s">
        <v>55</v>
      </c>
      <c r="E12" s="15" t="s">
        <v>35</v>
      </c>
      <c r="F12" s="16" t="s">
        <v>56</v>
      </c>
      <c r="G12" s="6" t="s">
        <v>37</v>
      </c>
      <c r="H12" s="6" t="s">
        <v>57</v>
      </c>
    </row>
    <row r="13" ht="12.75" customHeight="1">
      <c r="A13" s="6" t="s">
        <v>58</v>
      </c>
      <c r="B13" s="6" t="s">
        <v>32</v>
      </c>
      <c r="C13" s="6" t="s">
        <v>59</v>
      </c>
      <c r="D13" s="15" t="s">
        <v>35</v>
      </c>
      <c r="E13" s="15" t="s">
        <v>60</v>
      </c>
      <c r="F13" s="16" t="s">
        <v>61</v>
      </c>
      <c r="G13" s="6" t="s">
        <v>37</v>
      </c>
      <c r="H13" s="6" t="s">
        <v>62</v>
      </c>
    </row>
    <row r="14" ht="12.75" customHeight="1">
      <c r="A14" s="6" t="s">
        <v>63</v>
      </c>
      <c r="B14" s="6" t="s">
        <v>32</v>
      </c>
      <c r="C14" s="6" t="s">
        <v>64</v>
      </c>
      <c r="D14" s="15" t="s">
        <v>35</v>
      </c>
      <c r="E14" s="15" t="s">
        <v>65</v>
      </c>
      <c r="F14" s="16" t="s">
        <v>66</v>
      </c>
      <c r="G14" s="6" t="s">
        <v>37</v>
      </c>
      <c r="H14" s="6" t="s">
        <v>67</v>
      </c>
    </row>
    <row r="15" ht="12.75" customHeight="1">
      <c r="A15" s="6" t="s">
        <v>68</v>
      </c>
      <c r="B15" s="6" t="s">
        <v>69</v>
      </c>
      <c r="C15" s="6" t="s">
        <v>70</v>
      </c>
      <c r="D15" s="15" t="s">
        <v>71</v>
      </c>
      <c r="E15" s="15" t="s">
        <v>35</v>
      </c>
      <c r="F15" s="16" t="s">
        <v>72</v>
      </c>
      <c r="G15" s="6" t="s">
        <v>37</v>
      </c>
      <c r="H15" s="6" t="s">
        <v>73</v>
      </c>
    </row>
    <row r="16" ht="12.75" customHeight="1">
      <c r="A16" s="6" t="s">
        <v>74</v>
      </c>
      <c r="B16" s="6" t="s">
        <v>69</v>
      </c>
      <c r="C16" s="6" t="s">
        <v>75</v>
      </c>
      <c r="D16" s="15" t="s">
        <v>76</v>
      </c>
      <c r="E16" s="15" t="s">
        <v>35</v>
      </c>
      <c r="F16" s="16" t="s">
        <v>77</v>
      </c>
      <c r="G16" s="6" t="s">
        <v>37</v>
      </c>
      <c r="H16" s="6" t="s">
        <v>78</v>
      </c>
    </row>
    <row r="17" ht="12.75" customHeight="1">
      <c r="A17" s="6" t="s">
        <v>79</v>
      </c>
      <c r="B17" s="6" t="s">
        <v>69</v>
      </c>
      <c r="C17" s="6" t="s">
        <v>75</v>
      </c>
      <c r="D17" s="15" t="s">
        <v>50</v>
      </c>
      <c r="E17" s="15" t="s">
        <v>35</v>
      </c>
      <c r="F17" s="16" t="s">
        <v>80</v>
      </c>
      <c r="G17" s="6" t="s">
        <v>37</v>
      </c>
      <c r="H17" s="6" t="s">
        <v>81</v>
      </c>
    </row>
    <row r="18" ht="12.75" customHeight="1">
      <c r="A18" s="6" t="s">
        <v>82</v>
      </c>
      <c r="B18" s="6" t="s">
        <v>69</v>
      </c>
      <c r="C18" s="6" t="s">
        <v>83</v>
      </c>
      <c r="D18" s="15" t="s">
        <v>55</v>
      </c>
      <c r="E18" s="15" t="s">
        <v>35</v>
      </c>
      <c r="F18" s="16" t="s">
        <v>84</v>
      </c>
      <c r="G18" s="6" t="s">
        <v>37</v>
      </c>
      <c r="H18" s="6" t="s">
        <v>85</v>
      </c>
    </row>
    <row r="19" ht="12.75" customHeight="1">
      <c r="A19" s="6" t="s">
        <v>86</v>
      </c>
      <c r="B19" s="6" t="s">
        <v>69</v>
      </c>
      <c r="C19" s="6" t="s">
        <v>87</v>
      </c>
      <c r="D19" s="15" t="s">
        <v>88</v>
      </c>
      <c r="E19" s="15" t="s">
        <v>35</v>
      </c>
      <c r="F19" s="16" t="s">
        <v>89</v>
      </c>
      <c r="G19" s="6" t="s">
        <v>37</v>
      </c>
      <c r="H19" s="6" t="s">
        <v>90</v>
      </c>
    </row>
    <row r="20" ht="12.75" customHeight="1">
      <c r="A20" s="6" t="s">
        <v>91</v>
      </c>
      <c r="B20" s="6" t="s">
        <v>69</v>
      </c>
      <c r="C20" s="6" t="s">
        <v>92</v>
      </c>
      <c r="D20" s="15" t="s">
        <v>34</v>
      </c>
      <c r="E20" s="15" t="s">
        <v>35</v>
      </c>
      <c r="F20" s="16" t="s">
        <v>93</v>
      </c>
      <c r="G20" s="6" t="s">
        <v>37</v>
      </c>
      <c r="H20" s="6" t="s">
        <v>94</v>
      </c>
    </row>
    <row r="21" ht="12.75" customHeight="1">
      <c r="A21" s="6" t="s">
        <v>95</v>
      </c>
      <c r="B21" s="6" t="s">
        <v>69</v>
      </c>
      <c r="C21" s="6" t="s">
        <v>96</v>
      </c>
      <c r="D21" s="15" t="s">
        <v>35</v>
      </c>
      <c r="E21" s="15" t="s">
        <v>97</v>
      </c>
      <c r="F21" s="16" t="s">
        <v>98</v>
      </c>
      <c r="G21" s="6" t="s">
        <v>37</v>
      </c>
      <c r="H21" s="6" t="s">
        <v>99</v>
      </c>
    </row>
    <row r="22" ht="12.75" customHeight="1">
      <c r="A22" s="6" t="s">
        <v>100</v>
      </c>
      <c r="B22" s="6" t="s">
        <v>69</v>
      </c>
      <c r="C22" s="6" t="s">
        <v>75</v>
      </c>
      <c r="D22" s="15" t="s">
        <v>101</v>
      </c>
      <c r="E22" s="15" t="s">
        <v>35</v>
      </c>
      <c r="F22" s="16" t="s">
        <v>102</v>
      </c>
      <c r="G22" s="6" t="s">
        <v>37</v>
      </c>
      <c r="H22" s="6" t="s">
        <v>103</v>
      </c>
    </row>
    <row r="23" ht="12.75" customHeight="1">
      <c r="A23" s="6" t="s">
        <v>104</v>
      </c>
      <c r="B23" s="6" t="s">
        <v>105</v>
      </c>
      <c r="C23" s="6" t="s">
        <v>106</v>
      </c>
      <c r="D23" s="15" t="s">
        <v>107</v>
      </c>
      <c r="E23" s="15" t="s">
        <v>35</v>
      </c>
      <c r="F23" s="16" t="s">
        <v>108</v>
      </c>
      <c r="G23" s="6" t="s">
        <v>37</v>
      </c>
      <c r="H23" s="6" t="s">
        <v>109</v>
      </c>
    </row>
    <row r="24" ht="12.75" customHeight="1">
      <c r="A24" s="6" t="s">
        <v>110</v>
      </c>
      <c r="B24" s="6" t="s">
        <v>105</v>
      </c>
      <c r="C24" s="6" t="s">
        <v>111</v>
      </c>
      <c r="D24" s="15" t="s">
        <v>34</v>
      </c>
      <c r="E24" s="15" t="s">
        <v>35</v>
      </c>
      <c r="F24" s="16" t="s">
        <v>112</v>
      </c>
      <c r="G24" s="6" t="s">
        <v>37</v>
      </c>
      <c r="H24" s="6" t="s">
        <v>113</v>
      </c>
    </row>
    <row r="25" ht="12.75" customHeight="1">
      <c r="A25" s="6" t="s">
        <v>114</v>
      </c>
      <c r="B25" s="6" t="s">
        <v>105</v>
      </c>
      <c r="C25" s="6" t="s">
        <v>115</v>
      </c>
      <c r="D25" s="15" t="s">
        <v>97</v>
      </c>
      <c r="E25" s="15" t="s">
        <v>35</v>
      </c>
      <c r="F25" s="16" t="s">
        <v>116</v>
      </c>
      <c r="G25" s="6" t="s">
        <v>37</v>
      </c>
      <c r="H25" s="6" t="s">
        <v>117</v>
      </c>
    </row>
    <row r="26" ht="12.75" customHeight="1">
      <c r="A26" s="6" t="s">
        <v>118</v>
      </c>
      <c r="B26" s="6" t="s">
        <v>105</v>
      </c>
      <c r="C26" s="6" t="s">
        <v>45</v>
      </c>
      <c r="D26" s="15" t="s">
        <v>119</v>
      </c>
      <c r="E26" s="15" t="s">
        <v>35</v>
      </c>
      <c r="F26" s="16" t="s">
        <v>120</v>
      </c>
      <c r="G26" s="6" t="s">
        <v>37</v>
      </c>
      <c r="H26" s="6" t="s">
        <v>121</v>
      </c>
    </row>
    <row r="27" ht="12.75" customHeight="1">
      <c r="A27" s="6" t="s">
        <v>122</v>
      </c>
      <c r="B27" s="6" t="s">
        <v>105</v>
      </c>
      <c r="C27" s="6" t="s">
        <v>45</v>
      </c>
      <c r="D27" s="15" t="s">
        <v>123</v>
      </c>
      <c r="E27" s="15" t="s">
        <v>35</v>
      </c>
      <c r="F27" s="16" t="s">
        <v>124</v>
      </c>
      <c r="G27" s="6" t="s">
        <v>37</v>
      </c>
      <c r="H27" s="6" t="s">
        <v>125</v>
      </c>
    </row>
    <row r="28" ht="12.75" customHeight="1">
      <c r="A28" s="6" t="s">
        <v>126</v>
      </c>
      <c r="B28" s="6" t="s">
        <v>105</v>
      </c>
      <c r="C28" s="6" t="s">
        <v>127</v>
      </c>
      <c r="D28" s="15" t="s">
        <v>35</v>
      </c>
      <c r="E28" s="15" t="s">
        <v>128</v>
      </c>
      <c r="F28" s="16" t="s">
        <v>129</v>
      </c>
      <c r="G28" s="6" t="s">
        <v>37</v>
      </c>
      <c r="H28" s="6" t="s">
        <v>130</v>
      </c>
    </row>
    <row r="29" ht="12.75" customHeight="1">
      <c r="A29" s="6" t="s">
        <v>131</v>
      </c>
      <c r="B29" s="6" t="s">
        <v>105</v>
      </c>
      <c r="C29" s="6" t="s">
        <v>127</v>
      </c>
      <c r="D29" s="15" t="s">
        <v>35</v>
      </c>
      <c r="E29" s="15" t="s">
        <v>132</v>
      </c>
      <c r="F29" s="16" t="s">
        <v>133</v>
      </c>
      <c r="G29" s="6" t="s">
        <v>37</v>
      </c>
      <c r="H29" s="6" t="s">
        <v>134</v>
      </c>
    </row>
    <row r="30" ht="12.75" customHeight="1">
      <c r="A30" s="6" t="s">
        <v>135</v>
      </c>
      <c r="B30" s="6" t="s">
        <v>105</v>
      </c>
      <c r="C30" s="6" t="s">
        <v>136</v>
      </c>
      <c r="D30" s="15" t="s">
        <v>137</v>
      </c>
      <c r="E30" s="15" t="s">
        <v>35</v>
      </c>
      <c r="F30" s="16" t="s">
        <v>138</v>
      </c>
      <c r="G30" s="6" t="s">
        <v>37</v>
      </c>
      <c r="H30" s="6" t="s">
        <v>139</v>
      </c>
    </row>
    <row r="31" ht="12.75" customHeight="1">
      <c r="A31" s="6" t="s">
        <v>140</v>
      </c>
      <c r="B31" s="6" t="s">
        <v>141</v>
      </c>
      <c r="C31" s="6" t="s">
        <v>83</v>
      </c>
      <c r="D31" s="15" t="s">
        <v>41</v>
      </c>
      <c r="E31" s="15" t="s">
        <v>35</v>
      </c>
      <c r="F31" s="16" t="s">
        <v>142</v>
      </c>
      <c r="G31" s="6" t="s">
        <v>37</v>
      </c>
      <c r="H31" s="6" t="s">
        <v>143</v>
      </c>
    </row>
    <row r="32" ht="12.75" customHeight="1">
      <c r="A32" s="6" t="s">
        <v>144</v>
      </c>
      <c r="B32" s="6" t="s">
        <v>141</v>
      </c>
      <c r="C32" s="6" t="s">
        <v>145</v>
      </c>
      <c r="D32" s="15" t="s">
        <v>35</v>
      </c>
      <c r="E32" s="15" t="s">
        <v>41</v>
      </c>
      <c r="F32" s="16" t="s">
        <v>138</v>
      </c>
      <c r="G32" s="6" t="s">
        <v>37</v>
      </c>
      <c r="H32" s="6" t="s">
        <v>146</v>
      </c>
    </row>
    <row r="33" ht="12.75" customHeight="1">
      <c r="A33" s="6" t="s">
        <v>147</v>
      </c>
      <c r="B33" s="6" t="s">
        <v>141</v>
      </c>
      <c r="C33" s="6" t="s">
        <v>148</v>
      </c>
      <c r="D33" s="15" t="s">
        <v>149</v>
      </c>
      <c r="E33" s="15" t="s">
        <v>35</v>
      </c>
      <c r="F33" s="16" t="s">
        <v>116</v>
      </c>
      <c r="G33" s="6" t="s">
        <v>37</v>
      </c>
      <c r="H33" s="6" t="s">
        <v>150</v>
      </c>
    </row>
    <row r="34" ht="12.75" customHeight="1">
      <c r="A34" s="6" t="s">
        <v>151</v>
      </c>
      <c r="B34" s="6" t="s">
        <v>141</v>
      </c>
      <c r="C34" s="6" t="s">
        <v>152</v>
      </c>
      <c r="D34" s="15" t="s">
        <v>153</v>
      </c>
      <c r="E34" s="15" t="s">
        <v>35</v>
      </c>
      <c r="F34" s="16" t="s">
        <v>154</v>
      </c>
      <c r="G34" s="6" t="s">
        <v>37</v>
      </c>
      <c r="H34" s="6" t="s">
        <v>155</v>
      </c>
    </row>
    <row r="35" ht="12.75" customHeight="1">
      <c r="A35" s="6" t="s">
        <v>156</v>
      </c>
      <c r="B35" s="6" t="s">
        <v>141</v>
      </c>
      <c r="C35" s="6" t="s">
        <v>157</v>
      </c>
      <c r="D35" s="15" t="s">
        <v>50</v>
      </c>
      <c r="E35" s="15" t="s">
        <v>35</v>
      </c>
      <c r="F35" s="16" t="s">
        <v>158</v>
      </c>
      <c r="G35" s="6" t="s">
        <v>37</v>
      </c>
      <c r="H35" s="6" t="s">
        <v>159</v>
      </c>
    </row>
    <row r="36" ht="12.75" customHeight="1">
      <c r="A36" s="6" t="s">
        <v>160</v>
      </c>
      <c r="B36" s="6" t="s">
        <v>141</v>
      </c>
      <c r="C36" s="6" t="s">
        <v>92</v>
      </c>
      <c r="D36" s="15" t="s">
        <v>41</v>
      </c>
      <c r="E36" s="15" t="s">
        <v>35</v>
      </c>
      <c r="F36" s="16" t="s">
        <v>161</v>
      </c>
      <c r="G36" s="6" t="s">
        <v>37</v>
      </c>
      <c r="H36" s="6" t="s">
        <v>162</v>
      </c>
    </row>
    <row r="37" ht="12.75" customHeight="1">
      <c r="A37" s="6" t="s">
        <v>163</v>
      </c>
      <c r="B37" s="6" t="s">
        <v>164</v>
      </c>
      <c r="C37" s="6" t="s">
        <v>70</v>
      </c>
      <c r="D37" s="15" t="s">
        <v>46</v>
      </c>
      <c r="E37" s="15" t="s">
        <v>35</v>
      </c>
      <c r="F37" s="16" t="s">
        <v>165</v>
      </c>
      <c r="G37" s="6" t="s">
        <v>37</v>
      </c>
      <c r="H37" s="6" t="s">
        <v>166</v>
      </c>
    </row>
    <row r="38" ht="12.75" customHeight="1">
      <c r="A38" s="6" t="s">
        <v>167</v>
      </c>
      <c r="B38" s="6" t="s">
        <v>164</v>
      </c>
      <c r="C38" s="6" t="s">
        <v>168</v>
      </c>
      <c r="D38" s="15" t="s">
        <v>35</v>
      </c>
      <c r="E38" s="15" t="s">
        <v>65</v>
      </c>
      <c r="F38" s="16" t="s">
        <v>169</v>
      </c>
      <c r="G38" s="6" t="s">
        <v>37</v>
      </c>
      <c r="H38" s="6" t="s">
        <v>170</v>
      </c>
    </row>
    <row r="39" ht="12.75" customHeight="1">
      <c r="A39" s="6" t="s">
        <v>171</v>
      </c>
      <c r="B39" s="6" t="s">
        <v>164</v>
      </c>
      <c r="C39" s="6" t="s">
        <v>172</v>
      </c>
      <c r="D39" s="15" t="s">
        <v>34</v>
      </c>
      <c r="E39" s="15" t="s">
        <v>35</v>
      </c>
      <c r="F39" s="16" t="s">
        <v>173</v>
      </c>
      <c r="G39" s="6" t="s">
        <v>37</v>
      </c>
      <c r="H39" s="6" t="s">
        <v>174</v>
      </c>
    </row>
    <row r="40" ht="12.75" customHeight="1">
      <c r="A40" s="6" t="s">
        <v>175</v>
      </c>
      <c r="B40" s="6" t="s">
        <v>164</v>
      </c>
      <c r="C40" s="6" t="s">
        <v>148</v>
      </c>
      <c r="D40" s="15" t="s">
        <v>176</v>
      </c>
      <c r="E40" s="15" t="s">
        <v>35</v>
      </c>
      <c r="F40" s="16" t="s">
        <v>177</v>
      </c>
      <c r="G40" s="6" t="s">
        <v>37</v>
      </c>
      <c r="H40" s="6" t="s">
        <v>178</v>
      </c>
    </row>
    <row r="41" ht="12.75" customHeight="1">
      <c r="A41" s="6" t="s">
        <v>179</v>
      </c>
      <c r="B41" s="6" t="s">
        <v>164</v>
      </c>
      <c r="C41" s="6" t="s">
        <v>33</v>
      </c>
      <c r="D41" s="15" t="s">
        <v>50</v>
      </c>
      <c r="E41" s="15" t="s">
        <v>35</v>
      </c>
      <c r="F41" s="16" t="s">
        <v>180</v>
      </c>
      <c r="G41" s="6" t="s">
        <v>37</v>
      </c>
      <c r="H41" s="6" t="s">
        <v>181</v>
      </c>
    </row>
    <row r="42" ht="12.75" customHeight="1">
      <c r="A42" s="6" t="s">
        <v>182</v>
      </c>
      <c r="B42" s="6" t="s">
        <v>164</v>
      </c>
      <c r="C42" s="6" t="s">
        <v>45</v>
      </c>
      <c r="D42" s="15" t="s">
        <v>183</v>
      </c>
      <c r="E42" s="15" t="s">
        <v>35</v>
      </c>
      <c r="F42" s="16" t="s">
        <v>184</v>
      </c>
      <c r="G42" s="6" t="s">
        <v>37</v>
      </c>
      <c r="H42" s="6" t="s">
        <v>185</v>
      </c>
    </row>
    <row r="43" ht="12.75" customHeight="1">
      <c r="A43" s="6" t="s">
        <v>186</v>
      </c>
      <c r="B43" s="6" t="s">
        <v>187</v>
      </c>
      <c r="C43" s="6" t="s">
        <v>188</v>
      </c>
      <c r="D43" s="15" t="s">
        <v>35</v>
      </c>
      <c r="E43" s="15" t="s">
        <v>189</v>
      </c>
      <c r="F43" s="16" t="s">
        <v>190</v>
      </c>
      <c r="G43" s="6" t="s">
        <v>37</v>
      </c>
      <c r="H43" s="6" t="s">
        <v>191</v>
      </c>
    </row>
    <row r="44" ht="12.75" customHeight="1">
      <c r="A44" s="6" t="s">
        <v>192</v>
      </c>
      <c r="B44" s="6" t="s">
        <v>187</v>
      </c>
      <c r="C44" s="6" t="s">
        <v>54</v>
      </c>
      <c r="D44" s="15" t="s">
        <v>34</v>
      </c>
      <c r="E44" s="15" t="s">
        <v>35</v>
      </c>
      <c r="F44" s="16" t="s">
        <v>193</v>
      </c>
      <c r="G44" s="6" t="s">
        <v>37</v>
      </c>
      <c r="H44" s="6" t="s">
        <v>194</v>
      </c>
    </row>
    <row r="45" ht="12.75" customHeight="1">
      <c r="A45" s="6" t="s">
        <v>195</v>
      </c>
      <c r="B45" s="6" t="s">
        <v>187</v>
      </c>
      <c r="C45" s="6" t="s">
        <v>196</v>
      </c>
      <c r="D45" s="15" t="s">
        <v>71</v>
      </c>
      <c r="E45" s="15" t="s">
        <v>35</v>
      </c>
      <c r="F45" s="16" t="s">
        <v>197</v>
      </c>
      <c r="G45" s="6" t="s">
        <v>37</v>
      </c>
      <c r="H45" s="6" t="s">
        <v>198</v>
      </c>
    </row>
    <row r="46" ht="12.75" customHeight="1">
      <c r="A46" s="6" t="s">
        <v>199</v>
      </c>
      <c r="B46" s="6" t="s">
        <v>187</v>
      </c>
      <c r="C46" s="6" t="s">
        <v>200</v>
      </c>
      <c r="D46" s="15" t="s">
        <v>34</v>
      </c>
      <c r="E46" s="15" t="s">
        <v>35</v>
      </c>
      <c r="F46" s="16" t="s">
        <v>201</v>
      </c>
      <c r="G46" s="6" t="s">
        <v>37</v>
      </c>
      <c r="H46" s="6" t="s">
        <v>202</v>
      </c>
    </row>
    <row r="47" ht="12.75" customHeight="1">
      <c r="A47" s="6" t="s">
        <v>203</v>
      </c>
      <c r="B47" s="6" t="s">
        <v>187</v>
      </c>
      <c r="C47" s="6" t="s">
        <v>204</v>
      </c>
      <c r="D47" s="15" t="s">
        <v>97</v>
      </c>
      <c r="E47" s="15" t="s">
        <v>35</v>
      </c>
      <c r="F47" s="16" t="s">
        <v>205</v>
      </c>
      <c r="G47" s="6" t="s">
        <v>37</v>
      </c>
      <c r="H47" s="6" t="s">
        <v>206</v>
      </c>
    </row>
    <row r="48" ht="12.75" customHeight="1">
      <c r="A48" s="6" t="s">
        <v>207</v>
      </c>
      <c r="B48" s="6" t="s">
        <v>187</v>
      </c>
      <c r="C48" s="6" t="s">
        <v>208</v>
      </c>
      <c r="D48" s="15" t="s">
        <v>35</v>
      </c>
      <c r="E48" s="15" t="s">
        <v>97</v>
      </c>
      <c r="F48" s="16" t="s">
        <v>201</v>
      </c>
      <c r="G48" s="6" t="s">
        <v>37</v>
      </c>
      <c r="H48" s="6" t="s">
        <v>209</v>
      </c>
    </row>
    <row r="49" ht="12.75" customHeight="1">
      <c r="A49" s="6" t="s">
        <v>210</v>
      </c>
      <c r="B49" s="6" t="s">
        <v>187</v>
      </c>
      <c r="C49" s="6" t="s">
        <v>45</v>
      </c>
      <c r="D49" s="15" t="s">
        <v>211</v>
      </c>
      <c r="E49" s="15" t="s">
        <v>35</v>
      </c>
      <c r="F49" s="16" t="s">
        <v>212</v>
      </c>
      <c r="G49" s="6" t="s">
        <v>37</v>
      </c>
      <c r="H49" s="6" t="s">
        <v>213</v>
      </c>
    </row>
    <row r="50" ht="12.75" customHeight="1">
      <c r="A50" s="6" t="s">
        <v>214</v>
      </c>
      <c r="B50" s="6" t="s">
        <v>215</v>
      </c>
      <c r="C50" s="6" t="s">
        <v>216</v>
      </c>
      <c r="D50" s="15" t="s">
        <v>35</v>
      </c>
      <c r="E50" s="15" t="s">
        <v>217</v>
      </c>
      <c r="F50" s="16" t="s">
        <v>218</v>
      </c>
      <c r="G50" s="6" t="s">
        <v>37</v>
      </c>
      <c r="H50" s="6" t="s">
        <v>219</v>
      </c>
    </row>
    <row r="51" ht="12.75" customHeight="1">
      <c r="A51" s="6" t="s">
        <v>220</v>
      </c>
      <c r="B51" s="6" t="s">
        <v>215</v>
      </c>
      <c r="C51" s="6" t="s">
        <v>221</v>
      </c>
      <c r="D51" s="15" t="s">
        <v>222</v>
      </c>
      <c r="E51" s="15" t="s">
        <v>35</v>
      </c>
      <c r="F51" s="16" t="s">
        <v>223</v>
      </c>
      <c r="G51" s="6" t="s">
        <v>37</v>
      </c>
      <c r="H51" s="6" t="s">
        <v>224</v>
      </c>
    </row>
    <row r="52" ht="12.75" customHeight="1">
      <c r="A52" s="6" t="s">
        <v>225</v>
      </c>
      <c r="B52" s="6" t="s">
        <v>215</v>
      </c>
      <c r="C52" s="6" t="s">
        <v>204</v>
      </c>
      <c r="D52" s="15" t="s">
        <v>226</v>
      </c>
      <c r="E52" s="15" t="s">
        <v>35</v>
      </c>
      <c r="F52" s="16" t="s">
        <v>227</v>
      </c>
      <c r="G52" s="6" t="s">
        <v>37</v>
      </c>
      <c r="H52" s="6" t="s">
        <v>228</v>
      </c>
    </row>
    <row r="53" ht="12.75" customHeight="1">
      <c r="A53" s="6" t="s">
        <v>229</v>
      </c>
      <c r="B53" s="6" t="s">
        <v>215</v>
      </c>
      <c r="C53" s="6" t="s">
        <v>230</v>
      </c>
      <c r="D53" s="15" t="s">
        <v>231</v>
      </c>
      <c r="E53" s="15" t="s">
        <v>35</v>
      </c>
      <c r="F53" s="16" t="s">
        <v>232</v>
      </c>
      <c r="G53" s="6" t="s">
        <v>37</v>
      </c>
      <c r="H53" s="6" t="s">
        <v>233</v>
      </c>
    </row>
    <row r="54" ht="12.75" customHeight="1">
      <c r="A54" s="6" t="s">
        <v>234</v>
      </c>
      <c r="B54" s="6" t="s">
        <v>215</v>
      </c>
      <c r="C54" s="6" t="s">
        <v>33</v>
      </c>
      <c r="D54" s="15" t="s">
        <v>235</v>
      </c>
      <c r="E54" s="15" t="s">
        <v>35</v>
      </c>
      <c r="F54" s="16" t="s">
        <v>236</v>
      </c>
      <c r="G54" s="6" t="s">
        <v>37</v>
      </c>
      <c r="H54" s="6" t="s">
        <v>237</v>
      </c>
    </row>
    <row r="55" ht="12.75" customHeight="1">
      <c r="A55" s="6" t="s">
        <v>238</v>
      </c>
      <c r="B55" s="6" t="s">
        <v>215</v>
      </c>
      <c r="C55" s="6" t="s">
        <v>70</v>
      </c>
      <c r="D55" s="15" t="s">
        <v>239</v>
      </c>
      <c r="E55" s="15" t="s">
        <v>35</v>
      </c>
      <c r="F55" s="16" t="s">
        <v>240</v>
      </c>
      <c r="G55" s="6" t="s">
        <v>37</v>
      </c>
      <c r="H55" s="6" t="s">
        <v>241</v>
      </c>
    </row>
    <row r="56" ht="12.75" customHeight="1">
      <c r="A56" s="6" t="s">
        <v>242</v>
      </c>
      <c r="B56" s="6" t="s">
        <v>215</v>
      </c>
      <c r="C56" s="6" t="s">
        <v>208</v>
      </c>
      <c r="D56" s="15" t="s">
        <v>35</v>
      </c>
      <c r="E56" s="15" t="s">
        <v>243</v>
      </c>
      <c r="F56" s="16" t="s">
        <v>244</v>
      </c>
      <c r="G56" s="6" t="s">
        <v>37</v>
      </c>
      <c r="H56" s="6" t="s">
        <v>245</v>
      </c>
    </row>
    <row r="57" ht="12.75" customHeight="1">
      <c r="A57" s="6" t="s">
        <v>246</v>
      </c>
      <c r="B57" s="6" t="s">
        <v>215</v>
      </c>
      <c r="C57" s="6" t="s">
        <v>221</v>
      </c>
      <c r="D57" s="15" t="s">
        <v>222</v>
      </c>
      <c r="E57" s="15" t="s">
        <v>35</v>
      </c>
      <c r="F57" s="16" t="s">
        <v>247</v>
      </c>
      <c r="G57" s="6" t="s">
        <v>37</v>
      </c>
      <c r="H57" s="6" t="s">
        <v>248</v>
      </c>
    </row>
    <row r="58" ht="12.75" customHeight="1">
      <c r="A58" s="6" t="s">
        <v>249</v>
      </c>
      <c r="B58" s="6" t="s">
        <v>215</v>
      </c>
      <c r="C58" s="6" t="s">
        <v>250</v>
      </c>
      <c r="D58" s="15" t="s">
        <v>251</v>
      </c>
      <c r="E58" s="15" t="s">
        <v>35</v>
      </c>
      <c r="F58" s="16" t="s">
        <v>252</v>
      </c>
      <c r="G58" s="6" t="s">
        <v>37</v>
      </c>
      <c r="H58" s="6" t="s">
        <v>253</v>
      </c>
    </row>
    <row r="59" ht="12.75" customHeight="1">
      <c r="A59" s="6" t="s">
        <v>254</v>
      </c>
      <c r="B59" s="6" t="s">
        <v>215</v>
      </c>
      <c r="C59" s="6" t="s">
        <v>255</v>
      </c>
      <c r="D59" s="15" t="s">
        <v>256</v>
      </c>
      <c r="E59" s="15" t="s">
        <v>35</v>
      </c>
      <c r="F59" s="16" t="s">
        <v>257</v>
      </c>
      <c r="G59" s="6" t="s">
        <v>37</v>
      </c>
      <c r="H59" s="6" t="s">
        <v>258</v>
      </c>
    </row>
    <row r="60" ht="12.75" customHeight="1">
      <c r="A60" s="6" t="s">
        <v>259</v>
      </c>
      <c r="B60" s="6" t="s">
        <v>215</v>
      </c>
      <c r="C60" s="6" t="s">
        <v>83</v>
      </c>
      <c r="D60" s="15" t="s">
        <v>41</v>
      </c>
      <c r="E60" s="15" t="s">
        <v>35</v>
      </c>
      <c r="F60" s="16" t="s">
        <v>260</v>
      </c>
      <c r="G60" s="6" t="s">
        <v>37</v>
      </c>
      <c r="H60" s="6" t="s">
        <v>261</v>
      </c>
    </row>
    <row r="61" ht="12.75" customHeight="1">
      <c r="A61" s="6" t="s">
        <v>262</v>
      </c>
      <c r="B61" s="6" t="s">
        <v>215</v>
      </c>
      <c r="C61" s="6" t="s">
        <v>263</v>
      </c>
      <c r="D61" s="15" t="s">
        <v>264</v>
      </c>
      <c r="E61" s="15" t="s">
        <v>35</v>
      </c>
      <c r="F61" s="16" t="s">
        <v>265</v>
      </c>
      <c r="G61" s="6" t="s">
        <v>37</v>
      </c>
      <c r="H61" s="6" t="s">
        <v>266</v>
      </c>
    </row>
    <row r="62" ht="12.75" customHeight="1">
      <c r="A62" s="6" t="s">
        <v>267</v>
      </c>
      <c r="B62" s="6" t="s">
        <v>215</v>
      </c>
      <c r="C62" s="6" t="s">
        <v>148</v>
      </c>
      <c r="D62" s="15" t="s">
        <v>34</v>
      </c>
      <c r="E62" s="15" t="s">
        <v>35</v>
      </c>
      <c r="F62" s="16" t="s">
        <v>268</v>
      </c>
      <c r="G62" s="6" t="s">
        <v>37</v>
      </c>
      <c r="H62" s="6" t="s">
        <v>269</v>
      </c>
    </row>
    <row r="63" ht="12.75" customHeight="1">
      <c r="A63" s="6" t="s">
        <v>270</v>
      </c>
      <c r="B63" s="6" t="s">
        <v>215</v>
      </c>
      <c r="C63" s="6" t="s">
        <v>271</v>
      </c>
      <c r="D63" s="15" t="s">
        <v>35</v>
      </c>
      <c r="E63" s="15" t="s">
        <v>272</v>
      </c>
      <c r="F63" s="16" t="s">
        <v>273</v>
      </c>
      <c r="G63" s="6" t="s">
        <v>37</v>
      </c>
      <c r="H63" s="6" t="s">
        <v>274</v>
      </c>
    </row>
    <row r="64" ht="12.75" customHeight="1">
      <c r="A64" s="6" t="s">
        <v>275</v>
      </c>
      <c r="B64" s="6" t="s">
        <v>215</v>
      </c>
      <c r="C64" s="6" t="s">
        <v>221</v>
      </c>
      <c r="D64" s="15" t="s">
        <v>222</v>
      </c>
      <c r="E64" s="15" t="s">
        <v>35</v>
      </c>
      <c r="F64" s="16" t="s">
        <v>276</v>
      </c>
      <c r="G64" s="6" t="s">
        <v>37</v>
      </c>
      <c r="H64" s="6" t="s">
        <v>277</v>
      </c>
    </row>
    <row r="65" ht="12.75" customHeight="1">
      <c r="A65" s="6" t="s">
        <v>278</v>
      </c>
      <c r="B65" s="6" t="s">
        <v>215</v>
      </c>
      <c r="C65" s="6" t="s">
        <v>279</v>
      </c>
      <c r="D65" s="15" t="s">
        <v>280</v>
      </c>
      <c r="E65" s="15" t="s">
        <v>35</v>
      </c>
      <c r="F65" s="16" t="s">
        <v>281</v>
      </c>
      <c r="G65" s="6" t="s">
        <v>37</v>
      </c>
      <c r="H65" s="6" t="s">
        <v>282</v>
      </c>
    </row>
    <row r="66" ht="12.75" customHeight="1">
      <c r="A66" s="6" t="s">
        <v>283</v>
      </c>
      <c r="B66" s="6" t="s">
        <v>215</v>
      </c>
      <c r="C66" s="6" t="s">
        <v>284</v>
      </c>
      <c r="D66" s="15" t="s">
        <v>285</v>
      </c>
      <c r="E66" s="15" t="s">
        <v>35</v>
      </c>
      <c r="F66" s="16" t="s">
        <v>286</v>
      </c>
      <c r="G66" s="6" t="s">
        <v>37</v>
      </c>
      <c r="H66" s="6" t="s">
        <v>287</v>
      </c>
    </row>
    <row r="67" ht="12.75" customHeight="1">
      <c r="A67" s="6" t="s">
        <v>288</v>
      </c>
      <c r="B67" s="6" t="s">
        <v>215</v>
      </c>
      <c r="C67" s="6" t="s">
        <v>289</v>
      </c>
      <c r="D67" s="15" t="s">
        <v>290</v>
      </c>
      <c r="E67" s="15" t="s">
        <v>35</v>
      </c>
      <c r="F67" s="16" t="s">
        <v>291</v>
      </c>
      <c r="G67" s="6" t="s">
        <v>37</v>
      </c>
      <c r="H67" s="6" t="s">
        <v>292</v>
      </c>
    </row>
    <row r="68" ht="12.75" customHeight="1">
      <c r="A68" s="6" t="s">
        <v>293</v>
      </c>
      <c r="B68" s="6" t="s">
        <v>215</v>
      </c>
      <c r="C68" s="6" t="s">
        <v>294</v>
      </c>
      <c r="D68" s="15" t="s">
        <v>295</v>
      </c>
      <c r="E68" s="15" t="s">
        <v>35</v>
      </c>
      <c r="F68" s="16" t="s">
        <v>296</v>
      </c>
      <c r="G68" s="6" t="s">
        <v>37</v>
      </c>
      <c r="H68" s="6" t="s">
        <v>297</v>
      </c>
    </row>
    <row r="69" ht="12.75" customHeight="1">
      <c r="A69" s="6" t="s">
        <v>298</v>
      </c>
      <c r="B69" s="6" t="s">
        <v>215</v>
      </c>
      <c r="C69" s="6" t="s">
        <v>45</v>
      </c>
      <c r="D69" s="15" t="s">
        <v>299</v>
      </c>
      <c r="E69" s="15" t="s">
        <v>35</v>
      </c>
      <c r="F69" s="16" t="s">
        <v>300</v>
      </c>
      <c r="G69" s="6" t="s">
        <v>37</v>
      </c>
      <c r="H69" s="6" t="s">
        <v>301</v>
      </c>
    </row>
    <row r="70" ht="12.75" customHeight="1">
      <c r="A70" s="6" t="s">
        <v>302</v>
      </c>
      <c r="B70" s="6" t="s">
        <v>215</v>
      </c>
      <c r="C70" s="6" t="s">
        <v>303</v>
      </c>
      <c r="D70" s="15" t="s">
        <v>189</v>
      </c>
      <c r="E70" s="15" t="s">
        <v>35</v>
      </c>
      <c r="F70" s="16" t="s">
        <v>304</v>
      </c>
      <c r="G70" s="6" t="s">
        <v>37</v>
      </c>
      <c r="H70" s="6" t="s">
        <v>305</v>
      </c>
    </row>
    <row r="71" ht="12.75" customHeight="1">
      <c r="A71" s="6" t="s">
        <v>306</v>
      </c>
      <c r="B71" s="6" t="s">
        <v>215</v>
      </c>
      <c r="C71" s="6" t="s">
        <v>307</v>
      </c>
      <c r="D71" s="15" t="s">
        <v>308</v>
      </c>
      <c r="E71" s="15" t="s">
        <v>35</v>
      </c>
      <c r="F71" s="16" t="s">
        <v>309</v>
      </c>
      <c r="G71" s="6" t="s">
        <v>37</v>
      </c>
      <c r="H71" s="6" t="s">
        <v>310</v>
      </c>
    </row>
    <row r="72" ht="12.75" customHeight="1">
      <c r="A72" s="6" t="s">
        <v>311</v>
      </c>
      <c r="B72" s="6" t="s">
        <v>215</v>
      </c>
      <c r="C72" s="6" t="s">
        <v>312</v>
      </c>
      <c r="D72" s="15" t="s">
        <v>313</v>
      </c>
      <c r="E72" s="15" t="s">
        <v>35</v>
      </c>
      <c r="F72" s="16" t="s">
        <v>314</v>
      </c>
      <c r="G72" s="6" t="s">
        <v>37</v>
      </c>
      <c r="H72" s="6" t="s">
        <v>315</v>
      </c>
    </row>
    <row r="73" ht="12.75" customHeight="1">
      <c r="A73" s="6" t="s">
        <v>316</v>
      </c>
      <c r="B73" s="6" t="s">
        <v>215</v>
      </c>
      <c r="C73" s="6" t="s">
        <v>317</v>
      </c>
      <c r="D73" s="15" t="s">
        <v>318</v>
      </c>
      <c r="E73" s="15" t="s">
        <v>35</v>
      </c>
      <c r="F73" s="16" t="s">
        <v>319</v>
      </c>
      <c r="G73" s="6" t="s">
        <v>37</v>
      </c>
      <c r="H73" s="6" t="s">
        <v>320</v>
      </c>
    </row>
    <row r="74" ht="12.75" customHeight="1">
      <c r="A74" s="6" t="s">
        <v>321</v>
      </c>
      <c r="B74" s="6" t="s">
        <v>215</v>
      </c>
      <c r="C74" s="6" t="s">
        <v>322</v>
      </c>
      <c r="D74" s="15" t="s">
        <v>71</v>
      </c>
      <c r="E74" s="15" t="s">
        <v>35</v>
      </c>
      <c r="F74" s="16" t="s">
        <v>323</v>
      </c>
      <c r="G74" s="6" t="s">
        <v>37</v>
      </c>
      <c r="H74" s="6" t="s">
        <v>324</v>
      </c>
    </row>
    <row r="75" ht="12.75" customHeight="1">
      <c r="A75" s="6" t="s">
        <v>325</v>
      </c>
      <c r="B75" s="6" t="s">
        <v>215</v>
      </c>
      <c r="C75" s="6" t="s">
        <v>326</v>
      </c>
      <c r="D75" s="15" t="s">
        <v>71</v>
      </c>
      <c r="E75" s="15" t="s">
        <v>35</v>
      </c>
      <c r="F75" s="16" t="s">
        <v>327</v>
      </c>
      <c r="G75" s="6" t="s">
        <v>37</v>
      </c>
      <c r="H75" s="6" t="s">
        <v>328</v>
      </c>
    </row>
    <row r="76" ht="12.75" customHeight="1">
      <c r="A76" s="6" t="s">
        <v>329</v>
      </c>
      <c r="B76" s="6" t="s">
        <v>215</v>
      </c>
      <c r="C76" s="6" t="s">
        <v>330</v>
      </c>
      <c r="D76" s="15" t="s">
        <v>290</v>
      </c>
      <c r="E76" s="15" t="s">
        <v>35</v>
      </c>
      <c r="F76" s="16" t="s">
        <v>331</v>
      </c>
      <c r="G76" s="6" t="s">
        <v>37</v>
      </c>
      <c r="H76" s="6" t="s">
        <v>332</v>
      </c>
    </row>
    <row r="77" ht="12.75" customHeight="1">
      <c r="A77" s="6" t="s">
        <v>333</v>
      </c>
      <c r="B77" s="6" t="s">
        <v>215</v>
      </c>
      <c r="C77" s="6" t="s">
        <v>334</v>
      </c>
      <c r="D77" s="15" t="s">
        <v>335</v>
      </c>
      <c r="E77" s="15" t="s">
        <v>35</v>
      </c>
      <c r="F77" s="16" t="s">
        <v>336</v>
      </c>
      <c r="G77" s="6" t="s">
        <v>37</v>
      </c>
      <c r="H77" s="6" t="s">
        <v>337</v>
      </c>
    </row>
    <row r="78" ht="12.75" customHeight="1">
      <c r="A78" s="6" t="s">
        <v>338</v>
      </c>
      <c r="B78" s="6" t="s">
        <v>215</v>
      </c>
      <c r="C78" s="6" t="s">
        <v>339</v>
      </c>
      <c r="D78" s="15" t="s">
        <v>107</v>
      </c>
      <c r="E78" s="15" t="s">
        <v>35</v>
      </c>
      <c r="F78" s="16" t="s">
        <v>340</v>
      </c>
      <c r="G78" s="6" t="s">
        <v>37</v>
      </c>
      <c r="H78" s="6" t="s">
        <v>341</v>
      </c>
    </row>
    <row r="79" ht="12.75" customHeight="1">
      <c r="A79" s="6" t="s">
        <v>342</v>
      </c>
      <c r="B79" s="6" t="s">
        <v>215</v>
      </c>
      <c r="C79" s="6" t="s">
        <v>343</v>
      </c>
      <c r="D79" s="15" t="s">
        <v>344</v>
      </c>
      <c r="E79" s="15" t="s">
        <v>35</v>
      </c>
      <c r="F79" s="16" t="s">
        <v>345</v>
      </c>
      <c r="G79" s="6" t="s">
        <v>37</v>
      </c>
      <c r="H79" s="6" t="s">
        <v>346</v>
      </c>
    </row>
    <row r="80" ht="12.75" customHeight="1">
      <c r="A80" s="6" t="s">
        <v>347</v>
      </c>
      <c r="B80" s="6" t="s">
        <v>215</v>
      </c>
      <c r="C80" s="6" t="s">
        <v>40</v>
      </c>
      <c r="D80" s="15" t="s">
        <v>35</v>
      </c>
      <c r="E80" s="15" t="s">
        <v>183</v>
      </c>
      <c r="F80" s="16" t="s">
        <v>348</v>
      </c>
      <c r="G80" s="6" t="s">
        <v>37</v>
      </c>
      <c r="H80" s="6" t="s">
        <v>349</v>
      </c>
    </row>
    <row r="81" ht="12.75" customHeight="1">
      <c r="A81" s="6" t="s">
        <v>350</v>
      </c>
      <c r="B81" s="6" t="s">
        <v>215</v>
      </c>
      <c r="C81" s="6" t="s">
        <v>87</v>
      </c>
      <c r="D81" s="15" t="s">
        <v>351</v>
      </c>
      <c r="E81" s="15" t="s">
        <v>35</v>
      </c>
      <c r="F81" s="16" t="s">
        <v>352</v>
      </c>
      <c r="G81" s="6" t="s">
        <v>37</v>
      </c>
      <c r="H81" s="6" t="s">
        <v>353</v>
      </c>
    </row>
    <row r="82" ht="12.75" customHeight="1">
      <c r="A82" s="6" t="s">
        <v>354</v>
      </c>
      <c r="B82" s="6" t="s">
        <v>355</v>
      </c>
      <c r="C82" s="6" t="s">
        <v>356</v>
      </c>
      <c r="D82" s="15" t="s">
        <v>34</v>
      </c>
      <c r="E82" s="15" t="s">
        <v>35</v>
      </c>
      <c r="F82" s="16" t="s">
        <v>357</v>
      </c>
      <c r="G82" s="6" t="s">
        <v>37</v>
      </c>
      <c r="H82" s="6" t="s">
        <v>358</v>
      </c>
    </row>
    <row r="83" ht="12.75" customHeight="1">
      <c r="A83" s="6" t="s">
        <v>359</v>
      </c>
      <c r="B83" s="6" t="s">
        <v>355</v>
      </c>
      <c r="C83" s="6" t="s">
        <v>360</v>
      </c>
      <c r="D83" s="15" t="s">
        <v>50</v>
      </c>
      <c r="E83" s="15" t="s">
        <v>35</v>
      </c>
      <c r="F83" s="16" t="s">
        <v>361</v>
      </c>
      <c r="G83" s="6" t="s">
        <v>37</v>
      </c>
      <c r="H83" s="6" t="s">
        <v>362</v>
      </c>
    </row>
    <row r="84" ht="12.75" customHeight="1">
      <c r="A84" s="6" t="s">
        <v>363</v>
      </c>
      <c r="B84" s="6" t="s">
        <v>355</v>
      </c>
      <c r="C84" s="6" t="s">
        <v>40</v>
      </c>
      <c r="D84" s="15" t="s">
        <v>35</v>
      </c>
      <c r="E84" s="15" t="s">
        <v>364</v>
      </c>
      <c r="F84" s="16" t="s">
        <v>365</v>
      </c>
      <c r="G84" s="6" t="s">
        <v>37</v>
      </c>
      <c r="H84" s="6" t="s">
        <v>366</v>
      </c>
    </row>
    <row r="85" ht="12.75" customHeight="1">
      <c r="A85" s="6" t="s">
        <v>367</v>
      </c>
      <c r="B85" s="6" t="s">
        <v>355</v>
      </c>
      <c r="C85" s="6" t="s">
        <v>221</v>
      </c>
      <c r="D85" s="15" t="s">
        <v>222</v>
      </c>
      <c r="E85" s="15" t="s">
        <v>35</v>
      </c>
      <c r="F85" s="16" t="s">
        <v>368</v>
      </c>
      <c r="G85" s="6" t="s">
        <v>37</v>
      </c>
      <c r="H85" s="6" t="s">
        <v>369</v>
      </c>
    </row>
    <row r="86" ht="12.75" customHeight="1">
      <c r="A86" s="6" t="s">
        <v>370</v>
      </c>
      <c r="B86" s="6" t="s">
        <v>355</v>
      </c>
      <c r="C86" s="6" t="s">
        <v>307</v>
      </c>
      <c r="D86" s="15" t="s">
        <v>364</v>
      </c>
      <c r="E86" s="15" t="s">
        <v>35</v>
      </c>
      <c r="F86" s="16" t="s">
        <v>371</v>
      </c>
      <c r="G86" s="6" t="s">
        <v>37</v>
      </c>
      <c r="H86" s="6" t="s">
        <v>372</v>
      </c>
    </row>
    <row r="87" ht="12.75" customHeight="1">
      <c r="A87" s="6" t="s">
        <v>373</v>
      </c>
      <c r="B87" s="6" t="s">
        <v>355</v>
      </c>
      <c r="C87" s="6" t="s">
        <v>230</v>
      </c>
      <c r="D87" s="15" t="s">
        <v>374</v>
      </c>
      <c r="E87" s="15" t="s">
        <v>35</v>
      </c>
      <c r="F87" s="16" t="s">
        <v>375</v>
      </c>
      <c r="G87" s="6" t="s">
        <v>37</v>
      </c>
      <c r="H87" s="6" t="s">
        <v>376</v>
      </c>
    </row>
    <row r="88" ht="12.75" customHeight="1">
      <c r="A88" s="6" t="s">
        <v>377</v>
      </c>
      <c r="B88" s="6" t="s">
        <v>355</v>
      </c>
      <c r="C88" s="6" t="s">
        <v>378</v>
      </c>
      <c r="D88" s="15" t="s">
        <v>335</v>
      </c>
      <c r="E88" s="15" t="s">
        <v>35</v>
      </c>
      <c r="F88" s="16" t="s">
        <v>379</v>
      </c>
      <c r="G88" s="6" t="s">
        <v>37</v>
      </c>
      <c r="H88" s="6" t="s">
        <v>380</v>
      </c>
    </row>
    <row r="89" ht="12.75" customHeight="1">
      <c r="A89" s="6" t="s">
        <v>381</v>
      </c>
      <c r="B89" s="6" t="s">
        <v>355</v>
      </c>
      <c r="C89" s="6" t="s">
        <v>382</v>
      </c>
      <c r="D89" s="15" t="s">
        <v>71</v>
      </c>
      <c r="E89" s="15" t="s">
        <v>35</v>
      </c>
      <c r="F89" s="16" t="s">
        <v>383</v>
      </c>
      <c r="G89" s="6" t="s">
        <v>37</v>
      </c>
      <c r="H89" s="6" t="s">
        <v>384</v>
      </c>
    </row>
    <row r="90" ht="12.75" customHeight="1">
      <c r="A90" s="6" t="s">
        <v>385</v>
      </c>
      <c r="B90" s="6" t="s">
        <v>355</v>
      </c>
      <c r="C90" s="6" t="s">
        <v>322</v>
      </c>
      <c r="D90" s="15" t="s">
        <v>189</v>
      </c>
      <c r="E90" s="15" t="s">
        <v>35</v>
      </c>
      <c r="F90" s="16" t="s">
        <v>386</v>
      </c>
      <c r="G90" s="6" t="s">
        <v>37</v>
      </c>
      <c r="H90" s="6" t="s">
        <v>387</v>
      </c>
    </row>
    <row r="91" ht="12.75" customHeight="1">
      <c r="A91" s="6" t="s">
        <v>388</v>
      </c>
      <c r="B91" s="6" t="s">
        <v>355</v>
      </c>
      <c r="C91" s="6" t="s">
        <v>289</v>
      </c>
      <c r="D91" s="15" t="s">
        <v>389</v>
      </c>
      <c r="E91" s="15" t="s">
        <v>35</v>
      </c>
      <c r="F91" s="16" t="s">
        <v>390</v>
      </c>
      <c r="G91" s="6" t="s">
        <v>37</v>
      </c>
      <c r="H91" s="6" t="s">
        <v>391</v>
      </c>
    </row>
    <row r="92" ht="12.75" customHeight="1">
      <c r="A92" s="6" t="s">
        <v>392</v>
      </c>
      <c r="B92" s="6" t="s">
        <v>355</v>
      </c>
      <c r="C92" s="6" t="s">
        <v>393</v>
      </c>
      <c r="D92" s="15" t="s">
        <v>71</v>
      </c>
      <c r="E92" s="15" t="s">
        <v>35</v>
      </c>
      <c r="F92" s="16" t="s">
        <v>394</v>
      </c>
      <c r="G92" s="6" t="s">
        <v>37</v>
      </c>
      <c r="H92" s="6" t="s">
        <v>395</v>
      </c>
    </row>
    <row r="93" ht="12.75" customHeight="1">
      <c r="A93" s="6" t="s">
        <v>396</v>
      </c>
      <c r="B93" s="6" t="s">
        <v>355</v>
      </c>
      <c r="C93" s="6" t="s">
        <v>397</v>
      </c>
      <c r="D93" s="15" t="s">
        <v>398</v>
      </c>
      <c r="E93" s="15" t="s">
        <v>35</v>
      </c>
      <c r="F93" s="16" t="s">
        <v>399</v>
      </c>
      <c r="G93" s="6" t="s">
        <v>37</v>
      </c>
      <c r="H93" s="6" t="s">
        <v>400</v>
      </c>
    </row>
    <row r="94" ht="12.75" customHeight="1">
      <c r="A94" s="6" t="s">
        <v>401</v>
      </c>
      <c r="B94" s="6" t="s">
        <v>355</v>
      </c>
      <c r="C94" s="6" t="s">
        <v>402</v>
      </c>
      <c r="D94" s="15" t="s">
        <v>65</v>
      </c>
      <c r="E94" s="15" t="s">
        <v>35</v>
      </c>
      <c r="F94" s="16" t="s">
        <v>403</v>
      </c>
      <c r="G94" s="6" t="s">
        <v>37</v>
      </c>
      <c r="H94" s="6" t="s">
        <v>404</v>
      </c>
    </row>
    <row r="95" ht="12.75" customHeight="1">
      <c r="A95" s="6" t="s">
        <v>405</v>
      </c>
      <c r="B95" s="6" t="s">
        <v>355</v>
      </c>
      <c r="C95" s="6" t="s">
        <v>406</v>
      </c>
      <c r="D95" s="15" t="s">
        <v>35</v>
      </c>
      <c r="E95" s="15" t="s">
        <v>407</v>
      </c>
      <c r="F95" s="16" t="s">
        <v>408</v>
      </c>
      <c r="G95" s="6" t="s">
        <v>37</v>
      </c>
      <c r="H95" s="6" t="s">
        <v>409</v>
      </c>
    </row>
    <row r="96" ht="12.75" customHeight="1">
      <c r="A96" s="6" t="s">
        <v>410</v>
      </c>
      <c r="B96" s="6" t="s">
        <v>355</v>
      </c>
      <c r="C96" s="6" t="s">
        <v>221</v>
      </c>
      <c r="D96" s="15" t="s">
        <v>222</v>
      </c>
      <c r="E96" s="15" t="s">
        <v>35</v>
      </c>
      <c r="F96" s="16" t="s">
        <v>411</v>
      </c>
      <c r="G96" s="6" t="s">
        <v>37</v>
      </c>
      <c r="H96" s="6" t="s">
        <v>412</v>
      </c>
    </row>
    <row r="97" ht="12.75" customHeight="1">
      <c r="A97" s="6" t="s">
        <v>413</v>
      </c>
      <c r="B97" s="6" t="s">
        <v>355</v>
      </c>
      <c r="C97" s="6" t="s">
        <v>230</v>
      </c>
      <c r="D97" s="15" t="s">
        <v>256</v>
      </c>
      <c r="E97" s="15" t="s">
        <v>35</v>
      </c>
      <c r="F97" s="16" t="s">
        <v>414</v>
      </c>
      <c r="G97" s="6" t="s">
        <v>37</v>
      </c>
      <c r="H97" s="6" t="s">
        <v>415</v>
      </c>
    </row>
    <row r="98" ht="12.75" customHeight="1">
      <c r="A98" s="6" t="s">
        <v>416</v>
      </c>
      <c r="B98" s="6" t="s">
        <v>355</v>
      </c>
      <c r="C98" s="6" t="s">
        <v>303</v>
      </c>
      <c r="D98" s="15" t="s">
        <v>417</v>
      </c>
      <c r="E98" s="15" t="s">
        <v>35</v>
      </c>
      <c r="F98" s="16" t="s">
        <v>418</v>
      </c>
      <c r="G98" s="6" t="s">
        <v>37</v>
      </c>
      <c r="H98" s="6" t="s">
        <v>419</v>
      </c>
    </row>
    <row r="99" ht="12.75" customHeight="1">
      <c r="A99" s="6" t="s">
        <v>420</v>
      </c>
      <c r="B99" s="6" t="s">
        <v>355</v>
      </c>
      <c r="C99" s="6" t="s">
        <v>421</v>
      </c>
      <c r="D99" s="15" t="s">
        <v>422</v>
      </c>
      <c r="E99" s="15" t="s">
        <v>35</v>
      </c>
      <c r="F99" s="16" t="s">
        <v>423</v>
      </c>
      <c r="G99" s="6" t="s">
        <v>37</v>
      </c>
      <c r="H99" s="6" t="s">
        <v>424</v>
      </c>
    </row>
    <row r="100" ht="12.75" customHeight="1">
      <c r="A100" s="6" t="s">
        <v>425</v>
      </c>
      <c r="B100" s="6" t="s">
        <v>355</v>
      </c>
      <c r="C100" s="6" t="s">
        <v>426</v>
      </c>
      <c r="D100" s="15" t="s">
        <v>65</v>
      </c>
      <c r="E100" s="15" t="s">
        <v>35</v>
      </c>
      <c r="F100" s="16" t="s">
        <v>427</v>
      </c>
      <c r="G100" s="6" t="s">
        <v>37</v>
      </c>
      <c r="H100" s="6" t="s">
        <v>428</v>
      </c>
    </row>
    <row r="101" ht="12.75" customHeight="1">
      <c r="A101" s="6" t="s">
        <v>429</v>
      </c>
      <c r="B101" s="6" t="s">
        <v>355</v>
      </c>
      <c r="C101" s="6" t="s">
        <v>289</v>
      </c>
      <c r="D101" s="15" t="s">
        <v>97</v>
      </c>
      <c r="E101" s="15" t="s">
        <v>35</v>
      </c>
      <c r="F101" s="16" t="s">
        <v>430</v>
      </c>
      <c r="G101" s="6" t="s">
        <v>37</v>
      </c>
      <c r="H101" s="6" t="s">
        <v>431</v>
      </c>
    </row>
    <row r="102" ht="12.75" customHeight="1">
      <c r="A102" s="6" t="s">
        <v>432</v>
      </c>
      <c r="B102" s="6" t="s">
        <v>433</v>
      </c>
      <c r="C102" s="6" t="s">
        <v>434</v>
      </c>
      <c r="D102" s="15" t="s">
        <v>71</v>
      </c>
      <c r="E102" s="15" t="s">
        <v>35</v>
      </c>
      <c r="F102" s="16" t="s">
        <v>435</v>
      </c>
      <c r="G102" s="6" t="s">
        <v>37</v>
      </c>
      <c r="H102" s="6" t="s">
        <v>436</v>
      </c>
    </row>
    <row r="103" ht="12.75" customHeight="1">
      <c r="A103" s="6" t="s">
        <v>437</v>
      </c>
      <c r="B103" s="6" t="s">
        <v>433</v>
      </c>
      <c r="C103" s="6" t="s">
        <v>438</v>
      </c>
      <c r="D103" s="15" t="s">
        <v>107</v>
      </c>
      <c r="E103" s="15" t="s">
        <v>35</v>
      </c>
      <c r="F103" s="16" t="s">
        <v>439</v>
      </c>
      <c r="G103" s="6" t="s">
        <v>37</v>
      </c>
      <c r="H103" s="6" t="s">
        <v>440</v>
      </c>
    </row>
    <row r="104" ht="12.75" customHeight="1">
      <c r="A104" s="6" t="s">
        <v>441</v>
      </c>
      <c r="B104" s="6" t="s">
        <v>433</v>
      </c>
      <c r="C104" s="6" t="s">
        <v>442</v>
      </c>
      <c r="D104" s="15" t="s">
        <v>443</v>
      </c>
      <c r="E104" s="15" t="s">
        <v>35</v>
      </c>
      <c r="F104" s="16" t="s">
        <v>444</v>
      </c>
      <c r="G104" s="6" t="s">
        <v>37</v>
      </c>
      <c r="H104" s="6" t="s">
        <v>445</v>
      </c>
    </row>
    <row r="105" ht="12.75" customHeight="1">
      <c r="A105" s="6" t="s">
        <v>446</v>
      </c>
      <c r="B105" s="6" t="s">
        <v>433</v>
      </c>
      <c r="C105" s="6" t="s">
        <v>447</v>
      </c>
      <c r="D105" s="15" t="s">
        <v>335</v>
      </c>
      <c r="E105" s="15" t="s">
        <v>35</v>
      </c>
      <c r="F105" s="16" t="s">
        <v>448</v>
      </c>
      <c r="G105" s="6" t="s">
        <v>37</v>
      </c>
      <c r="H105" s="6" t="s">
        <v>449</v>
      </c>
    </row>
    <row r="106" ht="12.75" customHeight="1">
      <c r="A106" s="6" t="s">
        <v>450</v>
      </c>
      <c r="B106" s="6" t="s">
        <v>433</v>
      </c>
      <c r="C106" s="6" t="s">
        <v>54</v>
      </c>
      <c r="D106" s="15" t="s">
        <v>41</v>
      </c>
      <c r="E106" s="15" t="s">
        <v>35</v>
      </c>
      <c r="F106" s="16" t="s">
        <v>451</v>
      </c>
      <c r="G106" s="6" t="s">
        <v>37</v>
      </c>
      <c r="H106" s="6" t="s">
        <v>452</v>
      </c>
    </row>
    <row r="107" ht="12.75" customHeight="1">
      <c r="A107" s="6" t="s">
        <v>453</v>
      </c>
      <c r="B107" s="6" t="s">
        <v>433</v>
      </c>
      <c r="C107" s="6" t="s">
        <v>397</v>
      </c>
      <c r="D107" s="15" t="s">
        <v>374</v>
      </c>
      <c r="E107" s="15" t="s">
        <v>35</v>
      </c>
      <c r="F107" s="16" t="s">
        <v>454</v>
      </c>
      <c r="G107" s="6" t="s">
        <v>37</v>
      </c>
      <c r="H107" s="6" t="s">
        <v>455</v>
      </c>
    </row>
    <row r="108" ht="12.75" customHeight="1">
      <c r="A108" s="6" t="s">
        <v>456</v>
      </c>
      <c r="B108" s="6" t="s">
        <v>433</v>
      </c>
      <c r="C108" s="6" t="s">
        <v>45</v>
      </c>
      <c r="D108" s="15" t="s">
        <v>50</v>
      </c>
      <c r="E108" s="15" t="s">
        <v>35</v>
      </c>
      <c r="F108" s="16" t="s">
        <v>457</v>
      </c>
      <c r="G108" s="6" t="s">
        <v>37</v>
      </c>
      <c r="H108" s="6" t="s">
        <v>458</v>
      </c>
    </row>
    <row r="109" ht="12.75" customHeight="1">
      <c r="A109" s="6" t="s">
        <v>459</v>
      </c>
      <c r="B109" s="6" t="s">
        <v>433</v>
      </c>
      <c r="C109" s="6" t="s">
        <v>45</v>
      </c>
      <c r="D109" s="15" t="s">
        <v>460</v>
      </c>
      <c r="E109" s="15" t="s">
        <v>35</v>
      </c>
      <c r="F109" s="16" t="s">
        <v>461</v>
      </c>
      <c r="G109" s="6" t="s">
        <v>37</v>
      </c>
      <c r="H109" s="6" t="s">
        <v>462</v>
      </c>
    </row>
    <row r="110" ht="12.75" customHeight="1">
      <c r="A110" s="6" t="s">
        <v>463</v>
      </c>
      <c r="B110" s="6" t="s">
        <v>433</v>
      </c>
      <c r="C110" s="6" t="s">
        <v>127</v>
      </c>
      <c r="D110" s="15" t="s">
        <v>35</v>
      </c>
      <c r="E110" s="15" t="s">
        <v>374</v>
      </c>
      <c r="F110" s="16" t="s">
        <v>464</v>
      </c>
      <c r="G110" s="6" t="s">
        <v>37</v>
      </c>
      <c r="H110" s="6" t="s">
        <v>465</v>
      </c>
    </row>
    <row r="111" ht="12.75" customHeight="1">
      <c r="A111" s="6" t="s">
        <v>466</v>
      </c>
      <c r="B111" s="6" t="s">
        <v>433</v>
      </c>
      <c r="C111" s="6" t="s">
        <v>221</v>
      </c>
      <c r="D111" s="15" t="s">
        <v>222</v>
      </c>
      <c r="E111" s="15" t="s">
        <v>35</v>
      </c>
      <c r="F111" s="16" t="s">
        <v>467</v>
      </c>
      <c r="G111" s="6" t="s">
        <v>37</v>
      </c>
      <c r="H111" s="6" t="s">
        <v>468</v>
      </c>
    </row>
    <row r="112" ht="12.75" customHeight="1">
      <c r="A112" s="6" t="s">
        <v>469</v>
      </c>
      <c r="B112" s="6" t="s">
        <v>433</v>
      </c>
      <c r="C112" s="6" t="s">
        <v>470</v>
      </c>
      <c r="D112" s="15" t="s">
        <v>471</v>
      </c>
      <c r="E112" s="15" t="s">
        <v>35</v>
      </c>
      <c r="F112" s="16" t="s">
        <v>472</v>
      </c>
      <c r="G112" s="6" t="s">
        <v>37</v>
      </c>
      <c r="H112" s="6" t="s">
        <v>473</v>
      </c>
    </row>
    <row r="113" ht="12.75" customHeight="1">
      <c r="A113" s="6" t="s">
        <v>474</v>
      </c>
      <c r="B113" s="6" t="s">
        <v>475</v>
      </c>
      <c r="C113" s="6" t="s">
        <v>96</v>
      </c>
      <c r="D113" s="15" t="s">
        <v>35</v>
      </c>
      <c r="E113" s="15" t="s">
        <v>290</v>
      </c>
      <c r="F113" s="16" t="s">
        <v>476</v>
      </c>
      <c r="G113" s="6" t="s">
        <v>37</v>
      </c>
      <c r="H113" s="6" t="s">
        <v>477</v>
      </c>
    </row>
    <row r="114" ht="12.75" customHeight="1">
      <c r="A114" s="6" t="s">
        <v>478</v>
      </c>
      <c r="B114" s="6" t="s">
        <v>475</v>
      </c>
      <c r="C114" s="6" t="s">
        <v>106</v>
      </c>
      <c r="D114" s="15" t="s">
        <v>107</v>
      </c>
      <c r="E114" s="15" t="s">
        <v>35</v>
      </c>
      <c r="F114" s="16" t="s">
        <v>479</v>
      </c>
      <c r="G114" s="6" t="s">
        <v>37</v>
      </c>
      <c r="H114" s="6" t="s">
        <v>480</v>
      </c>
    </row>
    <row r="115" ht="12.75" customHeight="1">
      <c r="A115" s="6" t="s">
        <v>481</v>
      </c>
      <c r="B115" s="6" t="s">
        <v>475</v>
      </c>
      <c r="C115" s="6" t="s">
        <v>330</v>
      </c>
      <c r="D115" s="15" t="s">
        <v>290</v>
      </c>
      <c r="E115" s="15" t="s">
        <v>35</v>
      </c>
      <c r="F115" s="16" t="s">
        <v>482</v>
      </c>
      <c r="G115" s="6" t="s">
        <v>37</v>
      </c>
      <c r="H115" s="6" t="s">
        <v>483</v>
      </c>
    </row>
    <row r="116" ht="12.75" customHeight="1">
      <c r="A116" s="6" t="s">
        <v>484</v>
      </c>
      <c r="B116" s="6" t="s">
        <v>475</v>
      </c>
      <c r="C116" s="6" t="s">
        <v>485</v>
      </c>
      <c r="D116" s="15" t="s">
        <v>486</v>
      </c>
      <c r="E116" s="15" t="s">
        <v>35</v>
      </c>
      <c r="F116" s="16" t="s">
        <v>487</v>
      </c>
      <c r="G116" s="6" t="s">
        <v>37</v>
      </c>
      <c r="H116" s="6" t="s">
        <v>488</v>
      </c>
    </row>
    <row r="117" ht="12.75" customHeight="1">
      <c r="A117" s="6" t="s">
        <v>489</v>
      </c>
      <c r="B117" s="6" t="s">
        <v>475</v>
      </c>
      <c r="C117" s="6" t="s">
        <v>127</v>
      </c>
      <c r="D117" s="15" t="s">
        <v>35</v>
      </c>
      <c r="E117" s="15" t="s">
        <v>490</v>
      </c>
      <c r="F117" s="16" t="s">
        <v>491</v>
      </c>
      <c r="G117" s="6" t="s">
        <v>37</v>
      </c>
      <c r="H117" s="6" t="s">
        <v>492</v>
      </c>
    </row>
    <row r="118" ht="12.75" customHeight="1">
      <c r="A118" s="6" t="s">
        <v>493</v>
      </c>
      <c r="B118" s="6" t="s">
        <v>475</v>
      </c>
      <c r="C118" s="6" t="s">
        <v>221</v>
      </c>
      <c r="D118" s="15" t="s">
        <v>222</v>
      </c>
      <c r="E118" s="15" t="s">
        <v>35</v>
      </c>
      <c r="F118" s="16" t="s">
        <v>494</v>
      </c>
      <c r="G118" s="6" t="s">
        <v>37</v>
      </c>
      <c r="H118" s="6" t="s">
        <v>495</v>
      </c>
    </row>
    <row r="119" ht="12.75" customHeight="1">
      <c r="A119" s="6" t="s">
        <v>496</v>
      </c>
      <c r="B119" s="6" t="s">
        <v>475</v>
      </c>
      <c r="C119" s="6" t="s">
        <v>230</v>
      </c>
      <c r="D119" s="15" t="s">
        <v>251</v>
      </c>
      <c r="E119" s="15" t="s">
        <v>35</v>
      </c>
      <c r="F119" s="16" t="s">
        <v>497</v>
      </c>
      <c r="G119" s="6" t="s">
        <v>37</v>
      </c>
      <c r="H119" s="6" t="s">
        <v>498</v>
      </c>
    </row>
    <row r="120" ht="12.75" customHeight="1">
      <c r="A120" s="6" t="s">
        <v>499</v>
      </c>
      <c r="B120" s="6" t="s">
        <v>500</v>
      </c>
      <c r="C120" s="6" t="s">
        <v>501</v>
      </c>
      <c r="D120" s="15" t="s">
        <v>502</v>
      </c>
      <c r="E120" s="15" t="s">
        <v>35</v>
      </c>
      <c r="F120" s="16" t="s">
        <v>503</v>
      </c>
      <c r="G120" s="6" t="s">
        <v>37</v>
      </c>
      <c r="H120" s="6" t="s">
        <v>504</v>
      </c>
    </row>
    <row r="121" ht="12.75" customHeight="1">
      <c r="A121" s="6" t="s">
        <v>505</v>
      </c>
      <c r="B121" s="6" t="s">
        <v>500</v>
      </c>
      <c r="C121" s="6" t="s">
        <v>506</v>
      </c>
      <c r="D121" s="15" t="s">
        <v>507</v>
      </c>
      <c r="E121" s="15" t="s">
        <v>35</v>
      </c>
      <c r="F121" s="16" t="s">
        <v>508</v>
      </c>
      <c r="G121" s="6" t="s">
        <v>37</v>
      </c>
      <c r="H121" s="6" t="s">
        <v>509</v>
      </c>
    </row>
    <row r="122" ht="12.75" customHeight="1">
      <c r="A122" s="6" t="s">
        <v>510</v>
      </c>
      <c r="B122" s="6" t="s">
        <v>500</v>
      </c>
      <c r="C122" s="6" t="s">
        <v>511</v>
      </c>
      <c r="D122" s="15" t="s">
        <v>41</v>
      </c>
      <c r="E122" s="15" t="s">
        <v>35</v>
      </c>
      <c r="F122" s="16" t="s">
        <v>512</v>
      </c>
      <c r="G122" s="6" t="s">
        <v>37</v>
      </c>
      <c r="H122" s="6" t="s">
        <v>513</v>
      </c>
    </row>
    <row r="123" ht="12.75" customHeight="1">
      <c r="A123" s="6" t="s">
        <v>514</v>
      </c>
      <c r="B123" s="6" t="s">
        <v>500</v>
      </c>
      <c r="C123" s="6" t="s">
        <v>106</v>
      </c>
      <c r="D123" s="15" t="s">
        <v>515</v>
      </c>
      <c r="E123" s="15" t="s">
        <v>35</v>
      </c>
      <c r="F123" s="16" t="s">
        <v>516</v>
      </c>
      <c r="G123" s="6" t="s">
        <v>37</v>
      </c>
      <c r="H123" s="6" t="s">
        <v>517</v>
      </c>
    </row>
    <row r="124" ht="12.75" customHeight="1">
      <c r="A124" s="6" t="s">
        <v>518</v>
      </c>
      <c r="B124" s="6" t="s">
        <v>500</v>
      </c>
      <c r="C124" s="6" t="s">
        <v>45</v>
      </c>
      <c r="D124" s="15" t="s">
        <v>119</v>
      </c>
      <c r="E124" s="15" t="s">
        <v>35</v>
      </c>
      <c r="F124" s="16" t="s">
        <v>519</v>
      </c>
      <c r="G124" s="6" t="s">
        <v>37</v>
      </c>
      <c r="H124" s="6" t="s">
        <v>520</v>
      </c>
    </row>
    <row r="125" ht="12.75" customHeight="1">
      <c r="A125" s="6" t="s">
        <v>521</v>
      </c>
      <c r="B125" s="6" t="s">
        <v>500</v>
      </c>
      <c r="C125" s="6" t="s">
        <v>522</v>
      </c>
      <c r="D125" s="15" t="s">
        <v>35</v>
      </c>
      <c r="E125" s="15" t="s">
        <v>523</v>
      </c>
      <c r="F125" s="16" t="s">
        <v>524</v>
      </c>
      <c r="G125" s="6" t="s">
        <v>37</v>
      </c>
      <c r="H125" s="6" t="s">
        <v>525</v>
      </c>
    </row>
    <row r="126" ht="12.75" customHeight="1">
      <c r="A126" s="6" t="s">
        <v>526</v>
      </c>
      <c r="B126" s="6" t="s">
        <v>500</v>
      </c>
      <c r="C126" s="6" t="s">
        <v>221</v>
      </c>
      <c r="D126" s="15" t="s">
        <v>222</v>
      </c>
      <c r="E126" s="15" t="s">
        <v>35</v>
      </c>
      <c r="F126" s="16" t="s">
        <v>527</v>
      </c>
      <c r="G126" s="6" t="s">
        <v>37</v>
      </c>
      <c r="H126" s="6" t="s">
        <v>528</v>
      </c>
    </row>
    <row r="127" ht="12.75" customHeight="1">
      <c r="A127" s="6" t="s">
        <v>529</v>
      </c>
      <c r="B127" s="6" t="s">
        <v>500</v>
      </c>
      <c r="C127" s="6" t="s">
        <v>530</v>
      </c>
      <c r="D127" s="15" t="s">
        <v>531</v>
      </c>
      <c r="E127" s="15" t="s">
        <v>35</v>
      </c>
      <c r="F127" s="16" t="s">
        <v>532</v>
      </c>
      <c r="G127" s="6" t="s">
        <v>37</v>
      </c>
      <c r="H127" s="6" t="s">
        <v>533</v>
      </c>
    </row>
    <row r="128" ht="12.75" customHeight="1">
      <c r="A128" s="6" t="s">
        <v>534</v>
      </c>
      <c r="B128" s="6" t="s">
        <v>500</v>
      </c>
      <c r="C128" s="6" t="s">
        <v>535</v>
      </c>
      <c r="D128" s="15" t="s">
        <v>536</v>
      </c>
      <c r="E128" s="15" t="s">
        <v>35</v>
      </c>
      <c r="F128" s="16" t="s">
        <v>537</v>
      </c>
      <c r="G128" s="6" t="s">
        <v>37</v>
      </c>
      <c r="H128" s="6" t="s">
        <v>538</v>
      </c>
    </row>
    <row r="129" ht="12.75" customHeight="1">
      <c r="A129" s="6" t="s">
        <v>539</v>
      </c>
      <c r="B129" s="6" t="s">
        <v>500</v>
      </c>
      <c r="C129" s="6" t="s">
        <v>540</v>
      </c>
      <c r="D129" s="15" t="s">
        <v>35</v>
      </c>
      <c r="E129" s="15" t="s">
        <v>490</v>
      </c>
      <c r="F129" s="16" t="s">
        <v>541</v>
      </c>
      <c r="G129" s="6" t="s">
        <v>37</v>
      </c>
      <c r="H129" s="6" t="s">
        <v>542</v>
      </c>
    </row>
    <row r="130" ht="12.75" customHeight="1">
      <c r="A130" s="6" t="s">
        <v>543</v>
      </c>
      <c r="B130" s="6" t="s">
        <v>500</v>
      </c>
      <c r="C130" s="6" t="s">
        <v>221</v>
      </c>
      <c r="D130" s="15" t="s">
        <v>222</v>
      </c>
      <c r="E130" s="15" t="s">
        <v>35</v>
      </c>
      <c r="F130" s="16" t="s">
        <v>544</v>
      </c>
      <c r="G130" s="6" t="s">
        <v>37</v>
      </c>
      <c r="H130" s="6" t="s">
        <v>545</v>
      </c>
    </row>
    <row r="131" ht="12.75" customHeight="1">
      <c r="A131" s="6" t="s">
        <v>546</v>
      </c>
      <c r="B131" s="6" t="s">
        <v>500</v>
      </c>
      <c r="C131" s="6" t="s">
        <v>230</v>
      </c>
      <c r="D131" s="15" t="s">
        <v>547</v>
      </c>
      <c r="E131" s="15" t="s">
        <v>35</v>
      </c>
      <c r="F131" s="16" t="s">
        <v>548</v>
      </c>
      <c r="G131" s="6" t="s">
        <v>37</v>
      </c>
      <c r="H131" s="6" t="s">
        <v>549</v>
      </c>
    </row>
    <row r="132" ht="12.75" customHeight="1">
      <c r="A132" s="6" t="s">
        <v>550</v>
      </c>
      <c r="B132" s="6" t="s">
        <v>500</v>
      </c>
      <c r="C132" s="6" t="s">
        <v>70</v>
      </c>
      <c r="D132" s="15" t="s">
        <v>189</v>
      </c>
      <c r="E132" s="15" t="s">
        <v>35</v>
      </c>
      <c r="F132" s="16" t="s">
        <v>551</v>
      </c>
      <c r="G132" s="6" t="s">
        <v>37</v>
      </c>
      <c r="H132" s="6" t="s">
        <v>552</v>
      </c>
    </row>
    <row r="133" ht="12.75" customHeight="1">
      <c r="A133" s="6" t="s">
        <v>553</v>
      </c>
      <c r="B133" s="6" t="s">
        <v>554</v>
      </c>
      <c r="C133" s="6" t="s">
        <v>303</v>
      </c>
      <c r="D133" s="15" t="s">
        <v>34</v>
      </c>
      <c r="E133" s="15" t="s">
        <v>35</v>
      </c>
      <c r="F133" s="16" t="s">
        <v>555</v>
      </c>
      <c r="G133" s="6" t="s">
        <v>37</v>
      </c>
      <c r="H133" s="6" t="s">
        <v>556</v>
      </c>
    </row>
    <row r="134" ht="12.75" customHeight="1">
      <c r="A134" s="6" t="s">
        <v>557</v>
      </c>
      <c r="B134" s="6" t="s">
        <v>554</v>
      </c>
      <c r="C134" s="6" t="s">
        <v>230</v>
      </c>
      <c r="D134" s="15" t="s">
        <v>189</v>
      </c>
      <c r="E134" s="15" t="s">
        <v>35</v>
      </c>
      <c r="F134" s="16" t="s">
        <v>558</v>
      </c>
      <c r="G134" s="6" t="s">
        <v>37</v>
      </c>
      <c r="H134" s="6" t="s">
        <v>559</v>
      </c>
    </row>
    <row r="135" ht="12.75" customHeight="1">
      <c r="A135" s="6" t="s">
        <v>560</v>
      </c>
      <c r="B135" s="6" t="s">
        <v>554</v>
      </c>
      <c r="C135" s="6" t="s">
        <v>45</v>
      </c>
      <c r="D135" s="15" t="s">
        <v>443</v>
      </c>
      <c r="E135" s="15" t="s">
        <v>35</v>
      </c>
      <c r="F135" s="16" t="s">
        <v>561</v>
      </c>
      <c r="G135" s="6" t="s">
        <v>37</v>
      </c>
      <c r="H135" s="6" t="s">
        <v>562</v>
      </c>
    </row>
    <row r="136" ht="12.75" customHeight="1">
      <c r="A136" s="6" t="s">
        <v>563</v>
      </c>
      <c r="B136" s="6" t="s">
        <v>554</v>
      </c>
      <c r="C136" s="6" t="s">
        <v>564</v>
      </c>
      <c r="D136" s="15" t="s">
        <v>264</v>
      </c>
      <c r="E136" s="15" t="s">
        <v>35</v>
      </c>
      <c r="F136" s="16" t="s">
        <v>565</v>
      </c>
      <c r="G136" s="6" t="s">
        <v>37</v>
      </c>
      <c r="H136" s="6" t="s">
        <v>566</v>
      </c>
    </row>
    <row r="137" ht="12.75" customHeight="1">
      <c r="A137" s="6" t="s">
        <v>567</v>
      </c>
      <c r="B137" s="6" t="s">
        <v>554</v>
      </c>
      <c r="C137" s="6" t="s">
        <v>45</v>
      </c>
      <c r="D137" s="15" t="s">
        <v>568</v>
      </c>
      <c r="E137" s="15" t="s">
        <v>35</v>
      </c>
      <c r="F137" s="16" t="s">
        <v>569</v>
      </c>
      <c r="G137" s="6" t="s">
        <v>37</v>
      </c>
      <c r="H137" s="6" t="s">
        <v>570</v>
      </c>
    </row>
    <row r="138" ht="12.75" customHeight="1">
      <c r="A138" s="6" t="s">
        <v>571</v>
      </c>
      <c r="B138" s="6" t="s">
        <v>554</v>
      </c>
      <c r="C138" s="6" t="s">
        <v>45</v>
      </c>
      <c r="D138" s="15" t="s">
        <v>572</v>
      </c>
      <c r="E138" s="15" t="s">
        <v>35</v>
      </c>
      <c r="F138" s="16" t="s">
        <v>573</v>
      </c>
      <c r="G138" s="6" t="s">
        <v>37</v>
      </c>
      <c r="H138" s="6" t="s">
        <v>574</v>
      </c>
    </row>
    <row r="139" ht="12.75" customHeight="1">
      <c r="A139" s="6" t="s">
        <v>575</v>
      </c>
      <c r="B139" s="6" t="s">
        <v>554</v>
      </c>
      <c r="C139" s="6" t="s">
        <v>45</v>
      </c>
      <c r="D139" s="15" t="s">
        <v>576</v>
      </c>
      <c r="E139" s="15" t="s">
        <v>35</v>
      </c>
      <c r="F139" s="16" t="s">
        <v>577</v>
      </c>
      <c r="G139" s="6" t="s">
        <v>37</v>
      </c>
      <c r="H139" s="6" t="s">
        <v>578</v>
      </c>
    </row>
    <row r="140" ht="12.75" customHeight="1">
      <c r="A140" s="6" t="s">
        <v>579</v>
      </c>
      <c r="B140" s="6" t="s">
        <v>580</v>
      </c>
      <c r="C140" s="6" t="s">
        <v>581</v>
      </c>
      <c r="D140" s="15" t="s">
        <v>582</v>
      </c>
      <c r="E140" s="15" t="s">
        <v>35</v>
      </c>
      <c r="F140" s="16" t="s">
        <v>583</v>
      </c>
      <c r="G140" s="6" t="s">
        <v>37</v>
      </c>
      <c r="H140" s="6" t="s">
        <v>584</v>
      </c>
    </row>
    <row r="141" ht="12.75" customHeight="1">
      <c r="A141" s="6" t="s">
        <v>585</v>
      </c>
      <c r="B141" s="6" t="s">
        <v>580</v>
      </c>
      <c r="C141" s="6" t="s">
        <v>106</v>
      </c>
      <c r="D141" s="15" t="s">
        <v>107</v>
      </c>
      <c r="E141" s="15" t="s">
        <v>35</v>
      </c>
      <c r="F141" s="16" t="s">
        <v>586</v>
      </c>
      <c r="G141" s="6" t="s">
        <v>37</v>
      </c>
      <c r="H141" s="6" t="s">
        <v>587</v>
      </c>
    </row>
    <row r="142" ht="12.75" customHeight="1">
      <c r="A142" s="6" t="s">
        <v>588</v>
      </c>
      <c r="B142" s="6" t="s">
        <v>580</v>
      </c>
      <c r="C142" s="6" t="s">
        <v>589</v>
      </c>
      <c r="D142" s="15" t="s">
        <v>97</v>
      </c>
      <c r="E142" s="15" t="s">
        <v>35</v>
      </c>
      <c r="F142" s="16" t="s">
        <v>590</v>
      </c>
      <c r="G142" s="6" t="s">
        <v>37</v>
      </c>
      <c r="H142" s="6" t="s">
        <v>591</v>
      </c>
    </row>
    <row r="143" ht="12.75" customHeight="1">
      <c r="A143" s="6" t="s">
        <v>592</v>
      </c>
      <c r="B143" s="6" t="s">
        <v>593</v>
      </c>
      <c r="C143" s="6" t="s">
        <v>594</v>
      </c>
      <c r="D143" s="15" t="s">
        <v>35</v>
      </c>
      <c r="E143" s="15" t="s">
        <v>595</v>
      </c>
      <c r="F143" s="16" t="s">
        <v>596</v>
      </c>
      <c r="G143" s="6" t="s">
        <v>37</v>
      </c>
      <c r="H143" s="6" t="s">
        <v>597</v>
      </c>
    </row>
    <row r="144" ht="12.75" customHeight="1">
      <c r="A144" s="6" t="s">
        <v>598</v>
      </c>
      <c r="B144" s="6" t="s">
        <v>593</v>
      </c>
      <c r="C144" s="6" t="s">
        <v>221</v>
      </c>
      <c r="D144" s="15" t="s">
        <v>222</v>
      </c>
      <c r="E144" s="15" t="s">
        <v>35</v>
      </c>
      <c r="F144" s="16" t="s">
        <v>599</v>
      </c>
      <c r="G144" s="6" t="s">
        <v>37</v>
      </c>
      <c r="H144" s="6" t="s">
        <v>600</v>
      </c>
    </row>
    <row r="145" ht="12.75" customHeight="1">
      <c r="A145" s="6" t="s">
        <v>601</v>
      </c>
      <c r="B145" s="6" t="s">
        <v>593</v>
      </c>
      <c r="C145" s="6" t="s">
        <v>397</v>
      </c>
      <c r="D145" s="15" t="s">
        <v>602</v>
      </c>
      <c r="E145" s="15" t="s">
        <v>35</v>
      </c>
      <c r="F145" s="16" t="s">
        <v>603</v>
      </c>
      <c r="G145" s="6" t="s">
        <v>37</v>
      </c>
      <c r="H145" s="6" t="s">
        <v>604</v>
      </c>
    </row>
    <row r="146" ht="12.75" customHeight="1">
      <c r="A146" s="6" t="s">
        <v>605</v>
      </c>
      <c r="B146" s="6" t="s">
        <v>593</v>
      </c>
      <c r="C146" s="6" t="s">
        <v>33</v>
      </c>
      <c r="D146" s="15" t="s">
        <v>443</v>
      </c>
      <c r="E146" s="15" t="s">
        <v>35</v>
      </c>
      <c r="F146" s="16" t="s">
        <v>606</v>
      </c>
      <c r="G146" s="6" t="s">
        <v>37</v>
      </c>
      <c r="H146" s="6" t="s">
        <v>607</v>
      </c>
    </row>
    <row r="147" ht="12.75" customHeight="1">
      <c r="A147" s="6" t="s">
        <v>608</v>
      </c>
      <c r="B147" s="6" t="s">
        <v>593</v>
      </c>
      <c r="C147" s="6" t="s">
        <v>96</v>
      </c>
      <c r="D147" s="15" t="s">
        <v>35</v>
      </c>
      <c r="E147" s="15" t="s">
        <v>97</v>
      </c>
      <c r="F147" s="16" t="s">
        <v>609</v>
      </c>
      <c r="G147" s="6" t="s">
        <v>37</v>
      </c>
      <c r="H147" s="6" t="s">
        <v>610</v>
      </c>
    </row>
    <row r="148" ht="12.75" customHeight="1">
      <c r="A148" s="6" t="s">
        <v>611</v>
      </c>
      <c r="B148" s="6" t="s">
        <v>593</v>
      </c>
      <c r="C148" s="6" t="s">
        <v>612</v>
      </c>
      <c r="D148" s="15" t="s">
        <v>123</v>
      </c>
      <c r="E148" s="15" t="s">
        <v>35</v>
      </c>
      <c r="F148" s="16" t="s">
        <v>603</v>
      </c>
      <c r="G148" s="6" t="s">
        <v>37</v>
      </c>
      <c r="H148" s="6" t="s">
        <v>613</v>
      </c>
    </row>
    <row r="149" ht="12.75" customHeight="1">
      <c r="A149" s="6" t="s">
        <v>614</v>
      </c>
      <c r="B149" s="6" t="s">
        <v>593</v>
      </c>
      <c r="C149" s="6" t="s">
        <v>615</v>
      </c>
      <c r="D149" s="15" t="s">
        <v>123</v>
      </c>
      <c r="E149" s="15" t="s">
        <v>35</v>
      </c>
      <c r="F149" s="16" t="s">
        <v>616</v>
      </c>
      <c r="G149" s="6" t="s">
        <v>37</v>
      </c>
      <c r="H149" s="6" t="s">
        <v>617</v>
      </c>
    </row>
    <row r="150" ht="12.75" customHeight="1">
      <c r="A150" s="6" t="s">
        <v>618</v>
      </c>
      <c r="B150" s="6" t="s">
        <v>593</v>
      </c>
      <c r="C150" s="6" t="s">
        <v>263</v>
      </c>
      <c r="D150" s="15" t="s">
        <v>34</v>
      </c>
      <c r="E150" s="15" t="s">
        <v>35</v>
      </c>
      <c r="F150" s="16" t="s">
        <v>619</v>
      </c>
      <c r="G150" s="6" t="s">
        <v>37</v>
      </c>
      <c r="H150" s="6" t="s">
        <v>620</v>
      </c>
    </row>
    <row r="151" ht="12.75" customHeight="1">
      <c r="A151" s="6" t="s">
        <v>621</v>
      </c>
      <c r="B151" s="6" t="s">
        <v>593</v>
      </c>
      <c r="C151" s="6" t="s">
        <v>622</v>
      </c>
      <c r="D151" s="15" t="s">
        <v>35</v>
      </c>
      <c r="E151" s="15" t="s">
        <v>623</v>
      </c>
      <c r="F151" s="16" t="s">
        <v>624</v>
      </c>
      <c r="G151" s="6" t="s">
        <v>37</v>
      </c>
      <c r="H151" s="6" t="s">
        <v>625</v>
      </c>
    </row>
    <row r="152" ht="12.75" customHeight="1">
      <c r="A152" s="6" t="s">
        <v>626</v>
      </c>
      <c r="B152" s="6" t="s">
        <v>593</v>
      </c>
      <c r="C152" s="6" t="s">
        <v>221</v>
      </c>
      <c r="D152" s="15" t="s">
        <v>222</v>
      </c>
      <c r="E152" s="15" t="s">
        <v>35</v>
      </c>
      <c r="F152" s="16" t="s">
        <v>627</v>
      </c>
      <c r="G152" s="6" t="s">
        <v>37</v>
      </c>
      <c r="H152" s="6" t="s">
        <v>628</v>
      </c>
    </row>
    <row r="153" ht="12.75" customHeight="1">
      <c r="A153" s="6" t="s">
        <v>629</v>
      </c>
      <c r="B153" s="6" t="s">
        <v>593</v>
      </c>
      <c r="C153" s="6" t="s">
        <v>397</v>
      </c>
      <c r="D153" s="15" t="s">
        <v>623</v>
      </c>
      <c r="E153" s="15" t="s">
        <v>35</v>
      </c>
      <c r="F153" s="16" t="s">
        <v>630</v>
      </c>
      <c r="G153" s="6" t="s">
        <v>37</v>
      </c>
      <c r="H153" s="6" t="s">
        <v>631</v>
      </c>
    </row>
    <row r="154" ht="12.75" customHeight="1">
      <c r="A154" s="6" t="s">
        <v>632</v>
      </c>
      <c r="B154" s="6" t="s">
        <v>633</v>
      </c>
      <c r="C154" s="6" t="s">
        <v>45</v>
      </c>
      <c r="D154" s="15" t="s">
        <v>443</v>
      </c>
      <c r="E154" s="15" t="s">
        <v>35</v>
      </c>
      <c r="F154" s="16" t="s">
        <v>634</v>
      </c>
      <c r="G154" s="6" t="s">
        <v>37</v>
      </c>
      <c r="H154" s="6" t="s">
        <v>635</v>
      </c>
    </row>
    <row r="155" ht="12.75" customHeight="1">
      <c r="A155" s="6" t="s">
        <v>636</v>
      </c>
      <c r="B155" s="6" t="s">
        <v>633</v>
      </c>
      <c r="C155" s="6" t="s">
        <v>637</v>
      </c>
      <c r="D155" s="15" t="s">
        <v>55</v>
      </c>
      <c r="E155" s="15" t="s">
        <v>35</v>
      </c>
      <c r="F155" s="16" t="s">
        <v>638</v>
      </c>
      <c r="G155" s="6" t="s">
        <v>37</v>
      </c>
      <c r="H155" s="6" t="s">
        <v>639</v>
      </c>
    </row>
    <row r="156" ht="12.75" customHeight="1">
      <c r="A156" s="6" t="s">
        <v>640</v>
      </c>
      <c r="B156" s="6" t="s">
        <v>641</v>
      </c>
      <c r="C156" s="6" t="s">
        <v>642</v>
      </c>
      <c r="D156" s="15" t="s">
        <v>35</v>
      </c>
      <c r="E156" s="15" t="s">
        <v>65</v>
      </c>
      <c r="F156" s="16" t="s">
        <v>643</v>
      </c>
      <c r="G156" s="6" t="s">
        <v>37</v>
      </c>
      <c r="H156" s="6" t="s">
        <v>644</v>
      </c>
    </row>
    <row r="157" ht="12.75" customHeight="1">
      <c r="A157" s="6" t="s">
        <v>645</v>
      </c>
      <c r="B157" s="6" t="s">
        <v>641</v>
      </c>
      <c r="C157" s="6" t="s">
        <v>92</v>
      </c>
      <c r="D157" s="15" t="s">
        <v>41</v>
      </c>
      <c r="E157" s="15" t="s">
        <v>35</v>
      </c>
      <c r="F157" s="16" t="s">
        <v>646</v>
      </c>
      <c r="G157" s="6" t="s">
        <v>37</v>
      </c>
      <c r="H157" s="6" t="s">
        <v>647</v>
      </c>
    </row>
    <row r="158" ht="12.75" customHeight="1">
      <c r="A158" s="6" t="s">
        <v>648</v>
      </c>
      <c r="B158" s="6" t="s">
        <v>641</v>
      </c>
      <c r="C158" s="6" t="s">
        <v>45</v>
      </c>
      <c r="D158" s="15" t="s">
        <v>50</v>
      </c>
      <c r="E158" s="15" t="s">
        <v>35</v>
      </c>
      <c r="F158" s="16" t="s">
        <v>649</v>
      </c>
      <c r="G158" s="6" t="s">
        <v>37</v>
      </c>
      <c r="H158" s="6" t="s">
        <v>650</v>
      </c>
    </row>
    <row r="159" ht="12.75" customHeight="1">
      <c r="A159" s="6" t="s">
        <v>651</v>
      </c>
      <c r="B159" s="6" t="s">
        <v>641</v>
      </c>
      <c r="C159" s="6" t="s">
        <v>652</v>
      </c>
      <c r="D159" s="15" t="s">
        <v>35</v>
      </c>
      <c r="E159" s="15" t="s">
        <v>653</v>
      </c>
      <c r="F159" s="16" t="s">
        <v>654</v>
      </c>
      <c r="G159" s="6" t="s">
        <v>37</v>
      </c>
      <c r="H159" s="6" t="s">
        <v>655</v>
      </c>
    </row>
    <row r="160" ht="12.75" customHeight="1">
      <c r="A160" s="6" t="s">
        <v>656</v>
      </c>
      <c r="B160" s="6" t="s">
        <v>641</v>
      </c>
      <c r="C160" s="6" t="s">
        <v>657</v>
      </c>
      <c r="D160" s="15" t="s">
        <v>35</v>
      </c>
      <c r="E160" s="15" t="s">
        <v>60</v>
      </c>
      <c r="F160" s="16" t="s">
        <v>658</v>
      </c>
      <c r="G160" s="6" t="s">
        <v>37</v>
      </c>
      <c r="H160" s="6" t="s">
        <v>659</v>
      </c>
    </row>
    <row r="161" ht="12.75" customHeight="1">
      <c r="A161" s="6" t="s">
        <v>660</v>
      </c>
      <c r="B161" s="6" t="s">
        <v>641</v>
      </c>
      <c r="C161" s="6" t="s">
        <v>230</v>
      </c>
      <c r="D161" s="15" t="s">
        <v>661</v>
      </c>
      <c r="E161" s="15" t="s">
        <v>35</v>
      </c>
      <c r="F161" s="16" t="s">
        <v>662</v>
      </c>
      <c r="G161" s="6" t="s">
        <v>37</v>
      </c>
      <c r="H161" s="6" t="s">
        <v>663</v>
      </c>
    </row>
    <row r="162" ht="12.75" customHeight="1">
      <c r="A162" s="6" t="s">
        <v>664</v>
      </c>
      <c r="B162" s="6" t="s">
        <v>641</v>
      </c>
      <c r="C162" s="6" t="s">
        <v>303</v>
      </c>
      <c r="D162" s="15" t="s">
        <v>665</v>
      </c>
      <c r="E162" s="15" t="s">
        <v>35</v>
      </c>
      <c r="F162" s="16" t="s">
        <v>666</v>
      </c>
      <c r="G162" s="6" t="s">
        <v>37</v>
      </c>
      <c r="H162" s="6" t="s">
        <v>667</v>
      </c>
    </row>
    <row r="163" ht="12.75" customHeight="1">
      <c r="A163" s="6" t="s">
        <v>668</v>
      </c>
      <c r="B163" s="6" t="s">
        <v>641</v>
      </c>
      <c r="C163" s="6" t="s">
        <v>54</v>
      </c>
      <c r="D163" s="15" t="s">
        <v>71</v>
      </c>
      <c r="E163" s="15" t="s">
        <v>35</v>
      </c>
      <c r="F163" s="16" t="s">
        <v>669</v>
      </c>
      <c r="G163" s="6" t="s">
        <v>37</v>
      </c>
      <c r="H163" s="6" t="s">
        <v>670</v>
      </c>
    </row>
    <row r="164" ht="12.75" customHeight="1">
      <c r="A164" s="6" t="s">
        <v>671</v>
      </c>
      <c r="B164" s="6" t="s">
        <v>641</v>
      </c>
      <c r="C164" s="6" t="s">
        <v>70</v>
      </c>
      <c r="D164" s="15" t="s">
        <v>71</v>
      </c>
      <c r="E164" s="15" t="s">
        <v>35</v>
      </c>
      <c r="F164" s="16" t="s">
        <v>672</v>
      </c>
      <c r="G164" s="6" t="s">
        <v>37</v>
      </c>
      <c r="H164" s="6" t="s">
        <v>673</v>
      </c>
    </row>
    <row r="165" ht="12.75" customHeight="1">
      <c r="A165" s="6" t="s">
        <v>674</v>
      </c>
      <c r="B165" s="6" t="s">
        <v>641</v>
      </c>
      <c r="C165" s="6" t="s">
        <v>87</v>
      </c>
      <c r="D165" s="15" t="s">
        <v>71</v>
      </c>
      <c r="E165" s="15" t="s">
        <v>35</v>
      </c>
      <c r="F165" s="16" t="s">
        <v>675</v>
      </c>
      <c r="G165" s="6" t="s">
        <v>37</v>
      </c>
      <c r="H165" s="6" t="s">
        <v>676</v>
      </c>
    </row>
    <row r="166" ht="12.75" customHeight="1">
      <c r="A166" s="6" t="s">
        <v>677</v>
      </c>
      <c r="B166" s="6" t="s">
        <v>678</v>
      </c>
      <c r="C166" s="6" t="s">
        <v>87</v>
      </c>
      <c r="D166" s="15" t="s">
        <v>97</v>
      </c>
      <c r="E166" s="15" t="s">
        <v>35</v>
      </c>
      <c r="F166" s="16" t="s">
        <v>679</v>
      </c>
      <c r="G166" s="6" t="s">
        <v>37</v>
      </c>
      <c r="H166" s="6" t="s">
        <v>680</v>
      </c>
    </row>
    <row r="167" ht="12.75" customHeight="1">
      <c r="A167" s="6" t="s">
        <v>681</v>
      </c>
      <c r="B167" s="6" t="s">
        <v>678</v>
      </c>
      <c r="C167" s="6" t="s">
        <v>83</v>
      </c>
      <c r="D167" s="15" t="s">
        <v>41</v>
      </c>
      <c r="E167" s="15" t="s">
        <v>35</v>
      </c>
      <c r="F167" s="16" t="s">
        <v>682</v>
      </c>
      <c r="G167" s="6" t="s">
        <v>37</v>
      </c>
      <c r="H167" s="6" t="s">
        <v>683</v>
      </c>
    </row>
    <row r="168" ht="12.75" customHeight="1">
      <c r="A168" s="6" t="s">
        <v>684</v>
      </c>
      <c r="B168" s="6" t="s">
        <v>678</v>
      </c>
      <c r="C168" s="6" t="s">
        <v>106</v>
      </c>
      <c r="D168" s="15" t="s">
        <v>685</v>
      </c>
      <c r="E168" s="15" t="s">
        <v>35</v>
      </c>
      <c r="F168" s="16" t="s">
        <v>686</v>
      </c>
      <c r="G168" s="6" t="s">
        <v>37</v>
      </c>
      <c r="H168" s="6" t="s">
        <v>687</v>
      </c>
    </row>
    <row r="169" ht="12.75" customHeight="1">
      <c r="A169" s="6" t="s">
        <v>688</v>
      </c>
      <c r="B169" s="6" t="s">
        <v>678</v>
      </c>
      <c r="C169" s="6" t="s">
        <v>689</v>
      </c>
      <c r="D169" s="15" t="s">
        <v>97</v>
      </c>
      <c r="E169" s="15" t="s">
        <v>35</v>
      </c>
      <c r="F169" s="16" t="s">
        <v>690</v>
      </c>
      <c r="G169" s="6" t="s">
        <v>37</v>
      </c>
      <c r="H169" s="6" t="s">
        <v>691</v>
      </c>
    </row>
    <row r="170" ht="12.75" customHeight="1">
      <c r="A170" s="6" t="s">
        <v>692</v>
      </c>
      <c r="B170" s="6" t="s">
        <v>678</v>
      </c>
      <c r="C170" s="6" t="s">
        <v>693</v>
      </c>
      <c r="D170" s="15" t="s">
        <v>694</v>
      </c>
      <c r="E170" s="15" t="s">
        <v>35</v>
      </c>
      <c r="F170" s="16" t="s">
        <v>695</v>
      </c>
      <c r="G170" s="6" t="s">
        <v>37</v>
      </c>
      <c r="H170" s="6" t="s">
        <v>696</v>
      </c>
    </row>
    <row r="171" ht="12.75" customHeight="1">
      <c r="A171" s="6" t="s">
        <v>697</v>
      </c>
      <c r="B171" s="6" t="s">
        <v>678</v>
      </c>
      <c r="C171" s="6" t="s">
        <v>698</v>
      </c>
      <c r="D171" s="15" t="s">
        <v>97</v>
      </c>
      <c r="E171" s="15" t="s">
        <v>35</v>
      </c>
      <c r="F171" s="16" t="s">
        <v>699</v>
      </c>
      <c r="G171" s="6" t="s">
        <v>37</v>
      </c>
      <c r="H171" s="6" t="s">
        <v>700</v>
      </c>
    </row>
    <row r="172" ht="12.75" customHeight="1">
      <c r="A172" s="6" t="s">
        <v>701</v>
      </c>
      <c r="B172" s="6" t="s">
        <v>702</v>
      </c>
      <c r="C172" s="6" t="s">
        <v>703</v>
      </c>
      <c r="D172" s="15" t="s">
        <v>35</v>
      </c>
      <c r="E172" s="15" t="s">
        <v>704</v>
      </c>
      <c r="F172" s="16" t="s">
        <v>705</v>
      </c>
      <c r="G172" s="6" t="s">
        <v>37</v>
      </c>
      <c r="H172" s="6" t="s">
        <v>706</v>
      </c>
    </row>
    <row r="173" ht="12.75" customHeight="1">
      <c r="A173" s="6" t="s">
        <v>707</v>
      </c>
      <c r="B173" s="6" t="s">
        <v>702</v>
      </c>
      <c r="C173" s="6" t="s">
        <v>221</v>
      </c>
      <c r="D173" s="15" t="s">
        <v>222</v>
      </c>
      <c r="E173" s="15" t="s">
        <v>35</v>
      </c>
      <c r="F173" s="16" t="s">
        <v>708</v>
      </c>
      <c r="G173" s="6" t="s">
        <v>37</v>
      </c>
      <c r="H173" s="6" t="s">
        <v>709</v>
      </c>
    </row>
    <row r="174" ht="12.75" customHeight="1">
      <c r="A174" s="6" t="s">
        <v>710</v>
      </c>
      <c r="B174" s="6" t="s">
        <v>702</v>
      </c>
      <c r="C174" s="6" t="s">
        <v>33</v>
      </c>
      <c r="D174" s="15" t="s">
        <v>711</v>
      </c>
      <c r="E174" s="15" t="s">
        <v>35</v>
      </c>
      <c r="F174" s="16" t="s">
        <v>712</v>
      </c>
      <c r="G174" s="6" t="s">
        <v>37</v>
      </c>
      <c r="H174" s="6" t="s">
        <v>713</v>
      </c>
    </row>
    <row r="175" ht="12.75" customHeight="1">
      <c r="A175" s="6" t="s">
        <v>714</v>
      </c>
      <c r="B175" s="6" t="s">
        <v>702</v>
      </c>
      <c r="C175" s="6" t="s">
        <v>148</v>
      </c>
      <c r="D175" s="15" t="s">
        <v>715</v>
      </c>
      <c r="E175" s="15" t="s">
        <v>35</v>
      </c>
      <c r="F175" s="16" t="s">
        <v>716</v>
      </c>
      <c r="G175" s="6" t="s">
        <v>37</v>
      </c>
      <c r="H175" s="6" t="s">
        <v>717</v>
      </c>
    </row>
    <row r="176" ht="12.75" customHeight="1">
      <c r="A176" s="6" t="s">
        <v>718</v>
      </c>
      <c r="B176" s="6" t="s">
        <v>702</v>
      </c>
      <c r="C176" s="6" t="s">
        <v>148</v>
      </c>
      <c r="D176" s="15" t="s">
        <v>719</v>
      </c>
      <c r="E176" s="15" t="s">
        <v>35</v>
      </c>
      <c r="F176" s="16" t="s">
        <v>720</v>
      </c>
      <c r="G176" s="6" t="s">
        <v>37</v>
      </c>
      <c r="H176" s="6" t="s">
        <v>721</v>
      </c>
    </row>
    <row r="177" ht="12.75" customHeight="1">
      <c r="A177" s="6" t="s">
        <v>722</v>
      </c>
      <c r="B177" s="6" t="s">
        <v>702</v>
      </c>
      <c r="C177" s="6" t="s">
        <v>172</v>
      </c>
      <c r="D177" s="15" t="s">
        <v>34</v>
      </c>
      <c r="E177" s="15" t="s">
        <v>35</v>
      </c>
      <c r="F177" s="16" t="s">
        <v>723</v>
      </c>
      <c r="G177" s="6" t="s">
        <v>37</v>
      </c>
      <c r="H177" s="6" t="s">
        <v>724</v>
      </c>
    </row>
    <row r="178" ht="12.75" customHeight="1">
      <c r="A178" s="6" t="s">
        <v>725</v>
      </c>
      <c r="B178" s="6" t="s">
        <v>702</v>
      </c>
      <c r="C178" s="6" t="s">
        <v>45</v>
      </c>
      <c r="D178" s="15" t="s">
        <v>726</v>
      </c>
      <c r="E178" s="15" t="s">
        <v>35</v>
      </c>
      <c r="F178" s="16" t="s">
        <v>727</v>
      </c>
      <c r="G178" s="6" t="s">
        <v>37</v>
      </c>
      <c r="H178" s="6" t="s">
        <v>728</v>
      </c>
    </row>
    <row r="179" ht="12.75" customHeight="1">
      <c r="A179" s="6" t="s">
        <v>729</v>
      </c>
      <c r="B179" s="6" t="s">
        <v>702</v>
      </c>
      <c r="C179" s="6" t="s">
        <v>426</v>
      </c>
      <c r="D179" s="15" t="s">
        <v>730</v>
      </c>
      <c r="E179" s="15" t="s">
        <v>35</v>
      </c>
      <c r="F179" s="16" t="s">
        <v>731</v>
      </c>
      <c r="G179" s="6" t="s">
        <v>37</v>
      </c>
      <c r="H179" s="6" t="s">
        <v>732</v>
      </c>
    </row>
    <row r="180" ht="12.75" customHeight="1">
      <c r="A180" s="6" t="s">
        <v>733</v>
      </c>
      <c r="B180" s="6" t="s">
        <v>702</v>
      </c>
      <c r="C180" s="6" t="s">
        <v>397</v>
      </c>
      <c r="D180" s="15" t="s">
        <v>665</v>
      </c>
      <c r="E180" s="15" t="s">
        <v>35</v>
      </c>
      <c r="F180" s="16" t="s">
        <v>734</v>
      </c>
      <c r="G180" s="6" t="s">
        <v>37</v>
      </c>
      <c r="H180" s="6" t="s">
        <v>735</v>
      </c>
    </row>
    <row r="181" ht="12.75" customHeight="1">
      <c r="A181" s="6" t="s">
        <v>736</v>
      </c>
      <c r="B181" s="6" t="s">
        <v>737</v>
      </c>
      <c r="C181" s="6" t="s">
        <v>83</v>
      </c>
      <c r="D181" s="15" t="s">
        <v>34</v>
      </c>
      <c r="E181" s="15" t="s">
        <v>35</v>
      </c>
      <c r="F181" s="16" t="s">
        <v>738</v>
      </c>
      <c r="G181" s="6" t="s">
        <v>37</v>
      </c>
      <c r="H181" s="6" t="s">
        <v>739</v>
      </c>
    </row>
    <row r="182" ht="12.75" customHeight="1">
      <c r="A182" s="6" t="s">
        <v>740</v>
      </c>
      <c r="B182" s="6" t="s">
        <v>737</v>
      </c>
      <c r="C182" s="6" t="s">
        <v>230</v>
      </c>
      <c r="D182" s="15" t="s">
        <v>97</v>
      </c>
      <c r="E182" s="15" t="s">
        <v>35</v>
      </c>
      <c r="F182" s="16" t="s">
        <v>741</v>
      </c>
      <c r="G182" s="6" t="s">
        <v>37</v>
      </c>
      <c r="H182" s="6" t="s">
        <v>742</v>
      </c>
    </row>
    <row r="183" ht="12.75" customHeight="1">
      <c r="A183" s="6" t="s">
        <v>743</v>
      </c>
      <c r="B183" s="6" t="s">
        <v>737</v>
      </c>
      <c r="C183" s="6" t="s">
        <v>45</v>
      </c>
      <c r="D183" s="15" t="s">
        <v>744</v>
      </c>
      <c r="E183" s="15" t="s">
        <v>35</v>
      </c>
      <c r="F183" s="16" t="s">
        <v>745</v>
      </c>
      <c r="G183" s="6" t="s">
        <v>37</v>
      </c>
      <c r="H183" s="6" t="s">
        <v>746</v>
      </c>
    </row>
    <row r="184" ht="12.75" customHeight="1">
      <c r="A184" s="6" t="s">
        <v>747</v>
      </c>
      <c r="B184" s="6" t="s">
        <v>737</v>
      </c>
      <c r="C184" s="6" t="s">
        <v>70</v>
      </c>
      <c r="D184" s="15" t="s">
        <v>97</v>
      </c>
      <c r="E184" s="15" t="s">
        <v>35</v>
      </c>
      <c r="F184" s="16" t="s">
        <v>748</v>
      </c>
      <c r="G184" s="6" t="s">
        <v>37</v>
      </c>
      <c r="H184" s="6" t="s">
        <v>749</v>
      </c>
    </row>
    <row r="185" ht="12.75" customHeight="1">
      <c r="A185" s="6" t="s">
        <v>750</v>
      </c>
      <c r="B185" s="6" t="s">
        <v>737</v>
      </c>
      <c r="C185" s="6" t="s">
        <v>83</v>
      </c>
      <c r="D185" s="15" t="s">
        <v>41</v>
      </c>
      <c r="E185" s="15" t="s">
        <v>35</v>
      </c>
      <c r="F185" s="16" t="s">
        <v>751</v>
      </c>
      <c r="G185" s="6" t="s">
        <v>37</v>
      </c>
      <c r="H185" s="6" t="s">
        <v>752</v>
      </c>
    </row>
    <row r="186" ht="12.75" customHeight="1">
      <c r="A186" s="6" t="s">
        <v>753</v>
      </c>
      <c r="B186" s="6" t="s">
        <v>737</v>
      </c>
      <c r="C186" s="6" t="s">
        <v>45</v>
      </c>
      <c r="D186" s="15" t="s">
        <v>754</v>
      </c>
      <c r="E186" s="15" t="s">
        <v>35</v>
      </c>
      <c r="F186" s="16" t="s">
        <v>755</v>
      </c>
      <c r="G186" s="6" t="s">
        <v>37</v>
      </c>
      <c r="H186" s="6" t="s">
        <v>756</v>
      </c>
    </row>
    <row r="187" ht="12.75" customHeight="1">
      <c r="A187" s="6" t="s">
        <v>757</v>
      </c>
      <c r="B187" s="6" t="s">
        <v>737</v>
      </c>
      <c r="C187" s="6" t="s">
        <v>758</v>
      </c>
      <c r="D187" s="15" t="s">
        <v>97</v>
      </c>
      <c r="E187" s="15" t="s">
        <v>35</v>
      </c>
      <c r="F187" s="16" t="s">
        <v>759</v>
      </c>
      <c r="G187" s="6" t="s">
        <v>37</v>
      </c>
      <c r="H187" s="6" t="s">
        <v>760</v>
      </c>
    </row>
    <row r="188" ht="12.75" customHeight="1">
      <c r="A188" s="6" t="s">
        <v>761</v>
      </c>
      <c r="B188" s="6" t="s">
        <v>762</v>
      </c>
      <c r="C188" s="6" t="s">
        <v>763</v>
      </c>
      <c r="D188" s="15" t="s">
        <v>35</v>
      </c>
      <c r="E188" s="15" t="s">
        <v>256</v>
      </c>
      <c r="F188" s="16" t="s">
        <v>764</v>
      </c>
      <c r="G188" s="6" t="s">
        <v>37</v>
      </c>
      <c r="H188" s="6" t="s">
        <v>765</v>
      </c>
    </row>
    <row r="189" ht="12.75" customHeight="1">
      <c r="A189" s="6" t="s">
        <v>766</v>
      </c>
      <c r="B189" s="6" t="s">
        <v>762</v>
      </c>
      <c r="C189" s="6" t="s">
        <v>221</v>
      </c>
      <c r="D189" s="15" t="s">
        <v>222</v>
      </c>
      <c r="E189" s="15" t="s">
        <v>35</v>
      </c>
      <c r="F189" s="16" t="s">
        <v>767</v>
      </c>
      <c r="G189" s="6" t="s">
        <v>37</v>
      </c>
      <c r="H189" s="6" t="s">
        <v>768</v>
      </c>
    </row>
    <row r="190" ht="12.75" customHeight="1">
      <c r="A190" s="6" t="s">
        <v>769</v>
      </c>
      <c r="B190" s="6" t="s">
        <v>762</v>
      </c>
      <c r="C190" s="6" t="s">
        <v>106</v>
      </c>
      <c r="D190" s="15" t="s">
        <v>770</v>
      </c>
      <c r="E190" s="15" t="s">
        <v>35</v>
      </c>
      <c r="F190" s="16" t="s">
        <v>771</v>
      </c>
      <c r="G190" s="6" t="s">
        <v>37</v>
      </c>
      <c r="H190" s="6" t="s">
        <v>772</v>
      </c>
    </row>
    <row r="191" ht="12.75" customHeight="1">
      <c r="A191" s="6" t="s">
        <v>773</v>
      </c>
      <c r="B191" s="6" t="s">
        <v>762</v>
      </c>
      <c r="C191" s="6" t="s">
        <v>87</v>
      </c>
      <c r="D191" s="15" t="s">
        <v>97</v>
      </c>
      <c r="E191" s="15" t="s">
        <v>35</v>
      </c>
      <c r="F191" s="16" t="s">
        <v>774</v>
      </c>
      <c r="G191" s="6" t="s">
        <v>37</v>
      </c>
      <c r="H191" s="6" t="s">
        <v>775</v>
      </c>
    </row>
    <row r="192" ht="12.75" customHeight="1">
      <c r="A192" s="6" t="s">
        <v>776</v>
      </c>
      <c r="B192" s="6" t="s">
        <v>762</v>
      </c>
      <c r="C192" s="6" t="s">
        <v>33</v>
      </c>
      <c r="D192" s="15" t="s">
        <v>443</v>
      </c>
      <c r="E192" s="15" t="s">
        <v>35</v>
      </c>
      <c r="F192" s="16" t="s">
        <v>777</v>
      </c>
      <c r="G192" s="6" t="s">
        <v>37</v>
      </c>
      <c r="H192" s="6" t="s">
        <v>778</v>
      </c>
    </row>
    <row r="193" ht="12.75" customHeight="1">
      <c r="A193" s="6" t="s">
        <v>779</v>
      </c>
      <c r="B193" s="6" t="s">
        <v>762</v>
      </c>
      <c r="C193" s="6" t="s">
        <v>780</v>
      </c>
      <c r="D193" s="15" t="s">
        <v>123</v>
      </c>
      <c r="E193" s="15" t="s">
        <v>35</v>
      </c>
      <c r="F193" s="16" t="s">
        <v>781</v>
      </c>
      <c r="G193" s="6" t="s">
        <v>37</v>
      </c>
      <c r="H193" s="6" t="s">
        <v>782</v>
      </c>
    </row>
    <row r="194" ht="12.75" customHeight="1">
      <c r="A194" s="6" t="s">
        <v>783</v>
      </c>
      <c r="B194" s="6" t="s">
        <v>762</v>
      </c>
      <c r="C194" s="6" t="s">
        <v>784</v>
      </c>
      <c r="D194" s="15" t="s">
        <v>398</v>
      </c>
      <c r="E194" s="15" t="s">
        <v>35</v>
      </c>
      <c r="F194" s="16" t="s">
        <v>785</v>
      </c>
      <c r="G194" s="6" t="s">
        <v>37</v>
      </c>
      <c r="H194" s="6" t="s">
        <v>786</v>
      </c>
    </row>
    <row r="195" ht="12.75" customHeight="1">
      <c r="A195" s="6" t="s">
        <v>787</v>
      </c>
      <c r="B195" s="6" t="s">
        <v>762</v>
      </c>
      <c r="C195" s="6" t="s">
        <v>788</v>
      </c>
      <c r="D195" s="15" t="s">
        <v>107</v>
      </c>
      <c r="E195" s="15" t="s">
        <v>35</v>
      </c>
      <c r="F195" s="16" t="s">
        <v>789</v>
      </c>
      <c r="G195" s="6" t="s">
        <v>37</v>
      </c>
      <c r="H195" s="6" t="s">
        <v>790</v>
      </c>
    </row>
    <row r="196" ht="12.75" customHeight="1">
      <c r="A196" s="6" t="s">
        <v>791</v>
      </c>
      <c r="B196" s="6" t="s">
        <v>762</v>
      </c>
      <c r="C196" s="6" t="s">
        <v>356</v>
      </c>
      <c r="D196" s="15" t="s">
        <v>41</v>
      </c>
      <c r="E196" s="15" t="s">
        <v>35</v>
      </c>
      <c r="F196" s="16" t="s">
        <v>792</v>
      </c>
      <c r="G196" s="6" t="s">
        <v>37</v>
      </c>
      <c r="H196" s="6" t="s">
        <v>793</v>
      </c>
    </row>
    <row r="197" ht="12.75" customHeight="1">
      <c r="A197" s="6" t="s">
        <v>794</v>
      </c>
      <c r="B197" s="6" t="s">
        <v>762</v>
      </c>
      <c r="C197" s="6" t="s">
        <v>795</v>
      </c>
      <c r="D197" s="15" t="s">
        <v>34</v>
      </c>
      <c r="E197" s="15" t="s">
        <v>35</v>
      </c>
      <c r="F197" s="16" t="s">
        <v>796</v>
      </c>
      <c r="G197" s="6" t="s">
        <v>37</v>
      </c>
      <c r="H197" s="6" t="s">
        <v>797</v>
      </c>
    </row>
    <row r="198" ht="12.75" customHeight="1">
      <c r="A198" s="6" t="s">
        <v>798</v>
      </c>
      <c r="B198" s="6" t="s">
        <v>762</v>
      </c>
      <c r="C198" s="6" t="s">
        <v>303</v>
      </c>
      <c r="D198" s="15" t="s">
        <v>97</v>
      </c>
      <c r="E198" s="15" t="s">
        <v>35</v>
      </c>
      <c r="F198" s="16" t="s">
        <v>799</v>
      </c>
      <c r="G198" s="6" t="s">
        <v>37</v>
      </c>
      <c r="H198" s="6" t="s">
        <v>800</v>
      </c>
    </row>
    <row r="199" ht="12.75" customHeight="1">
      <c r="A199" s="6" t="s">
        <v>801</v>
      </c>
      <c r="B199" s="6" t="s">
        <v>802</v>
      </c>
      <c r="C199" s="6" t="s">
        <v>230</v>
      </c>
      <c r="D199" s="15" t="s">
        <v>97</v>
      </c>
      <c r="E199" s="15" t="s">
        <v>35</v>
      </c>
      <c r="F199" s="16" t="s">
        <v>803</v>
      </c>
      <c r="G199" s="6" t="s">
        <v>37</v>
      </c>
      <c r="H199" s="6" t="s">
        <v>804</v>
      </c>
    </row>
    <row r="200" ht="12.75" customHeight="1">
      <c r="A200" s="6" t="s">
        <v>805</v>
      </c>
      <c r="B200" s="6" t="s">
        <v>802</v>
      </c>
      <c r="C200" s="6" t="s">
        <v>92</v>
      </c>
      <c r="D200" s="15" t="s">
        <v>34</v>
      </c>
      <c r="E200" s="15" t="s">
        <v>35</v>
      </c>
      <c r="F200" s="16" t="s">
        <v>806</v>
      </c>
      <c r="G200" s="6" t="s">
        <v>37</v>
      </c>
      <c r="H200" s="6" t="s">
        <v>807</v>
      </c>
    </row>
    <row r="201" ht="12.75" customHeight="1">
      <c r="A201" s="6" t="s">
        <v>808</v>
      </c>
      <c r="B201" s="6" t="s">
        <v>802</v>
      </c>
      <c r="C201" s="6" t="s">
        <v>54</v>
      </c>
      <c r="D201" s="15" t="s">
        <v>50</v>
      </c>
      <c r="E201" s="15" t="s">
        <v>35</v>
      </c>
      <c r="F201" s="16" t="s">
        <v>809</v>
      </c>
      <c r="G201" s="6" t="s">
        <v>37</v>
      </c>
      <c r="H201" s="6" t="s">
        <v>810</v>
      </c>
    </row>
    <row r="202" ht="12.75" customHeight="1">
      <c r="A202" s="6" t="s">
        <v>811</v>
      </c>
      <c r="B202" s="6" t="s">
        <v>802</v>
      </c>
      <c r="C202" s="6" t="s">
        <v>70</v>
      </c>
      <c r="D202" s="15" t="s">
        <v>256</v>
      </c>
      <c r="E202" s="15" t="s">
        <v>35</v>
      </c>
      <c r="F202" s="16" t="s">
        <v>812</v>
      </c>
      <c r="G202" s="6" t="s">
        <v>37</v>
      </c>
      <c r="H202" s="6" t="s">
        <v>813</v>
      </c>
    </row>
    <row r="203" ht="12.75" customHeight="1">
      <c r="A203" s="6" t="s">
        <v>814</v>
      </c>
      <c r="B203" s="6" t="s">
        <v>802</v>
      </c>
      <c r="C203" s="6" t="s">
        <v>92</v>
      </c>
      <c r="D203" s="15" t="s">
        <v>34</v>
      </c>
      <c r="E203" s="15" t="s">
        <v>35</v>
      </c>
      <c r="F203" s="16" t="s">
        <v>815</v>
      </c>
      <c r="G203" s="6" t="s">
        <v>37</v>
      </c>
      <c r="H203" s="6" t="s">
        <v>816</v>
      </c>
    </row>
    <row r="204" ht="12.75" customHeight="1">
      <c r="A204" s="6" t="s">
        <v>817</v>
      </c>
      <c r="B204" s="6" t="s">
        <v>802</v>
      </c>
      <c r="C204" s="6" t="s">
        <v>818</v>
      </c>
      <c r="D204" s="15" t="s">
        <v>71</v>
      </c>
      <c r="E204" s="15" t="s">
        <v>35</v>
      </c>
      <c r="F204" s="16" t="s">
        <v>819</v>
      </c>
      <c r="G204" s="6" t="s">
        <v>37</v>
      </c>
      <c r="H204" s="6" t="s">
        <v>820</v>
      </c>
    </row>
    <row r="205" ht="12.75" customHeight="1">
      <c r="A205" s="6" t="s">
        <v>821</v>
      </c>
      <c r="B205" s="6" t="s">
        <v>802</v>
      </c>
      <c r="C205" s="6" t="s">
        <v>70</v>
      </c>
      <c r="D205" s="15" t="s">
        <v>97</v>
      </c>
      <c r="E205" s="15" t="s">
        <v>35</v>
      </c>
      <c r="F205" s="16" t="s">
        <v>822</v>
      </c>
      <c r="G205" s="6" t="s">
        <v>37</v>
      </c>
      <c r="H205" s="6" t="s">
        <v>823</v>
      </c>
    </row>
    <row r="206" ht="12.75" customHeight="1">
      <c r="A206" s="6" t="s">
        <v>824</v>
      </c>
      <c r="B206" s="6" t="s">
        <v>802</v>
      </c>
      <c r="C206" s="6" t="s">
        <v>188</v>
      </c>
      <c r="D206" s="15" t="s">
        <v>35</v>
      </c>
      <c r="E206" s="15" t="s">
        <v>398</v>
      </c>
      <c r="F206" s="16" t="s">
        <v>825</v>
      </c>
      <c r="G206" s="6" t="s">
        <v>37</v>
      </c>
      <c r="H206" s="6" t="s">
        <v>826</v>
      </c>
    </row>
    <row r="207" ht="12.75" customHeight="1">
      <c r="A207" s="6" t="s">
        <v>827</v>
      </c>
      <c r="B207" s="6" t="s">
        <v>828</v>
      </c>
      <c r="C207" s="6" t="s">
        <v>829</v>
      </c>
      <c r="D207" s="15" t="s">
        <v>189</v>
      </c>
      <c r="E207" s="15" t="s">
        <v>35</v>
      </c>
      <c r="F207" s="16" t="s">
        <v>830</v>
      </c>
      <c r="G207" s="6" t="s">
        <v>37</v>
      </c>
      <c r="H207" s="6" t="s">
        <v>831</v>
      </c>
    </row>
    <row r="208" ht="12.75" customHeight="1">
      <c r="A208" s="6" t="s">
        <v>832</v>
      </c>
      <c r="B208" s="6" t="s">
        <v>828</v>
      </c>
      <c r="C208" s="6" t="s">
        <v>833</v>
      </c>
      <c r="D208" s="15" t="s">
        <v>183</v>
      </c>
      <c r="E208" s="15" t="s">
        <v>35</v>
      </c>
      <c r="F208" s="16" t="s">
        <v>834</v>
      </c>
      <c r="G208" s="6" t="s">
        <v>37</v>
      </c>
      <c r="H208" s="6" t="s">
        <v>835</v>
      </c>
    </row>
    <row r="209" ht="12.75" customHeight="1">
      <c r="A209" s="6" t="s">
        <v>836</v>
      </c>
      <c r="B209" s="6" t="s">
        <v>828</v>
      </c>
      <c r="C209" s="6" t="s">
        <v>45</v>
      </c>
      <c r="D209" s="15" t="s">
        <v>34</v>
      </c>
      <c r="E209" s="15" t="s">
        <v>35</v>
      </c>
      <c r="F209" s="16" t="s">
        <v>837</v>
      </c>
      <c r="G209" s="6" t="s">
        <v>37</v>
      </c>
      <c r="H209" s="6" t="s">
        <v>838</v>
      </c>
    </row>
    <row r="210" ht="12.75" customHeight="1">
      <c r="A210" s="6" t="s">
        <v>839</v>
      </c>
      <c r="B210" s="6" t="s">
        <v>828</v>
      </c>
      <c r="C210" s="6" t="s">
        <v>172</v>
      </c>
      <c r="D210" s="15" t="s">
        <v>754</v>
      </c>
      <c r="E210" s="15" t="s">
        <v>35</v>
      </c>
      <c r="F210" s="16" t="s">
        <v>840</v>
      </c>
      <c r="G210" s="6" t="s">
        <v>37</v>
      </c>
      <c r="H210" s="6" t="s">
        <v>841</v>
      </c>
    </row>
    <row r="211" ht="12.75" customHeight="1">
      <c r="A211" s="6" t="s">
        <v>842</v>
      </c>
      <c r="B211" s="6" t="s">
        <v>828</v>
      </c>
      <c r="C211" s="6" t="s">
        <v>843</v>
      </c>
      <c r="D211" s="15" t="s">
        <v>844</v>
      </c>
      <c r="E211" s="15" t="s">
        <v>35</v>
      </c>
      <c r="F211" s="16" t="s">
        <v>845</v>
      </c>
      <c r="G211" s="6" t="s">
        <v>37</v>
      </c>
      <c r="H211" s="6" t="s">
        <v>846</v>
      </c>
    </row>
    <row r="212" ht="12.75" customHeight="1">
      <c r="A212" s="6" t="s">
        <v>847</v>
      </c>
      <c r="B212" s="6" t="s">
        <v>828</v>
      </c>
      <c r="C212" s="6" t="s">
        <v>45</v>
      </c>
      <c r="D212" s="15" t="s">
        <v>726</v>
      </c>
      <c r="E212" s="15" t="s">
        <v>35</v>
      </c>
      <c r="F212" s="16" t="s">
        <v>848</v>
      </c>
      <c r="G212" s="6" t="s">
        <v>37</v>
      </c>
      <c r="H212" s="6" t="s">
        <v>849</v>
      </c>
    </row>
    <row r="213" ht="12.75" customHeight="1">
      <c r="A213" s="6" t="s">
        <v>850</v>
      </c>
      <c r="B213" s="6" t="s">
        <v>828</v>
      </c>
      <c r="C213" s="6" t="s">
        <v>303</v>
      </c>
      <c r="D213" s="15" t="s">
        <v>443</v>
      </c>
      <c r="E213" s="15" t="s">
        <v>35</v>
      </c>
      <c r="F213" s="16" t="s">
        <v>851</v>
      </c>
      <c r="G213" s="6" t="s">
        <v>37</v>
      </c>
      <c r="H213" s="6" t="s">
        <v>852</v>
      </c>
    </row>
    <row r="214" ht="12.75" customHeight="1">
      <c r="A214" s="6" t="s">
        <v>853</v>
      </c>
      <c r="B214" s="6" t="s">
        <v>854</v>
      </c>
      <c r="C214" s="6" t="s">
        <v>70</v>
      </c>
      <c r="D214" s="15" t="s">
        <v>855</v>
      </c>
      <c r="E214" s="15" t="s">
        <v>35</v>
      </c>
      <c r="F214" s="16" t="s">
        <v>856</v>
      </c>
      <c r="G214" s="6" t="s">
        <v>37</v>
      </c>
      <c r="H214" s="6" t="s">
        <v>857</v>
      </c>
    </row>
    <row r="215" ht="12.75" customHeight="1">
      <c r="A215" s="6" t="s">
        <v>858</v>
      </c>
      <c r="B215" s="6" t="s">
        <v>854</v>
      </c>
      <c r="C215" s="6" t="s">
        <v>859</v>
      </c>
      <c r="D215" s="15" t="s">
        <v>35</v>
      </c>
      <c r="E215" s="15" t="s">
        <v>243</v>
      </c>
      <c r="F215" s="16" t="s">
        <v>860</v>
      </c>
      <c r="G215" s="6" t="s">
        <v>37</v>
      </c>
      <c r="H215" s="6" t="s">
        <v>861</v>
      </c>
    </row>
    <row r="216" ht="12.75" customHeight="1">
      <c r="A216" s="6" t="s">
        <v>862</v>
      </c>
      <c r="B216" s="6" t="s">
        <v>854</v>
      </c>
      <c r="C216" s="6" t="s">
        <v>221</v>
      </c>
      <c r="D216" s="15" t="s">
        <v>222</v>
      </c>
      <c r="E216" s="15" t="s">
        <v>35</v>
      </c>
      <c r="F216" s="16" t="s">
        <v>863</v>
      </c>
      <c r="G216" s="6" t="s">
        <v>37</v>
      </c>
      <c r="H216" s="6" t="s">
        <v>864</v>
      </c>
    </row>
    <row r="217" ht="12.75" customHeight="1">
      <c r="A217" s="6" t="s">
        <v>865</v>
      </c>
      <c r="B217" s="6" t="s">
        <v>854</v>
      </c>
      <c r="C217" s="6" t="s">
        <v>866</v>
      </c>
      <c r="D217" s="15" t="s">
        <v>515</v>
      </c>
      <c r="E217" s="15" t="s">
        <v>35</v>
      </c>
      <c r="F217" s="16" t="s">
        <v>867</v>
      </c>
      <c r="G217" s="6" t="s">
        <v>868</v>
      </c>
      <c r="H217" s="6" t="s">
        <v>869</v>
      </c>
    </row>
    <row r="218" ht="12.75" customHeight="1">
      <c r="A218" s="6" t="s">
        <v>870</v>
      </c>
      <c r="B218" s="6" t="s">
        <v>854</v>
      </c>
      <c r="C218" s="6" t="s">
        <v>871</v>
      </c>
      <c r="D218" s="15" t="s">
        <v>623</v>
      </c>
      <c r="E218" s="15" t="s">
        <v>35</v>
      </c>
      <c r="F218" s="16" t="s">
        <v>872</v>
      </c>
      <c r="G218" s="6" t="s">
        <v>37</v>
      </c>
      <c r="H218" s="6" t="s">
        <v>873</v>
      </c>
    </row>
    <row r="219" ht="12.75" customHeight="1">
      <c r="A219" s="6" t="s">
        <v>874</v>
      </c>
      <c r="B219" s="6" t="s">
        <v>854</v>
      </c>
      <c r="C219" s="6" t="s">
        <v>83</v>
      </c>
      <c r="D219" s="15" t="s">
        <v>34</v>
      </c>
      <c r="E219" s="15" t="s">
        <v>35</v>
      </c>
      <c r="F219" s="16" t="s">
        <v>875</v>
      </c>
      <c r="G219" s="6" t="s">
        <v>37</v>
      </c>
      <c r="H219" s="6" t="s">
        <v>876</v>
      </c>
    </row>
    <row r="220" ht="12.75" customHeight="1">
      <c r="A220" s="6" t="s">
        <v>877</v>
      </c>
      <c r="B220" s="6" t="s">
        <v>854</v>
      </c>
      <c r="C220" s="6" t="s">
        <v>878</v>
      </c>
      <c r="D220" s="15" t="s">
        <v>97</v>
      </c>
      <c r="E220" s="15" t="s">
        <v>35</v>
      </c>
      <c r="F220" s="16" t="s">
        <v>879</v>
      </c>
      <c r="G220" s="6" t="s">
        <v>37</v>
      </c>
      <c r="H220" s="6" t="s">
        <v>880</v>
      </c>
    </row>
    <row r="221" ht="12.75" customHeight="1">
      <c r="A221" s="6" t="s">
        <v>881</v>
      </c>
      <c r="B221" s="6" t="s">
        <v>854</v>
      </c>
      <c r="C221" s="6" t="s">
        <v>882</v>
      </c>
      <c r="D221" s="15" t="s">
        <v>97</v>
      </c>
      <c r="E221" s="15" t="s">
        <v>35</v>
      </c>
      <c r="F221" s="16" t="s">
        <v>883</v>
      </c>
      <c r="G221" s="6" t="s">
        <v>37</v>
      </c>
      <c r="H221" s="6" t="s">
        <v>884</v>
      </c>
    </row>
    <row r="222" ht="12.75" customHeight="1">
      <c r="A222" s="6" t="s">
        <v>885</v>
      </c>
      <c r="B222" s="6" t="s">
        <v>854</v>
      </c>
      <c r="C222" s="6" t="s">
        <v>506</v>
      </c>
      <c r="D222" s="15" t="s">
        <v>886</v>
      </c>
      <c r="E222" s="15" t="s">
        <v>35</v>
      </c>
      <c r="F222" s="16" t="s">
        <v>887</v>
      </c>
      <c r="G222" s="6" t="s">
        <v>37</v>
      </c>
      <c r="H222" s="6" t="s">
        <v>888</v>
      </c>
    </row>
    <row r="223" ht="12.75" customHeight="1">
      <c r="A223" s="6" t="s">
        <v>889</v>
      </c>
      <c r="B223" s="6" t="s">
        <v>854</v>
      </c>
      <c r="C223" s="6" t="s">
        <v>152</v>
      </c>
      <c r="D223" s="15" t="s">
        <v>890</v>
      </c>
      <c r="E223" s="15" t="s">
        <v>35</v>
      </c>
      <c r="F223" s="16" t="s">
        <v>891</v>
      </c>
      <c r="G223" s="6" t="s">
        <v>37</v>
      </c>
      <c r="H223" s="6" t="s">
        <v>892</v>
      </c>
    </row>
    <row r="224" ht="12.75" customHeight="1">
      <c r="A224" s="6" t="s">
        <v>893</v>
      </c>
      <c r="B224" s="6" t="s">
        <v>854</v>
      </c>
      <c r="C224" s="6" t="s">
        <v>172</v>
      </c>
      <c r="D224" s="15" t="s">
        <v>894</v>
      </c>
      <c r="E224" s="15" t="s">
        <v>35</v>
      </c>
      <c r="F224" s="16" t="s">
        <v>895</v>
      </c>
      <c r="G224" s="6" t="s">
        <v>37</v>
      </c>
      <c r="H224" s="6" t="s">
        <v>896</v>
      </c>
    </row>
    <row r="225" ht="12.75" customHeight="1">
      <c r="A225" s="6" t="s">
        <v>897</v>
      </c>
      <c r="B225" s="6" t="s">
        <v>854</v>
      </c>
      <c r="C225" s="6" t="s">
        <v>45</v>
      </c>
      <c r="D225" s="15" t="s">
        <v>898</v>
      </c>
      <c r="E225" s="15" t="s">
        <v>35</v>
      </c>
      <c r="F225" s="16" t="s">
        <v>899</v>
      </c>
      <c r="G225" s="6" t="s">
        <v>37</v>
      </c>
      <c r="H225" s="6" t="s">
        <v>900</v>
      </c>
    </row>
    <row r="226" ht="12.75" customHeight="1">
      <c r="A226" s="6" t="s">
        <v>901</v>
      </c>
      <c r="B226" s="6" t="s">
        <v>902</v>
      </c>
      <c r="C226" s="6" t="s">
        <v>92</v>
      </c>
      <c r="D226" s="15" t="s">
        <v>41</v>
      </c>
      <c r="E226" s="15" t="s">
        <v>35</v>
      </c>
      <c r="F226" s="16" t="s">
        <v>903</v>
      </c>
      <c r="G226" s="6" t="s">
        <v>37</v>
      </c>
      <c r="H226" s="6" t="s">
        <v>904</v>
      </c>
    </row>
    <row r="227" ht="12.75" customHeight="1">
      <c r="A227" s="6" t="s">
        <v>905</v>
      </c>
      <c r="B227" s="6" t="s">
        <v>902</v>
      </c>
      <c r="C227" s="6" t="s">
        <v>882</v>
      </c>
      <c r="D227" s="15" t="s">
        <v>189</v>
      </c>
      <c r="E227" s="15" t="s">
        <v>35</v>
      </c>
      <c r="F227" s="16" t="s">
        <v>906</v>
      </c>
      <c r="G227" s="6" t="s">
        <v>37</v>
      </c>
      <c r="H227" s="6" t="s">
        <v>907</v>
      </c>
    </row>
    <row r="228" ht="12.75" customHeight="1">
      <c r="A228" s="6" t="s">
        <v>908</v>
      </c>
      <c r="B228" s="6" t="s">
        <v>909</v>
      </c>
      <c r="C228" s="6" t="s">
        <v>188</v>
      </c>
      <c r="D228" s="15" t="s">
        <v>35</v>
      </c>
      <c r="E228" s="15" t="s">
        <v>189</v>
      </c>
      <c r="F228" s="16" t="s">
        <v>903</v>
      </c>
      <c r="G228" s="6" t="s">
        <v>37</v>
      </c>
      <c r="H228" s="6" t="s">
        <v>910</v>
      </c>
    </row>
    <row r="229" ht="12.75" customHeight="1">
      <c r="A229" s="6" t="s">
        <v>911</v>
      </c>
      <c r="B229" s="6" t="s">
        <v>909</v>
      </c>
      <c r="C229" s="6" t="s">
        <v>912</v>
      </c>
      <c r="D229" s="15" t="s">
        <v>35</v>
      </c>
      <c r="E229" s="15" t="s">
        <v>71</v>
      </c>
      <c r="F229" s="16" t="s">
        <v>913</v>
      </c>
      <c r="G229" s="6" t="s">
        <v>37</v>
      </c>
      <c r="H229" s="6" t="s">
        <v>914</v>
      </c>
    </row>
    <row r="230" ht="12.75" customHeight="1">
      <c r="A230" s="6" t="s">
        <v>915</v>
      </c>
      <c r="B230" s="6" t="s">
        <v>909</v>
      </c>
      <c r="C230" s="6" t="s">
        <v>45</v>
      </c>
      <c r="D230" s="15" t="s">
        <v>744</v>
      </c>
      <c r="E230" s="15" t="s">
        <v>35</v>
      </c>
      <c r="F230" s="16" t="s">
        <v>916</v>
      </c>
      <c r="G230" s="6" t="s">
        <v>37</v>
      </c>
      <c r="H230" s="6" t="s">
        <v>917</v>
      </c>
    </row>
    <row r="231" ht="12.75" customHeight="1">
      <c r="A231" s="6" t="s">
        <v>918</v>
      </c>
      <c r="B231" s="6" t="s">
        <v>909</v>
      </c>
      <c r="C231" s="6" t="s">
        <v>152</v>
      </c>
      <c r="D231" s="15" t="s">
        <v>919</v>
      </c>
      <c r="E231" s="15" t="s">
        <v>35</v>
      </c>
      <c r="F231" s="16" t="s">
        <v>920</v>
      </c>
      <c r="G231" s="6" t="s">
        <v>37</v>
      </c>
      <c r="H231" s="6" t="s">
        <v>921</v>
      </c>
    </row>
    <row r="232" ht="12.75" customHeight="1">
      <c r="A232" s="6" t="s">
        <v>922</v>
      </c>
      <c r="B232" s="6" t="s">
        <v>909</v>
      </c>
      <c r="C232" s="6" t="s">
        <v>148</v>
      </c>
      <c r="D232" s="15" t="s">
        <v>744</v>
      </c>
      <c r="E232" s="15" t="s">
        <v>35</v>
      </c>
      <c r="F232" s="16" t="s">
        <v>923</v>
      </c>
      <c r="G232" s="6" t="s">
        <v>37</v>
      </c>
      <c r="H232" s="6" t="s">
        <v>924</v>
      </c>
    </row>
    <row r="233" ht="12.75" customHeight="1">
      <c r="A233" s="6" t="s">
        <v>925</v>
      </c>
      <c r="B233" s="6" t="s">
        <v>909</v>
      </c>
      <c r="C233" s="6" t="s">
        <v>172</v>
      </c>
      <c r="D233" s="15" t="s">
        <v>926</v>
      </c>
      <c r="E233" s="15" t="s">
        <v>35</v>
      </c>
      <c r="F233" s="16" t="s">
        <v>927</v>
      </c>
      <c r="G233" s="6" t="s">
        <v>37</v>
      </c>
      <c r="H233" s="6" t="s">
        <v>928</v>
      </c>
    </row>
    <row r="234" ht="12.75" customHeight="1">
      <c r="A234" s="6" t="s">
        <v>929</v>
      </c>
      <c r="B234" s="6" t="s">
        <v>909</v>
      </c>
      <c r="C234" s="6" t="s">
        <v>930</v>
      </c>
      <c r="D234" s="15" t="s">
        <v>35</v>
      </c>
      <c r="E234" s="15" t="s">
        <v>931</v>
      </c>
      <c r="F234" s="16" t="s">
        <v>932</v>
      </c>
      <c r="G234" s="6" t="s">
        <v>37</v>
      </c>
      <c r="H234" s="6" t="s">
        <v>933</v>
      </c>
    </row>
    <row r="235" ht="12.75" customHeight="1">
      <c r="A235" s="6" t="s">
        <v>934</v>
      </c>
      <c r="B235" s="6" t="s">
        <v>909</v>
      </c>
      <c r="C235" s="6" t="s">
        <v>221</v>
      </c>
      <c r="D235" s="15" t="s">
        <v>222</v>
      </c>
      <c r="E235" s="15" t="s">
        <v>35</v>
      </c>
      <c r="F235" s="16" t="s">
        <v>935</v>
      </c>
      <c r="G235" s="6" t="s">
        <v>37</v>
      </c>
      <c r="H235" s="6" t="s">
        <v>936</v>
      </c>
    </row>
    <row r="236" ht="12.75" customHeight="1">
      <c r="A236" s="6" t="s">
        <v>937</v>
      </c>
      <c r="B236" s="6" t="s">
        <v>909</v>
      </c>
      <c r="C236" s="6" t="s">
        <v>938</v>
      </c>
      <c r="D236" s="15" t="s">
        <v>34</v>
      </c>
      <c r="E236" s="15" t="s">
        <v>35</v>
      </c>
      <c r="F236" s="16" t="s">
        <v>939</v>
      </c>
      <c r="G236" s="6" t="s">
        <v>37</v>
      </c>
      <c r="H236" s="6" t="s">
        <v>940</v>
      </c>
    </row>
    <row r="237" ht="12.75" customHeight="1">
      <c r="A237" s="6" t="s">
        <v>941</v>
      </c>
      <c r="B237" s="6" t="s">
        <v>909</v>
      </c>
      <c r="C237" s="6" t="s">
        <v>942</v>
      </c>
      <c r="D237" s="15" t="s">
        <v>422</v>
      </c>
      <c r="E237" s="15" t="s">
        <v>35</v>
      </c>
      <c r="F237" s="16" t="s">
        <v>943</v>
      </c>
      <c r="G237" s="6" t="s">
        <v>37</v>
      </c>
      <c r="H237" s="6" t="s">
        <v>944</v>
      </c>
    </row>
    <row r="238" ht="12.75" customHeight="1">
      <c r="A238" s="6" t="s">
        <v>945</v>
      </c>
      <c r="B238" s="6" t="s">
        <v>909</v>
      </c>
      <c r="C238" s="6" t="s">
        <v>263</v>
      </c>
      <c r="D238" s="15" t="s">
        <v>946</v>
      </c>
      <c r="E238" s="15" t="s">
        <v>35</v>
      </c>
      <c r="F238" s="16" t="s">
        <v>947</v>
      </c>
      <c r="G238" s="6" t="s">
        <v>37</v>
      </c>
      <c r="H238" s="6" t="s">
        <v>948</v>
      </c>
    </row>
    <row r="239" ht="12.75" customHeight="1">
      <c r="A239" s="6" t="s">
        <v>949</v>
      </c>
      <c r="B239" s="6" t="s">
        <v>909</v>
      </c>
      <c r="C239" s="6" t="s">
        <v>434</v>
      </c>
      <c r="D239" s="15" t="s">
        <v>71</v>
      </c>
      <c r="E239" s="15" t="s">
        <v>35</v>
      </c>
      <c r="F239" s="16" t="s">
        <v>950</v>
      </c>
      <c r="G239" s="6" t="s">
        <v>37</v>
      </c>
      <c r="H239" s="6" t="s">
        <v>951</v>
      </c>
    </row>
    <row r="240" ht="12.75" customHeight="1">
      <c r="A240" s="6" t="s">
        <v>952</v>
      </c>
      <c r="B240" s="6" t="s">
        <v>909</v>
      </c>
      <c r="C240" s="6" t="s">
        <v>426</v>
      </c>
      <c r="D240" s="15" t="s">
        <v>953</v>
      </c>
      <c r="E240" s="15" t="s">
        <v>35</v>
      </c>
      <c r="F240" s="16" t="s">
        <v>954</v>
      </c>
      <c r="G240" s="6" t="s">
        <v>37</v>
      </c>
      <c r="H240" s="6" t="s">
        <v>955</v>
      </c>
    </row>
    <row r="241" ht="12.75" customHeight="1">
      <c r="A241" s="6" t="s">
        <v>956</v>
      </c>
      <c r="B241" s="6" t="s">
        <v>909</v>
      </c>
      <c r="C241" s="6" t="s">
        <v>70</v>
      </c>
      <c r="D241" s="15" t="s">
        <v>50</v>
      </c>
      <c r="E241" s="15" t="s">
        <v>35</v>
      </c>
      <c r="F241" s="16" t="s">
        <v>957</v>
      </c>
      <c r="G241" s="6" t="s">
        <v>37</v>
      </c>
      <c r="H241" s="6" t="s">
        <v>958</v>
      </c>
    </row>
    <row r="242" ht="12.75" customHeight="1">
      <c r="A242" s="6" t="s">
        <v>959</v>
      </c>
      <c r="B242" s="6" t="s">
        <v>909</v>
      </c>
      <c r="C242" s="6" t="s">
        <v>426</v>
      </c>
      <c r="D242" s="15" t="s">
        <v>55</v>
      </c>
      <c r="E242" s="15" t="s">
        <v>35</v>
      </c>
      <c r="F242" s="16" t="s">
        <v>960</v>
      </c>
      <c r="G242" s="6" t="s">
        <v>37</v>
      </c>
      <c r="H242" s="6" t="s">
        <v>961</v>
      </c>
    </row>
    <row r="243" ht="12.75" customHeight="1">
      <c r="A243" s="6" t="s">
        <v>962</v>
      </c>
      <c r="B243" s="6" t="s">
        <v>963</v>
      </c>
      <c r="C243" s="6" t="s">
        <v>33</v>
      </c>
      <c r="D243" s="15" t="s">
        <v>50</v>
      </c>
      <c r="E243" s="15" t="s">
        <v>35</v>
      </c>
      <c r="F243" s="16" t="s">
        <v>964</v>
      </c>
      <c r="G243" s="6" t="s">
        <v>37</v>
      </c>
      <c r="H243" s="6" t="s">
        <v>965</v>
      </c>
    </row>
    <row r="244" ht="12.75" customHeight="1">
      <c r="A244" s="6" t="s">
        <v>966</v>
      </c>
      <c r="B244" s="6" t="s">
        <v>963</v>
      </c>
      <c r="C244" s="6" t="s">
        <v>92</v>
      </c>
      <c r="D244" s="15" t="s">
        <v>967</v>
      </c>
      <c r="E244" s="15" t="s">
        <v>35</v>
      </c>
      <c r="F244" s="16" t="s">
        <v>968</v>
      </c>
      <c r="G244" s="6" t="s">
        <v>37</v>
      </c>
      <c r="H244" s="6" t="s">
        <v>969</v>
      </c>
    </row>
    <row r="245" ht="12.75" customHeight="1">
      <c r="A245" s="6" t="s">
        <v>970</v>
      </c>
      <c r="B245" s="6" t="s">
        <v>963</v>
      </c>
      <c r="C245" s="6" t="s">
        <v>45</v>
      </c>
      <c r="D245" s="15" t="s">
        <v>971</v>
      </c>
      <c r="E245" s="15" t="s">
        <v>35</v>
      </c>
      <c r="F245" s="16" t="s">
        <v>972</v>
      </c>
      <c r="G245" s="6" t="s">
        <v>37</v>
      </c>
      <c r="H245" s="6" t="s">
        <v>973</v>
      </c>
    </row>
    <row r="246" ht="12.75" customHeight="1">
      <c r="A246" s="6" t="s">
        <v>974</v>
      </c>
      <c r="B246" s="6" t="s">
        <v>963</v>
      </c>
      <c r="C246" s="6" t="s">
        <v>360</v>
      </c>
      <c r="D246" s="15" t="s">
        <v>41</v>
      </c>
      <c r="E246" s="15" t="s">
        <v>35</v>
      </c>
      <c r="F246" s="16" t="s">
        <v>975</v>
      </c>
      <c r="G246" s="6" t="s">
        <v>37</v>
      </c>
      <c r="H246" s="6" t="s">
        <v>976</v>
      </c>
    </row>
    <row r="247" ht="12.75" customHeight="1">
      <c r="A247" s="6" t="s">
        <v>977</v>
      </c>
      <c r="B247" s="6" t="s">
        <v>963</v>
      </c>
      <c r="C247" s="6" t="s">
        <v>87</v>
      </c>
      <c r="D247" s="15" t="s">
        <v>107</v>
      </c>
      <c r="E247" s="15" t="s">
        <v>35</v>
      </c>
      <c r="F247" s="16" t="s">
        <v>978</v>
      </c>
      <c r="G247" s="6" t="s">
        <v>37</v>
      </c>
      <c r="H247" s="6" t="s">
        <v>979</v>
      </c>
    </row>
    <row r="248" ht="12.75" customHeight="1">
      <c r="A248" s="6" t="s">
        <v>980</v>
      </c>
      <c r="B248" s="6" t="s">
        <v>963</v>
      </c>
      <c r="C248" s="6" t="s">
        <v>45</v>
      </c>
      <c r="D248" s="15" t="s">
        <v>50</v>
      </c>
      <c r="E248" s="15" t="s">
        <v>35</v>
      </c>
      <c r="F248" s="16" t="s">
        <v>981</v>
      </c>
      <c r="G248" s="6" t="s">
        <v>37</v>
      </c>
      <c r="H248" s="6" t="s">
        <v>982</v>
      </c>
    </row>
    <row r="249" ht="12.75" customHeight="1">
      <c r="A249" s="6" t="s">
        <v>983</v>
      </c>
      <c r="B249" s="6" t="s">
        <v>963</v>
      </c>
      <c r="C249" s="6" t="s">
        <v>87</v>
      </c>
      <c r="D249" s="15" t="s">
        <v>984</v>
      </c>
      <c r="E249" s="15" t="s">
        <v>35</v>
      </c>
      <c r="F249" s="16" t="s">
        <v>985</v>
      </c>
      <c r="G249" s="6" t="s">
        <v>37</v>
      </c>
      <c r="H249" s="6" t="s">
        <v>986</v>
      </c>
    </row>
    <row r="250" ht="12.75" customHeight="1">
      <c r="A250" s="6" t="s">
        <v>987</v>
      </c>
      <c r="B250" s="6" t="s">
        <v>988</v>
      </c>
      <c r="C250" s="6" t="s">
        <v>989</v>
      </c>
      <c r="D250" s="15" t="s">
        <v>502</v>
      </c>
      <c r="E250" s="15" t="s">
        <v>35</v>
      </c>
      <c r="F250" s="16" t="s">
        <v>990</v>
      </c>
      <c r="G250" s="6" t="s">
        <v>37</v>
      </c>
      <c r="H250" s="6" t="s">
        <v>991</v>
      </c>
    </row>
    <row r="251" ht="12.75" customHeight="1">
      <c r="A251" s="6" t="s">
        <v>992</v>
      </c>
      <c r="B251" s="6" t="s">
        <v>988</v>
      </c>
      <c r="C251" s="6" t="s">
        <v>993</v>
      </c>
      <c r="D251" s="15" t="s">
        <v>443</v>
      </c>
      <c r="E251" s="15" t="s">
        <v>35</v>
      </c>
      <c r="F251" s="16" t="s">
        <v>994</v>
      </c>
      <c r="G251" s="6" t="s">
        <v>37</v>
      </c>
      <c r="H251" s="6" t="s">
        <v>995</v>
      </c>
    </row>
    <row r="252" ht="12.75" customHeight="1">
      <c r="A252" s="6" t="s">
        <v>996</v>
      </c>
      <c r="B252" s="6" t="s">
        <v>988</v>
      </c>
      <c r="C252" s="6" t="s">
        <v>581</v>
      </c>
      <c r="D252" s="15" t="s">
        <v>946</v>
      </c>
      <c r="E252" s="15" t="s">
        <v>35</v>
      </c>
      <c r="F252" s="16" t="s">
        <v>997</v>
      </c>
      <c r="G252" s="6" t="s">
        <v>37</v>
      </c>
      <c r="H252" s="6" t="s">
        <v>998</v>
      </c>
    </row>
    <row r="253" ht="12.75" customHeight="1">
      <c r="A253" s="6" t="s">
        <v>999</v>
      </c>
      <c r="B253" s="6" t="s">
        <v>988</v>
      </c>
      <c r="C253" s="6" t="s">
        <v>83</v>
      </c>
      <c r="D253" s="15" t="s">
        <v>34</v>
      </c>
      <c r="E253" s="15" t="s">
        <v>35</v>
      </c>
      <c r="F253" s="16" t="s">
        <v>1000</v>
      </c>
      <c r="G253" s="6" t="s">
        <v>37</v>
      </c>
      <c r="H253" s="6" t="s">
        <v>1001</v>
      </c>
    </row>
    <row r="254" ht="12.75" customHeight="1">
      <c r="A254" s="6" t="s">
        <v>1002</v>
      </c>
      <c r="B254" s="6" t="s">
        <v>988</v>
      </c>
      <c r="C254" s="6" t="s">
        <v>1003</v>
      </c>
      <c r="D254" s="15" t="s">
        <v>35</v>
      </c>
      <c r="E254" s="15" t="s">
        <v>1004</v>
      </c>
      <c r="F254" s="16" t="s">
        <v>1005</v>
      </c>
      <c r="G254" s="6" t="s">
        <v>37</v>
      </c>
      <c r="H254" s="6" t="s">
        <v>1006</v>
      </c>
    </row>
    <row r="255" ht="12.75" customHeight="1">
      <c r="A255" s="6" t="s">
        <v>1007</v>
      </c>
      <c r="B255" s="6" t="s">
        <v>988</v>
      </c>
      <c r="C255" s="6" t="s">
        <v>303</v>
      </c>
      <c r="D255" s="15" t="s">
        <v>1008</v>
      </c>
      <c r="E255" s="15" t="s">
        <v>35</v>
      </c>
      <c r="F255" s="16" t="s">
        <v>1009</v>
      </c>
      <c r="G255" s="6" t="s">
        <v>37</v>
      </c>
      <c r="H255" s="6" t="s">
        <v>1010</v>
      </c>
    </row>
    <row r="256" ht="12.75" customHeight="1">
      <c r="A256" s="6" t="s">
        <v>1011</v>
      </c>
      <c r="B256" s="6" t="s">
        <v>988</v>
      </c>
      <c r="C256" s="6" t="s">
        <v>45</v>
      </c>
      <c r="D256" s="15" t="s">
        <v>50</v>
      </c>
      <c r="E256" s="15" t="s">
        <v>35</v>
      </c>
      <c r="F256" s="16" t="s">
        <v>1012</v>
      </c>
      <c r="G256" s="6" t="s">
        <v>37</v>
      </c>
      <c r="H256" s="6" t="s">
        <v>1013</v>
      </c>
    </row>
    <row r="257" ht="12.75" customHeight="1">
      <c r="A257" s="6" t="s">
        <v>1014</v>
      </c>
      <c r="B257" s="6" t="s">
        <v>1015</v>
      </c>
      <c r="C257" s="6" t="s">
        <v>1016</v>
      </c>
      <c r="D257" s="15" t="s">
        <v>55</v>
      </c>
      <c r="E257" s="15" t="s">
        <v>35</v>
      </c>
      <c r="F257" s="16" t="s">
        <v>1017</v>
      </c>
      <c r="G257" s="6" t="s">
        <v>37</v>
      </c>
      <c r="H257" s="6" t="s">
        <v>1018</v>
      </c>
    </row>
    <row r="258" ht="12.75" customHeight="1">
      <c r="A258" s="6" t="s">
        <v>1019</v>
      </c>
      <c r="B258" s="6" t="s">
        <v>1015</v>
      </c>
      <c r="C258" s="6" t="s">
        <v>303</v>
      </c>
      <c r="D258" s="15" t="s">
        <v>34</v>
      </c>
      <c r="E258" s="15" t="s">
        <v>35</v>
      </c>
      <c r="F258" s="16" t="s">
        <v>565</v>
      </c>
      <c r="G258" s="6" t="s">
        <v>37</v>
      </c>
      <c r="H258" s="6" t="s">
        <v>1020</v>
      </c>
    </row>
    <row r="259" ht="12.75" customHeight="1">
      <c r="A259" s="6" t="s">
        <v>1021</v>
      </c>
      <c r="B259" s="6" t="s">
        <v>1015</v>
      </c>
      <c r="C259" s="6" t="s">
        <v>303</v>
      </c>
      <c r="D259" s="15" t="s">
        <v>41</v>
      </c>
      <c r="E259" s="15" t="s">
        <v>35</v>
      </c>
      <c r="F259" s="16" t="s">
        <v>1022</v>
      </c>
      <c r="G259" s="6" t="s">
        <v>37</v>
      </c>
      <c r="H259" s="6" t="s">
        <v>1023</v>
      </c>
    </row>
    <row r="260" ht="12.75" customHeight="1">
      <c r="A260" s="6" t="s">
        <v>1024</v>
      </c>
      <c r="B260" s="6" t="s">
        <v>1015</v>
      </c>
      <c r="C260" s="6" t="s">
        <v>1025</v>
      </c>
      <c r="D260" s="15" t="s">
        <v>65</v>
      </c>
      <c r="E260" s="15" t="s">
        <v>35</v>
      </c>
      <c r="F260" s="16" t="s">
        <v>1026</v>
      </c>
      <c r="G260" s="6" t="s">
        <v>37</v>
      </c>
      <c r="H260" s="6" t="s">
        <v>1027</v>
      </c>
    </row>
    <row r="261" ht="12.75" customHeight="1">
      <c r="A261" s="6" t="s">
        <v>1028</v>
      </c>
      <c r="B261" s="6" t="s">
        <v>1015</v>
      </c>
      <c r="C261" s="6" t="s">
        <v>1029</v>
      </c>
      <c r="D261" s="15" t="s">
        <v>55</v>
      </c>
      <c r="E261" s="15" t="s">
        <v>35</v>
      </c>
      <c r="F261" s="16" t="s">
        <v>1030</v>
      </c>
      <c r="G261" s="6" t="s">
        <v>37</v>
      </c>
      <c r="H261" s="6" t="s">
        <v>1031</v>
      </c>
    </row>
    <row r="262" ht="12.75" customHeight="1">
      <c r="A262" s="6" t="s">
        <v>1032</v>
      </c>
      <c r="B262" s="6" t="s">
        <v>1015</v>
      </c>
      <c r="C262" s="6" t="s">
        <v>912</v>
      </c>
      <c r="D262" s="15" t="s">
        <v>35</v>
      </c>
      <c r="E262" s="15" t="s">
        <v>176</v>
      </c>
      <c r="F262" s="16" t="s">
        <v>1033</v>
      </c>
      <c r="G262" s="6" t="s">
        <v>37</v>
      </c>
      <c r="H262" s="6" t="s">
        <v>1034</v>
      </c>
    </row>
    <row r="263" ht="12.75" customHeight="1">
      <c r="A263" s="6" t="s">
        <v>1035</v>
      </c>
      <c r="B263" s="6" t="s">
        <v>1015</v>
      </c>
      <c r="C263" s="6" t="s">
        <v>1036</v>
      </c>
      <c r="D263" s="15" t="s">
        <v>149</v>
      </c>
      <c r="E263" s="15" t="s">
        <v>35</v>
      </c>
      <c r="F263" s="16" t="s">
        <v>1037</v>
      </c>
      <c r="G263" s="6" t="s">
        <v>37</v>
      </c>
      <c r="H263" s="6" t="s">
        <v>1038</v>
      </c>
    </row>
    <row r="264" ht="12.75" customHeight="1">
      <c r="A264" s="6" t="s">
        <v>1039</v>
      </c>
      <c r="B264" s="6" t="s">
        <v>1015</v>
      </c>
      <c r="C264" s="6" t="s">
        <v>45</v>
      </c>
      <c r="D264" s="15" t="s">
        <v>34</v>
      </c>
      <c r="E264" s="15" t="s">
        <v>35</v>
      </c>
      <c r="F264" s="16" t="s">
        <v>1040</v>
      </c>
      <c r="G264" s="6" t="s">
        <v>37</v>
      </c>
      <c r="H264" s="6" t="s">
        <v>1041</v>
      </c>
    </row>
    <row r="265" ht="12.75" customHeight="1">
      <c r="A265" s="6" t="s">
        <v>1042</v>
      </c>
      <c r="B265" s="6" t="s">
        <v>1043</v>
      </c>
      <c r="C265" s="6" t="s">
        <v>426</v>
      </c>
      <c r="D265" s="15" t="s">
        <v>443</v>
      </c>
      <c r="E265" s="15" t="s">
        <v>35</v>
      </c>
      <c r="F265" s="16" t="s">
        <v>1044</v>
      </c>
      <c r="G265" s="6" t="s">
        <v>37</v>
      </c>
      <c r="H265" s="6" t="s">
        <v>1045</v>
      </c>
    </row>
    <row r="266" ht="12.75" customHeight="1">
      <c r="A266" s="6" t="s">
        <v>1046</v>
      </c>
      <c r="B266" s="6" t="s">
        <v>1043</v>
      </c>
      <c r="C266" s="6" t="s">
        <v>912</v>
      </c>
      <c r="D266" s="15" t="s">
        <v>35</v>
      </c>
      <c r="E266" s="15" t="s">
        <v>855</v>
      </c>
      <c r="F266" s="16" t="s">
        <v>1047</v>
      </c>
      <c r="G266" s="6" t="s">
        <v>37</v>
      </c>
      <c r="H266" s="6" t="s">
        <v>1048</v>
      </c>
    </row>
    <row r="267" ht="12.75" customHeight="1">
      <c r="A267" s="6" t="s">
        <v>1049</v>
      </c>
      <c r="B267" s="6" t="s">
        <v>1043</v>
      </c>
      <c r="C267" s="6" t="s">
        <v>426</v>
      </c>
      <c r="D267" s="15" t="s">
        <v>855</v>
      </c>
      <c r="E267" s="15" t="s">
        <v>35</v>
      </c>
      <c r="F267" s="16" t="s">
        <v>1044</v>
      </c>
      <c r="G267" s="6" t="s">
        <v>37</v>
      </c>
      <c r="H267" s="6" t="s">
        <v>1050</v>
      </c>
    </row>
    <row r="268" ht="12.75" customHeight="1">
      <c r="A268" s="6" t="s">
        <v>1051</v>
      </c>
      <c r="B268" s="6" t="s">
        <v>1043</v>
      </c>
      <c r="C268" s="6" t="s">
        <v>1052</v>
      </c>
      <c r="D268" s="15" t="s">
        <v>35</v>
      </c>
      <c r="E268" s="15" t="s">
        <v>97</v>
      </c>
      <c r="F268" s="16" t="s">
        <v>1053</v>
      </c>
      <c r="G268" s="6" t="s">
        <v>37</v>
      </c>
      <c r="H268" s="6" t="s">
        <v>1054</v>
      </c>
    </row>
    <row r="269" ht="12.75" customHeight="1">
      <c r="A269" s="6" t="s">
        <v>1055</v>
      </c>
      <c r="B269" s="6" t="s">
        <v>1043</v>
      </c>
      <c r="C269" s="6" t="s">
        <v>45</v>
      </c>
      <c r="D269" s="15" t="s">
        <v>119</v>
      </c>
      <c r="E269" s="15" t="s">
        <v>35</v>
      </c>
      <c r="F269" s="16" t="s">
        <v>1056</v>
      </c>
      <c r="G269" s="6" t="s">
        <v>37</v>
      </c>
      <c r="H269" s="6" t="s">
        <v>1057</v>
      </c>
    </row>
    <row r="270" ht="12.75" customHeight="1">
      <c r="A270" s="6" t="s">
        <v>1058</v>
      </c>
      <c r="B270" s="6" t="s">
        <v>1059</v>
      </c>
      <c r="C270" s="6" t="s">
        <v>303</v>
      </c>
      <c r="D270" s="15" t="s">
        <v>41</v>
      </c>
      <c r="E270" s="15" t="s">
        <v>35</v>
      </c>
      <c r="F270" s="16" t="s">
        <v>1060</v>
      </c>
      <c r="G270" s="6" t="s">
        <v>37</v>
      </c>
      <c r="H270" s="6" t="s">
        <v>1061</v>
      </c>
    </row>
    <row r="271" ht="12.75" customHeight="1">
      <c r="A271" s="6" t="s">
        <v>1062</v>
      </c>
      <c r="B271" s="6" t="s">
        <v>1059</v>
      </c>
      <c r="C271" s="6" t="s">
        <v>1063</v>
      </c>
      <c r="D271" s="15" t="s">
        <v>35</v>
      </c>
      <c r="E271" s="15" t="s">
        <v>97</v>
      </c>
      <c r="F271" s="16" t="s">
        <v>1064</v>
      </c>
      <c r="G271" s="6" t="s">
        <v>37</v>
      </c>
      <c r="H271" s="6" t="s">
        <v>1065</v>
      </c>
    </row>
    <row r="272" ht="12.75" customHeight="1">
      <c r="A272" s="6" t="s">
        <v>1066</v>
      </c>
      <c r="B272" s="6" t="s">
        <v>1059</v>
      </c>
      <c r="C272" s="6" t="s">
        <v>1067</v>
      </c>
      <c r="D272" s="15" t="s">
        <v>97</v>
      </c>
      <c r="E272" s="15" t="s">
        <v>35</v>
      </c>
      <c r="F272" s="16" t="s">
        <v>1060</v>
      </c>
      <c r="G272" s="6" t="s">
        <v>37</v>
      </c>
      <c r="H272" s="6" t="s">
        <v>1068</v>
      </c>
    </row>
    <row r="273" ht="12.75" customHeight="1">
      <c r="A273" s="6" t="s">
        <v>1069</v>
      </c>
      <c r="B273" s="6" t="s">
        <v>1070</v>
      </c>
      <c r="C273" s="6" t="s">
        <v>45</v>
      </c>
      <c r="D273" s="15" t="s">
        <v>50</v>
      </c>
      <c r="E273" s="15" t="s">
        <v>35</v>
      </c>
      <c r="F273" s="16" t="s">
        <v>1071</v>
      </c>
      <c r="G273" s="6" t="s">
        <v>37</v>
      </c>
      <c r="H273" s="6" t="s">
        <v>1072</v>
      </c>
    </row>
    <row r="274" ht="12.75" customHeight="1">
      <c r="A274" s="6" t="s">
        <v>1073</v>
      </c>
      <c r="B274" s="6" t="s">
        <v>1070</v>
      </c>
      <c r="C274" s="6" t="s">
        <v>1074</v>
      </c>
      <c r="D274" s="15" t="s">
        <v>35</v>
      </c>
      <c r="E274" s="15" t="s">
        <v>623</v>
      </c>
      <c r="F274" s="16" t="s">
        <v>1075</v>
      </c>
      <c r="G274" s="6" t="s">
        <v>37</v>
      </c>
      <c r="H274" s="6" t="s">
        <v>1076</v>
      </c>
    </row>
    <row r="275" ht="12.75" customHeight="1">
      <c r="A275" s="6" t="s">
        <v>1077</v>
      </c>
      <c r="B275" s="6" t="s">
        <v>1070</v>
      </c>
      <c r="C275" s="6" t="s">
        <v>221</v>
      </c>
      <c r="D275" s="15" t="s">
        <v>222</v>
      </c>
      <c r="E275" s="15" t="s">
        <v>35</v>
      </c>
      <c r="F275" s="16" t="s">
        <v>1078</v>
      </c>
      <c r="G275" s="6" t="s">
        <v>37</v>
      </c>
      <c r="H275" s="6" t="s">
        <v>1079</v>
      </c>
    </row>
    <row r="276" ht="12.75" customHeight="1">
      <c r="A276" s="6" t="s">
        <v>1080</v>
      </c>
      <c r="B276" s="6" t="s">
        <v>1070</v>
      </c>
      <c r="C276" s="6" t="s">
        <v>40</v>
      </c>
      <c r="D276" s="15" t="s">
        <v>35</v>
      </c>
      <c r="E276" s="15" t="s">
        <v>55</v>
      </c>
      <c r="F276" s="16" t="s">
        <v>1081</v>
      </c>
      <c r="G276" s="6" t="s">
        <v>37</v>
      </c>
      <c r="H276" s="6" t="s">
        <v>1082</v>
      </c>
    </row>
    <row r="277" ht="12.75" customHeight="1">
      <c r="A277" s="6" t="s">
        <v>1083</v>
      </c>
      <c r="B277" s="6" t="s">
        <v>1070</v>
      </c>
      <c r="C277" s="6" t="s">
        <v>397</v>
      </c>
      <c r="D277" s="15" t="s">
        <v>623</v>
      </c>
      <c r="E277" s="15" t="s">
        <v>35</v>
      </c>
      <c r="F277" s="16" t="s">
        <v>1044</v>
      </c>
      <c r="G277" s="6" t="s">
        <v>37</v>
      </c>
      <c r="H277" s="6" t="s">
        <v>1084</v>
      </c>
    </row>
    <row r="278" ht="12.75" customHeight="1">
      <c r="A278" s="6" t="s">
        <v>1085</v>
      </c>
      <c r="B278" s="6" t="s">
        <v>1086</v>
      </c>
      <c r="C278" s="6" t="s">
        <v>522</v>
      </c>
      <c r="D278" s="15" t="s">
        <v>35</v>
      </c>
      <c r="E278" s="15" t="s">
        <v>1087</v>
      </c>
      <c r="F278" s="16" t="s">
        <v>1088</v>
      </c>
      <c r="G278" s="6" t="s">
        <v>37</v>
      </c>
      <c r="H278" s="6" t="s">
        <v>1089</v>
      </c>
    </row>
    <row r="279" ht="12.75" customHeight="1">
      <c r="A279" s="6" t="s">
        <v>1090</v>
      </c>
      <c r="B279" s="6" t="s">
        <v>1086</v>
      </c>
      <c r="C279" s="6" t="s">
        <v>221</v>
      </c>
      <c r="D279" s="15" t="s">
        <v>222</v>
      </c>
      <c r="E279" s="15" t="s">
        <v>35</v>
      </c>
      <c r="F279" s="16" t="s">
        <v>1091</v>
      </c>
      <c r="G279" s="6" t="s">
        <v>37</v>
      </c>
      <c r="H279" s="6" t="s">
        <v>1092</v>
      </c>
    </row>
    <row r="280" ht="12.75" customHeight="1">
      <c r="A280" s="6" t="s">
        <v>1093</v>
      </c>
      <c r="B280" s="6" t="s">
        <v>1086</v>
      </c>
      <c r="C280" s="6" t="s">
        <v>426</v>
      </c>
      <c r="D280" s="15" t="s">
        <v>97</v>
      </c>
      <c r="E280" s="15" t="s">
        <v>35</v>
      </c>
      <c r="F280" s="16" t="s">
        <v>1094</v>
      </c>
      <c r="G280" s="6" t="s">
        <v>37</v>
      </c>
      <c r="H280" s="6" t="s">
        <v>1095</v>
      </c>
    </row>
    <row r="281" ht="12.75" customHeight="1">
      <c r="A281" s="6" t="s">
        <v>1096</v>
      </c>
      <c r="B281" s="6" t="s">
        <v>1086</v>
      </c>
      <c r="C281" s="6" t="s">
        <v>70</v>
      </c>
      <c r="D281" s="15" t="s">
        <v>1097</v>
      </c>
      <c r="E281" s="15" t="s">
        <v>35</v>
      </c>
      <c r="F281" s="16" t="s">
        <v>1098</v>
      </c>
      <c r="G281" s="6" t="s">
        <v>37</v>
      </c>
      <c r="H281" s="6" t="s">
        <v>1099</v>
      </c>
    </row>
    <row r="282" ht="12.75" customHeight="1">
      <c r="A282" s="6" t="s">
        <v>1100</v>
      </c>
      <c r="B282" s="6" t="s">
        <v>1086</v>
      </c>
      <c r="C282" s="6" t="s">
        <v>784</v>
      </c>
      <c r="D282" s="15" t="s">
        <v>71</v>
      </c>
      <c r="E282" s="15" t="s">
        <v>35</v>
      </c>
      <c r="F282" s="16" t="s">
        <v>1101</v>
      </c>
      <c r="G282" s="6" t="s">
        <v>37</v>
      </c>
      <c r="H282" s="6" t="s">
        <v>1102</v>
      </c>
    </row>
    <row r="283" ht="12.75" customHeight="1">
      <c r="A283" s="6" t="s">
        <v>1103</v>
      </c>
      <c r="B283" s="6" t="s">
        <v>1086</v>
      </c>
      <c r="C283" s="6" t="s">
        <v>564</v>
      </c>
      <c r="D283" s="15" t="s">
        <v>46</v>
      </c>
      <c r="E283" s="15" t="s">
        <v>35</v>
      </c>
      <c r="F283" s="16" t="s">
        <v>1104</v>
      </c>
      <c r="G283" s="6" t="s">
        <v>37</v>
      </c>
      <c r="H283" s="6" t="s">
        <v>1105</v>
      </c>
    </row>
    <row r="284" ht="12.75" customHeight="1">
      <c r="A284" s="6" t="s">
        <v>1106</v>
      </c>
      <c r="B284" s="6" t="s">
        <v>1107</v>
      </c>
      <c r="C284" s="6" t="s">
        <v>87</v>
      </c>
      <c r="D284" s="15" t="s">
        <v>107</v>
      </c>
      <c r="E284" s="15" t="s">
        <v>35</v>
      </c>
      <c r="F284" s="16" t="s">
        <v>1108</v>
      </c>
      <c r="G284" s="6" t="s">
        <v>37</v>
      </c>
      <c r="H284" s="6" t="s">
        <v>1109</v>
      </c>
    </row>
    <row r="285" ht="12.75" customHeight="1">
      <c r="A285" s="6" t="s">
        <v>1110</v>
      </c>
      <c r="B285" s="6" t="s">
        <v>1107</v>
      </c>
      <c r="C285" s="6" t="s">
        <v>87</v>
      </c>
      <c r="D285" s="15" t="s">
        <v>50</v>
      </c>
      <c r="E285" s="15" t="s">
        <v>35</v>
      </c>
      <c r="F285" s="16" t="s">
        <v>1111</v>
      </c>
      <c r="G285" s="6" t="s">
        <v>37</v>
      </c>
      <c r="H285" s="6" t="s">
        <v>1112</v>
      </c>
    </row>
    <row r="286" ht="12.75" customHeight="1">
      <c r="A286" s="6" t="s">
        <v>1113</v>
      </c>
      <c r="B286" s="6" t="s">
        <v>1107</v>
      </c>
      <c r="C286" s="6" t="s">
        <v>426</v>
      </c>
      <c r="D286" s="15" t="s">
        <v>97</v>
      </c>
      <c r="E286" s="15" t="s">
        <v>35</v>
      </c>
      <c r="F286" s="16" t="s">
        <v>1114</v>
      </c>
      <c r="G286" s="6" t="s">
        <v>37</v>
      </c>
      <c r="H286" s="6" t="s">
        <v>1115</v>
      </c>
    </row>
    <row r="287" ht="12.75" customHeight="1">
      <c r="A287" s="6" t="s">
        <v>1116</v>
      </c>
      <c r="B287" s="6" t="s">
        <v>1107</v>
      </c>
      <c r="C287" s="6" t="s">
        <v>54</v>
      </c>
      <c r="D287" s="15" t="s">
        <v>97</v>
      </c>
      <c r="E287" s="15" t="s">
        <v>35</v>
      </c>
      <c r="F287" s="16" t="s">
        <v>1117</v>
      </c>
      <c r="G287" s="6" t="s">
        <v>37</v>
      </c>
      <c r="H287" s="6" t="s">
        <v>1118</v>
      </c>
    </row>
    <row r="288" ht="12.75" customHeight="1">
      <c r="A288" s="6" t="s">
        <v>1119</v>
      </c>
      <c r="B288" s="6" t="s">
        <v>1107</v>
      </c>
      <c r="C288" s="6" t="s">
        <v>1120</v>
      </c>
      <c r="D288" s="15" t="s">
        <v>1121</v>
      </c>
      <c r="E288" s="15" t="s">
        <v>35</v>
      </c>
      <c r="F288" s="16" t="s">
        <v>1122</v>
      </c>
      <c r="G288" s="6" t="s">
        <v>37</v>
      </c>
      <c r="H288" s="6" t="s">
        <v>1123</v>
      </c>
    </row>
    <row r="289" ht="12.75" customHeight="1">
      <c r="A289" s="6" t="s">
        <v>1124</v>
      </c>
      <c r="B289" s="6" t="s">
        <v>1107</v>
      </c>
      <c r="C289" s="6" t="s">
        <v>1125</v>
      </c>
      <c r="D289" s="15" t="s">
        <v>34</v>
      </c>
      <c r="E289" s="15" t="s">
        <v>35</v>
      </c>
      <c r="F289" s="16" t="s">
        <v>1126</v>
      </c>
      <c r="G289" s="6" t="s">
        <v>37</v>
      </c>
      <c r="H289" s="6" t="s">
        <v>1127</v>
      </c>
    </row>
    <row r="290" ht="12.75" customHeight="1">
      <c r="A290" s="6" t="s">
        <v>1128</v>
      </c>
      <c r="B290" s="6" t="s">
        <v>1129</v>
      </c>
      <c r="C290" s="6" t="s">
        <v>993</v>
      </c>
      <c r="D290" s="15" t="s">
        <v>119</v>
      </c>
      <c r="E290" s="15" t="s">
        <v>35</v>
      </c>
      <c r="F290" s="16" t="s">
        <v>1130</v>
      </c>
      <c r="G290" s="6" t="s">
        <v>37</v>
      </c>
      <c r="H290" s="6" t="s">
        <v>1131</v>
      </c>
    </row>
    <row r="291" ht="12.75" customHeight="1">
      <c r="A291" s="6" t="s">
        <v>1132</v>
      </c>
      <c r="B291" s="6" t="s">
        <v>1129</v>
      </c>
      <c r="C291" s="6" t="s">
        <v>693</v>
      </c>
      <c r="D291" s="15" t="s">
        <v>1133</v>
      </c>
      <c r="E291" s="15" t="s">
        <v>35</v>
      </c>
      <c r="F291" s="16" t="s">
        <v>1134</v>
      </c>
      <c r="G291" s="6" t="s">
        <v>37</v>
      </c>
      <c r="H291" s="6" t="s">
        <v>1135</v>
      </c>
    </row>
    <row r="292" ht="12.75" customHeight="1">
      <c r="A292" s="6" t="s">
        <v>1136</v>
      </c>
      <c r="B292" s="6" t="s">
        <v>1129</v>
      </c>
      <c r="C292" s="6" t="s">
        <v>758</v>
      </c>
      <c r="D292" s="15" t="s">
        <v>97</v>
      </c>
      <c r="E292" s="15" t="s">
        <v>35</v>
      </c>
      <c r="F292" s="16" t="s">
        <v>1137</v>
      </c>
      <c r="G292" s="6" t="s">
        <v>37</v>
      </c>
      <c r="H292" s="6" t="s">
        <v>1138</v>
      </c>
    </row>
    <row r="293" ht="12.75" customHeight="1">
      <c r="A293" s="6" t="s">
        <v>1139</v>
      </c>
      <c r="B293" s="6" t="s">
        <v>1129</v>
      </c>
      <c r="C293" s="6" t="s">
        <v>303</v>
      </c>
      <c r="D293" s="15" t="s">
        <v>335</v>
      </c>
      <c r="E293" s="15" t="s">
        <v>35</v>
      </c>
      <c r="F293" s="16" t="s">
        <v>1140</v>
      </c>
      <c r="G293" s="6" t="s">
        <v>37</v>
      </c>
      <c r="H293" s="6" t="s">
        <v>1141</v>
      </c>
    </row>
    <row r="294" ht="12.75" customHeight="1">
      <c r="A294" s="6" t="s">
        <v>1142</v>
      </c>
      <c r="B294" s="6" t="s">
        <v>1129</v>
      </c>
      <c r="C294" s="6" t="s">
        <v>434</v>
      </c>
      <c r="D294" s="15" t="s">
        <v>97</v>
      </c>
      <c r="E294" s="15" t="s">
        <v>35</v>
      </c>
      <c r="F294" s="16" t="s">
        <v>1143</v>
      </c>
      <c r="G294" s="6" t="s">
        <v>37</v>
      </c>
      <c r="H294" s="6" t="s">
        <v>1144</v>
      </c>
    </row>
    <row r="295" ht="12.75" customHeight="1">
      <c r="A295" s="6" t="s">
        <v>1145</v>
      </c>
      <c r="B295" s="6" t="s">
        <v>1129</v>
      </c>
      <c r="C295" s="6" t="s">
        <v>250</v>
      </c>
      <c r="D295" s="15" t="s">
        <v>183</v>
      </c>
      <c r="E295" s="15" t="s">
        <v>35</v>
      </c>
      <c r="F295" s="16" t="s">
        <v>1146</v>
      </c>
      <c r="G295" s="6" t="s">
        <v>37</v>
      </c>
      <c r="H295" s="6" t="s">
        <v>1147</v>
      </c>
    </row>
    <row r="296" ht="12.75" customHeight="1">
      <c r="A296" s="6" t="s">
        <v>1148</v>
      </c>
      <c r="B296" s="6" t="s">
        <v>1129</v>
      </c>
      <c r="C296" s="6" t="s">
        <v>40</v>
      </c>
      <c r="D296" s="15" t="s">
        <v>35</v>
      </c>
      <c r="E296" s="15" t="s">
        <v>971</v>
      </c>
      <c r="F296" s="16" t="s">
        <v>1149</v>
      </c>
      <c r="G296" s="6" t="s">
        <v>37</v>
      </c>
      <c r="H296" s="6" t="s">
        <v>1150</v>
      </c>
    </row>
    <row r="297" ht="12.75" customHeight="1">
      <c r="A297" s="6" t="s">
        <v>1151</v>
      </c>
      <c r="B297" s="6" t="s">
        <v>1129</v>
      </c>
      <c r="C297" s="6" t="s">
        <v>45</v>
      </c>
      <c r="D297" s="15" t="s">
        <v>1152</v>
      </c>
      <c r="E297" s="15" t="s">
        <v>35</v>
      </c>
      <c r="F297" s="16" t="s">
        <v>1153</v>
      </c>
      <c r="G297" s="6" t="s">
        <v>37</v>
      </c>
      <c r="H297" s="6" t="s">
        <v>1154</v>
      </c>
    </row>
    <row r="298" ht="12.75" customHeight="1">
      <c r="A298" s="6" t="s">
        <v>1155</v>
      </c>
      <c r="B298" s="6" t="s">
        <v>1129</v>
      </c>
      <c r="C298" s="6" t="s">
        <v>45</v>
      </c>
      <c r="D298" s="15" t="s">
        <v>119</v>
      </c>
      <c r="E298" s="15" t="s">
        <v>35</v>
      </c>
      <c r="F298" s="16" t="s">
        <v>1156</v>
      </c>
      <c r="G298" s="6" t="s">
        <v>37</v>
      </c>
      <c r="H298" s="6" t="s">
        <v>1157</v>
      </c>
    </row>
    <row r="299" ht="12.75" customHeight="1">
      <c r="A299" s="6" t="s">
        <v>1158</v>
      </c>
      <c r="B299" s="6" t="s">
        <v>1159</v>
      </c>
      <c r="C299" s="6" t="s">
        <v>1160</v>
      </c>
      <c r="D299" s="15" t="s">
        <v>35</v>
      </c>
      <c r="E299" s="15" t="s">
        <v>1161</v>
      </c>
      <c r="F299" s="16" t="s">
        <v>1162</v>
      </c>
      <c r="G299" s="6" t="s">
        <v>37</v>
      </c>
      <c r="H299" s="6" t="s">
        <v>1163</v>
      </c>
    </row>
    <row r="300" ht="12.75" customHeight="1">
      <c r="A300" s="6" t="s">
        <v>1164</v>
      </c>
      <c r="B300" s="6" t="s">
        <v>1159</v>
      </c>
      <c r="C300" s="6" t="s">
        <v>221</v>
      </c>
      <c r="D300" s="15" t="s">
        <v>222</v>
      </c>
      <c r="E300" s="15" t="s">
        <v>35</v>
      </c>
      <c r="F300" s="16" t="s">
        <v>1165</v>
      </c>
      <c r="G300" s="6" t="s">
        <v>37</v>
      </c>
      <c r="H300" s="6" t="s">
        <v>1166</v>
      </c>
    </row>
    <row r="301" ht="12.75" customHeight="1">
      <c r="A301" s="6" t="s">
        <v>1167</v>
      </c>
      <c r="B301" s="6" t="s">
        <v>1159</v>
      </c>
      <c r="C301" s="6" t="s">
        <v>303</v>
      </c>
      <c r="D301" s="15" t="s">
        <v>295</v>
      </c>
      <c r="E301" s="15" t="s">
        <v>35</v>
      </c>
      <c r="F301" s="16" t="s">
        <v>1168</v>
      </c>
      <c r="G301" s="6" t="s">
        <v>37</v>
      </c>
      <c r="H301" s="6" t="s">
        <v>1169</v>
      </c>
    </row>
    <row r="302" ht="12.75" customHeight="1">
      <c r="A302" s="6" t="s">
        <v>1170</v>
      </c>
      <c r="B302" s="6" t="s">
        <v>1159</v>
      </c>
      <c r="C302" s="6" t="s">
        <v>1171</v>
      </c>
      <c r="D302" s="15" t="s">
        <v>243</v>
      </c>
      <c r="E302" s="15" t="s">
        <v>35</v>
      </c>
      <c r="F302" s="16" t="s">
        <v>1172</v>
      </c>
      <c r="G302" s="6" t="s">
        <v>37</v>
      </c>
      <c r="H302" s="6" t="s">
        <v>1173</v>
      </c>
    </row>
    <row r="303" ht="12.75" customHeight="1">
      <c r="A303" s="6" t="s">
        <v>1174</v>
      </c>
      <c r="B303" s="6" t="s">
        <v>1159</v>
      </c>
      <c r="C303" s="6" t="s">
        <v>33</v>
      </c>
      <c r="D303" s="15" t="s">
        <v>50</v>
      </c>
      <c r="E303" s="15" t="s">
        <v>35</v>
      </c>
      <c r="F303" s="16" t="s">
        <v>1175</v>
      </c>
      <c r="G303" s="6" t="s">
        <v>37</v>
      </c>
      <c r="H303" s="6" t="s">
        <v>1176</v>
      </c>
    </row>
    <row r="304" ht="12.75" customHeight="1">
      <c r="A304" s="6" t="s">
        <v>1177</v>
      </c>
      <c r="B304" s="6" t="s">
        <v>1159</v>
      </c>
      <c r="C304" s="6" t="s">
        <v>1178</v>
      </c>
      <c r="D304" s="15" t="s">
        <v>855</v>
      </c>
      <c r="E304" s="15" t="s">
        <v>35</v>
      </c>
      <c r="F304" s="16" t="s">
        <v>1179</v>
      </c>
      <c r="G304" s="6" t="s">
        <v>37</v>
      </c>
      <c r="H304" s="6" t="s">
        <v>1180</v>
      </c>
    </row>
    <row r="305" ht="12.75" customHeight="1">
      <c r="A305" s="6" t="s">
        <v>1181</v>
      </c>
      <c r="B305" s="6" t="s">
        <v>1159</v>
      </c>
      <c r="C305" s="6" t="s">
        <v>1182</v>
      </c>
      <c r="D305" s="15" t="s">
        <v>34</v>
      </c>
      <c r="E305" s="15" t="s">
        <v>35</v>
      </c>
      <c r="F305" s="16" t="s">
        <v>1183</v>
      </c>
      <c r="G305" s="6" t="s">
        <v>37</v>
      </c>
      <c r="H305" s="6" t="s">
        <v>1184</v>
      </c>
    </row>
    <row r="306" ht="12.75" customHeight="1">
      <c r="A306" s="6" t="s">
        <v>1185</v>
      </c>
      <c r="B306" s="6" t="s">
        <v>1159</v>
      </c>
      <c r="C306" s="6" t="s">
        <v>693</v>
      </c>
      <c r="D306" s="15" t="s">
        <v>946</v>
      </c>
      <c r="E306" s="15" t="s">
        <v>35</v>
      </c>
      <c r="F306" s="16" t="s">
        <v>1186</v>
      </c>
      <c r="G306" s="6" t="s">
        <v>37</v>
      </c>
      <c r="H306" s="6" t="s">
        <v>1187</v>
      </c>
    </row>
    <row r="307" ht="12.75" customHeight="1">
      <c r="A307" s="6" t="s">
        <v>1188</v>
      </c>
      <c r="B307" s="6" t="s">
        <v>1159</v>
      </c>
      <c r="C307" s="6" t="s">
        <v>45</v>
      </c>
      <c r="D307" s="15" t="s">
        <v>50</v>
      </c>
      <c r="E307" s="15" t="s">
        <v>35</v>
      </c>
      <c r="F307" s="16" t="s">
        <v>1189</v>
      </c>
      <c r="G307" s="6" t="s">
        <v>37</v>
      </c>
      <c r="H307" s="6" t="s">
        <v>1190</v>
      </c>
    </row>
    <row r="308" ht="12.75" customHeight="1">
      <c r="A308" s="6" t="s">
        <v>1191</v>
      </c>
      <c r="B308" s="6" t="s">
        <v>1159</v>
      </c>
      <c r="C308" s="6" t="s">
        <v>1192</v>
      </c>
      <c r="D308" s="15" t="s">
        <v>582</v>
      </c>
      <c r="E308" s="15" t="s">
        <v>35</v>
      </c>
      <c r="F308" s="16" t="s">
        <v>1193</v>
      </c>
      <c r="G308" s="6" t="s">
        <v>37</v>
      </c>
      <c r="H308" s="6" t="s">
        <v>1194</v>
      </c>
    </row>
    <row r="309" ht="12.75" customHeight="1">
      <c r="A309" s="6" t="s">
        <v>1195</v>
      </c>
      <c r="B309" s="6" t="s">
        <v>1196</v>
      </c>
      <c r="C309" s="6" t="s">
        <v>45</v>
      </c>
      <c r="D309" s="15" t="s">
        <v>1197</v>
      </c>
      <c r="E309" s="15" t="s">
        <v>35</v>
      </c>
      <c r="F309" s="16" t="s">
        <v>1198</v>
      </c>
      <c r="G309" s="6" t="s">
        <v>37</v>
      </c>
      <c r="H309" s="6" t="s">
        <v>1199</v>
      </c>
    </row>
    <row r="310" ht="12.75" customHeight="1">
      <c r="A310" s="6" t="s">
        <v>1200</v>
      </c>
      <c r="B310" s="6" t="s">
        <v>1196</v>
      </c>
      <c r="C310" s="6" t="s">
        <v>397</v>
      </c>
      <c r="D310" s="15" t="s">
        <v>50</v>
      </c>
      <c r="E310" s="15" t="s">
        <v>35</v>
      </c>
      <c r="F310" s="16" t="s">
        <v>1201</v>
      </c>
      <c r="G310" s="6" t="s">
        <v>37</v>
      </c>
      <c r="H310" s="6" t="s">
        <v>1202</v>
      </c>
    </row>
    <row r="311" ht="12.75" customHeight="1">
      <c r="A311" s="6" t="s">
        <v>1203</v>
      </c>
      <c r="B311" s="6" t="s">
        <v>1196</v>
      </c>
      <c r="C311" s="6" t="s">
        <v>92</v>
      </c>
      <c r="D311" s="15" t="s">
        <v>41</v>
      </c>
      <c r="E311" s="15" t="s">
        <v>35</v>
      </c>
      <c r="F311" s="16" t="s">
        <v>1204</v>
      </c>
      <c r="G311" s="6" t="s">
        <v>37</v>
      </c>
      <c r="H311" s="6" t="s">
        <v>1205</v>
      </c>
    </row>
    <row r="312" ht="12.75" customHeight="1">
      <c r="A312" s="6" t="s">
        <v>1206</v>
      </c>
      <c r="B312" s="6" t="s">
        <v>1196</v>
      </c>
      <c r="C312" s="6" t="s">
        <v>1207</v>
      </c>
      <c r="D312" s="15" t="s">
        <v>71</v>
      </c>
      <c r="E312" s="15" t="s">
        <v>35</v>
      </c>
      <c r="F312" s="16" t="s">
        <v>1208</v>
      </c>
      <c r="G312" s="6" t="s">
        <v>37</v>
      </c>
      <c r="H312" s="6" t="s">
        <v>1209</v>
      </c>
    </row>
    <row r="313" ht="12.75" customHeight="1">
      <c r="A313" s="6" t="s">
        <v>1210</v>
      </c>
      <c r="B313" s="6" t="s">
        <v>1211</v>
      </c>
      <c r="C313" s="6" t="s">
        <v>33</v>
      </c>
      <c r="D313" s="15" t="s">
        <v>97</v>
      </c>
      <c r="E313" s="15" t="s">
        <v>35</v>
      </c>
      <c r="F313" s="16" t="s">
        <v>1212</v>
      </c>
      <c r="G313" s="6" t="s">
        <v>37</v>
      </c>
      <c r="H313" s="6" t="s">
        <v>1213</v>
      </c>
    </row>
    <row r="314" ht="12.75" customHeight="1">
      <c r="A314" s="6" t="s">
        <v>1214</v>
      </c>
      <c r="B314" s="6" t="s">
        <v>1211</v>
      </c>
      <c r="C314" s="6" t="s">
        <v>1215</v>
      </c>
      <c r="D314" s="15" t="s">
        <v>1216</v>
      </c>
      <c r="E314" s="15" t="s">
        <v>35</v>
      </c>
      <c r="F314" s="16" t="s">
        <v>1217</v>
      </c>
      <c r="G314" s="6" t="s">
        <v>37</v>
      </c>
      <c r="H314" s="6" t="s">
        <v>1218</v>
      </c>
    </row>
    <row r="315" ht="12.75" customHeight="1">
      <c r="A315" s="6" t="s">
        <v>1219</v>
      </c>
      <c r="B315" s="6" t="s">
        <v>1211</v>
      </c>
      <c r="C315" s="6" t="s">
        <v>1215</v>
      </c>
      <c r="D315" s="15" t="s">
        <v>34</v>
      </c>
      <c r="E315" s="15" t="s">
        <v>35</v>
      </c>
      <c r="F315" s="16" t="s">
        <v>1220</v>
      </c>
      <c r="G315" s="6" t="s">
        <v>37</v>
      </c>
      <c r="H315" s="6" t="s">
        <v>1221</v>
      </c>
    </row>
    <row r="316" ht="12.75" customHeight="1">
      <c r="A316" s="6" t="s">
        <v>1222</v>
      </c>
      <c r="B316" s="6" t="s">
        <v>1211</v>
      </c>
      <c r="C316" s="6" t="s">
        <v>426</v>
      </c>
      <c r="D316" s="15" t="s">
        <v>97</v>
      </c>
      <c r="E316" s="15" t="s">
        <v>35</v>
      </c>
      <c r="F316" s="16" t="s">
        <v>1223</v>
      </c>
      <c r="G316" s="6" t="s">
        <v>37</v>
      </c>
      <c r="H316" s="6" t="s">
        <v>1224</v>
      </c>
    </row>
    <row r="317" ht="12.75" customHeight="1">
      <c r="A317" s="6" t="s">
        <v>1225</v>
      </c>
      <c r="B317" s="6" t="s">
        <v>1211</v>
      </c>
      <c r="C317" s="6" t="s">
        <v>993</v>
      </c>
      <c r="D317" s="15" t="s">
        <v>502</v>
      </c>
      <c r="E317" s="15" t="s">
        <v>35</v>
      </c>
      <c r="F317" s="16" t="s">
        <v>1226</v>
      </c>
      <c r="G317" s="6" t="s">
        <v>37</v>
      </c>
      <c r="H317" s="6" t="s">
        <v>1227</v>
      </c>
    </row>
    <row r="318" ht="12.75" customHeight="1">
      <c r="A318" s="6" t="s">
        <v>1228</v>
      </c>
      <c r="B318" s="6" t="s">
        <v>1211</v>
      </c>
      <c r="C318" s="6" t="s">
        <v>45</v>
      </c>
      <c r="D318" s="15" t="s">
        <v>50</v>
      </c>
      <c r="E318" s="15" t="s">
        <v>35</v>
      </c>
      <c r="F318" s="16" t="s">
        <v>1229</v>
      </c>
      <c r="G318" s="6" t="s">
        <v>37</v>
      </c>
      <c r="H318" s="6" t="s">
        <v>1230</v>
      </c>
    </row>
    <row r="319" ht="12.75" customHeight="1">
      <c r="A319" s="6" t="s">
        <v>1231</v>
      </c>
      <c r="B319" s="6" t="s">
        <v>1211</v>
      </c>
      <c r="C319" s="6" t="s">
        <v>426</v>
      </c>
      <c r="D319" s="15" t="s">
        <v>46</v>
      </c>
      <c r="E319" s="15" t="s">
        <v>35</v>
      </c>
      <c r="F319" s="16" t="s">
        <v>1232</v>
      </c>
      <c r="G319" s="6" t="s">
        <v>37</v>
      </c>
      <c r="H319" s="6" t="s">
        <v>1233</v>
      </c>
    </row>
    <row r="320" ht="12.75" customHeight="1">
      <c r="A320" s="6" t="s">
        <v>1234</v>
      </c>
      <c r="B320" s="6" t="s">
        <v>1235</v>
      </c>
      <c r="C320" s="6" t="s">
        <v>1236</v>
      </c>
      <c r="D320" s="15" t="s">
        <v>35</v>
      </c>
      <c r="E320" s="15" t="s">
        <v>65</v>
      </c>
      <c r="F320" s="16" t="s">
        <v>1237</v>
      </c>
      <c r="G320" s="6" t="s">
        <v>37</v>
      </c>
      <c r="H320" s="6" t="s">
        <v>1238</v>
      </c>
    </row>
    <row r="321" ht="12.75" customHeight="1">
      <c r="A321" s="6" t="s">
        <v>1239</v>
      </c>
      <c r="B321" s="6" t="s">
        <v>1235</v>
      </c>
      <c r="C321" s="6" t="s">
        <v>45</v>
      </c>
      <c r="D321" s="15" t="s">
        <v>41</v>
      </c>
      <c r="E321" s="15" t="s">
        <v>35</v>
      </c>
      <c r="F321" s="16" t="s">
        <v>1240</v>
      </c>
      <c r="G321" s="6" t="s">
        <v>37</v>
      </c>
      <c r="H321" s="6" t="s">
        <v>1241</v>
      </c>
    </row>
    <row r="322" ht="12.75" customHeight="1">
      <c r="A322" s="6" t="s">
        <v>1242</v>
      </c>
      <c r="B322" s="6" t="s">
        <v>1235</v>
      </c>
      <c r="C322" s="6" t="s">
        <v>33</v>
      </c>
      <c r="D322" s="15" t="s">
        <v>50</v>
      </c>
      <c r="E322" s="15" t="s">
        <v>35</v>
      </c>
      <c r="F322" s="16" t="s">
        <v>1243</v>
      </c>
      <c r="G322" s="6" t="s">
        <v>37</v>
      </c>
      <c r="H322" s="6" t="s">
        <v>1244</v>
      </c>
    </row>
    <row r="323" ht="12.75" customHeight="1">
      <c r="A323" s="6" t="s">
        <v>1245</v>
      </c>
      <c r="B323" s="6" t="s">
        <v>1235</v>
      </c>
      <c r="C323" s="6" t="s">
        <v>1246</v>
      </c>
      <c r="D323" s="15" t="s">
        <v>183</v>
      </c>
      <c r="E323" s="15" t="s">
        <v>35</v>
      </c>
      <c r="F323" s="16" t="s">
        <v>1247</v>
      </c>
      <c r="G323" s="6" t="s">
        <v>37</v>
      </c>
      <c r="H323" s="6" t="s">
        <v>1248</v>
      </c>
    </row>
    <row r="324" ht="12.75" customHeight="1">
      <c r="A324" s="6" t="s">
        <v>1249</v>
      </c>
      <c r="B324" s="6" t="s">
        <v>1250</v>
      </c>
      <c r="C324" s="6" t="s">
        <v>1251</v>
      </c>
      <c r="D324" s="15" t="s">
        <v>35</v>
      </c>
      <c r="E324" s="15" t="s">
        <v>71</v>
      </c>
      <c r="F324" s="16" t="s">
        <v>1252</v>
      </c>
      <c r="G324" s="6" t="s">
        <v>37</v>
      </c>
      <c r="H324" s="6" t="s">
        <v>1253</v>
      </c>
    </row>
    <row r="325" ht="12.75" customHeight="1">
      <c r="A325" s="6" t="s">
        <v>1254</v>
      </c>
      <c r="B325" s="6" t="s">
        <v>1250</v>
      </c>
      <c r="C325" s="6" t="s">
        <v>1255</v>
      </c>
      <c r="D325" s="15" t="s">
        <v>35</v>
      </c>
      <c r="E325" s="15" t="s">
        <v>335</v>
      </c>
      <c r="F325" s="16" t="s">
        <v>1256</v>
      </c>
      <c r="G325" s="6" t="s">
        <v>37</v>
      </c>
      <c r="H325" s="6" t="s">
        <v>1257</v>
      </c>
    </row>
    <row r="326" ht="12.75" customHeight="1">
      <c r="A326" s="6" t="s">
        <v>1258</v>
      </c>
      <c r="B326" s="6" t="s">
        <v>1250</v>
      </c>
      <c r="C326" s="6" t="s">
        <v>1259</v>
      </c>
      <c r="D326" s="15" t="s">
        <v>46</v>
      </c>
      <c r="E326" s="15" t="s">
        <v>35</v>
      </c>
      <c r="F326" s="16" t="s">
        <v>1260</v>
      </c>
      <c r="G326" s="6" t="s">
        <v>37</v>
      </c>
      <c r="H326" s="6" t="s">
        <v>1261</v>
      </c>
    </row>
    <row r="327" ht="12.75" customHeight="1">
      <c r="A327" s="6" t="s">
        <v>1262</v>
      </c>
      <c r="B327" s="6" t="s">
        <v>1250</v>
      </c>
      <c r="C327" s="6" t="s">
        <v>1263</v>
      </c>
      <c r="D327" s="15" t="s">
        <v>1264</v>
      </c>
      <c r="E327" s="15" t="s">
        <v>35</v>
      </c>
      <c r="F327" s="16" t="s">
        <v>1265</v>
      </c>
      <c r="G327" s="6" t="s">
        <v>37</v>
      </c>
      <c r="H327" s="6" t="s">
        <v>1266</v>
      </c>
    </row>
    <row r="328" ht="12.75" customHeight="1">
      <c r="A328" s="6" t="s">
        <v>1267</v>
      </c>
      <c r="B328" s="6" t="s">
        <v>1250</v>
      </c>
      <c r="C328" s="6" t="s">
        <v>397</v>
      </c>
      <c r="D328" s="15" t="s">
        <v>97</v>
      </c>
      <c r="E328" s="15" t="s">
        <v>35</v>
      </c>
      <c r="F328" s="16" t="s">
        <v>1268</v>
      </c>
      <c r="G328" s="6" t="s">
        <v>37</v>
      </c>
      <c r="H328" s="6" t="s">
        <v>1269</v>
      </c>
    </row>
    <row r="329" ht="12.75" customHeight="1">
      <c r="A329" s="6" t="s">
        <v>1270</v>
      </c>
      <c r="B329" s="6" t="s">
        <v>1250</v>
      </c>
      <c r="C329" s="6" t="s">
        <v>70</v>
      </c>
      <c r="D329" s="15" t="s">
        <v>46</v>
      </c>
      <c r="E329" s="15" t="s">
        <v>35</v>
      </c>
      <c r="F329" s="16" t="s">
        <v>1271</v>
      </c>
      <c r="G329" s="6" t="s">
        <v>37</v>
      </c>
      <c r="H329" s="6" t="s">
        <v>1272</v>
      </c>
    </row>
    <row r="330" ht="12.75" customHeight="1">
      <c r="A330" s="6" t="s">
        <v>1273</v>
      </c>
      <c r="B330" s="6" t="s">
        <v>1250</v>
      </c>
      <c r="C330" s="6" t="s">
        <v>434</v>
      </c>
      <c r="D330" s="15" t="s">
        <v>97</v>
      </c>
      <c r="E330" s="15" t="s">
        <v>35</v>
      </c>
      <c r="F330" s="16" t="s">
        <v>1274</v>
      </c>
      <c r="G330" s="6" t="s">
        <v>37</v>
      </c>
      <c r="H330" s="6" t="s">
        <v>1275</v>
      </c>
    </row>
    <row r="331" ht="12.75" customHeight="1">
      <c r="A331" s="6" t="s">
        <v>1276</v>
      </c>
      <c r="B331" s="6" t="s">
        <v>1250</v>
      </c>
      <c r="C331" s="6" t="s">
        <v>1277</v>
      </c>
      <c r="D331" s="15" t="s">
        <v>35</v>
      </c>
      <c r="E331" s="15" t="s">
        <v>226</v>
      </c>
      <c r="F331" s="16" t="s">
        <v>1278</v>
      </c>
      <c r="G331" s="6" t="s">
        <v>37</v>
      </c>
      <c r="H331" s="6" t="s">
        <v>1279</v>
      </c>
    </row>
    <row r="332" ht="12.75" customHeight="1">
      <c r="A332" s="6" t="s">
        <v>1280</v>
      </c>
      <c r="B332" s="6" t="s">
        <v>1250</v>
      </c>
      <c r="C332" s="6" t="s">
        <v>221</v>
      </c>
      <c r="D332" s="15" t="s">
        <v>222</v>
      </c>
      <c r="E332" s="15" t="s">
        <v>35</v>
      </c>
      <c r="F332" s="16" t="s">
        <v>1281</v>
      </c>
      <c r="G332" s="6" t="s">
        <v>37</v>
      </c>
      <c r="H332" s="6" t="s">
        <v>1282</v>
      </c>
    </row>
    <row r="333" ht="12.75" customHeight="1">
      <c r="A333" s="6" t="s">
        <v>1283</v>
      </c>
      <c r="B333" s="6" t="s">
        <v>1250</v>
      </c>
      <c r="C333" s="6" t="s">
        <v>70</v>
      </c>
      <c r="D333" s="15" t="s">
        <v>226</v>
      </c>
      <c r="E333" s="15" t="s">
        <v>35</v>
      </c>
      <c r="F333" s="16" t="s">
        <v>1284</v>
      </c>
      <c r="G333" s="6" t="s">
        <v>37</v>
      </c>
      <c r="H333" s="6" t="s">
        <v>1285</v>
      </c>
    </row>
    <row r="334" ht="12.75" customHeight="1">
      <c r="A334" s="6" t="s">
        <v>1286</v>
      </c>
      <c r="B334" s="6" t="s">
        <v>1250</v>
      </c>
      <c r="C334" s="6" t="s">
        <v>40</v>
      </c>
      <c r="D334" s="15" t="s">
        <v>35</v>
      </c>
      <c r="E334" s="15" t="s">
        <v>226</v>
      </c>
      <c r="F334" s="16" t="s">
        <v>1281</v>
      </c>
      <c r="G334" s="6" t="s">
        <v>37</v>
      </c>
      <c r="H334" s="6" t="s">
        <v>1287</v>
      </c>
    </row>
    <row r="335" ht="12.75" customHeight="1">
      <c r="A335" s="6" t="s">
        <v>1288</v>
      </c>
      <c r="B335" s="6" t="s">
        <v>1250</v>
      </c>
      <c r="C335" s="6" t="s">
        <v>221</v>
      </c>
      <c r="D335" s="15" t="s">
        <v>222</v>
      </c>
      <c r="E335" s="15" t="s">
        <v>35</v>
      </c>
      <c r="F335" s="16" t="s">
        <v>1289</v>
      </c>
      <c r="G335" s="6" t="s">
        <v>37</v>
      </c>
      <c r="H335" s="6" t="s">
        <v>1290</v>
      </c>
    </row>
    <row r="336" ht="12.75" customHeight="1">
      <c r="A336" s="6" t="s">
        <v>1291</v>
      </c>
      <c r="B336" s="6" t="s">
        <v>1250</v>
      </c>
      <c r="C336" s="6" t="s">
        <v>397</v>
      </c>
      <c r="D336" s="15" t="s">
        <v>226</v>
      </c>
      <c r="E336" s="15" t="s">
        <v>35</v>
      </c>
      <c r="F336" s="16" t="s">
        <v>1292</v>
      </c>
      <c r="G336" s="6" t="s">
        <v>37</v>
      </c>
      <c r="H336" s="6" t="s">
        <v>1293</v>
      </c>
    </row>
    <row r="337" ht="12.75" customHeight="1">
      <c r="A337" s="6" t="s">
        <v>1294</v>
      </c>
      <c r="B337" s="6" t="s">
        <v>1250</v>
      </c>
      <c r="C337" s="6" t="s">
        <v>1295</v>
      </c>
      <c r="D337" s="15" t="s">
        <v>46</v>
      </c>
      <c r="E337" s="15" t="s">
        <v>35</v>
      </c>
      <c r="F337" s="16" t="s">
        <v>1296</v>
      </c>
      <c r="G337" s="6" t="s">
        <v>37</v>
      </c>
      <c r="H337" s="6" t="s">
        <v>1297</v>
      </c>
    </row>
    <row r="338" ht="12.75" customHeight="1">
      <c r="A338" s="6" t="s">
        <v>1298</v>
      </c>
      <c r="B338" s="6" t="s">
        <v>1299</v>
      </c>
      <c r="C338" s="6" t="s">
        <v>426</v>
      </c>
      <c r="D338" s="15" t="s">
        <v>189</v>
      </c>
      <c r="E338" s="15" t="s">
        <v>35</v>
      </c>
      <c r="F338" s="16" t="s">
        <v>1300</v>
      </c>
      <c r="G338" s="6" t="s">
        <v>37</v>
      </c>
      <c r="H338" s="6" t="s">
        <v>1301</v>
      </c>
    </row>
    <row r="339" ht="12.75" customHeight="1">
      <c r="A339" s="6" t="s">
        <v>1302</v>
      </c>
      <c r="B339" s="6" t="s">
        <v>1299</v>
      </c>
      <c r="C339" s="6" t="s">
        <v>1303</v>
      </c>
      <c r="D339" s="15" t="s">
        <v>34</v>
      </c>
      <c r="E339" s="15" t="s">
        <v>35</v>
      </c>
      <c r="F339" s="16" t="s">
        <v>1304</v>
      </c>
      <c r="G339" s="6" t="s">
        <v>37</v>
      </c>
      <c r="H339" s="6" t="s">
        <v>1305</v>
      </c>
    </row>
    <row r="340" ht="12.75" customHeight="1">
      <c r="A340" s="6" t="s">
        <v>1306</v>
      </c>
      <c r="B340" s="6" t="s">
        <v>1299</v>
      </c>
      <c r="C340" s="6" t="s">
        <v>172</v>
      </c>
      <c r="D340" s="15" t="s">
        <v>1307</v>
      </c>
      <c r="E340" s="15" t="s">
        <v>35</v>
      </c>
      <c r="F340" s="16" t="s">
        <v>1308</v>
      </c>
      <c r="G340" s="6" t="s">
        <v>37</v>
      </c>
      <c r="H340" s="6" t="s">
        <v>1309</v>
      </c>
    </row>
    <row r="341" ht="12.75" customHeight="1">
      <c r="A341" s="6" t="s">
        <v>1310</v>
      </c>
      <c r="B341" s="6" t="s">
        <v>1299</v>
      </c>
      <c r="C341" s="6" t="s">
        <v>1303</v>
      </c>
      <c r="D341" s="15" t="s">
        <v>34</v>
      </c>
      <c r="E341" s="15" t="s">
        <v>35</v>
      </c>
      <c r="F341" s="16" t="s">
        <v>1311</v>
      </c>
      <c r="G341" s="6" t="s">
        <v>37</v>
      </c>
      <c r="H341" s="6" t="s">
        <v>1312</v>
      </c>
    </row>
    <row r="342" ht="12.75" customHeight="1">
      <c r="A342" s="6" t="s">
        <v>1313</v>
      </c>
      <c r="B342" s="6" t="s">
        <v>1299</v>
      </c>
      <c r="C342" s="6" t="s">
        <v>1314</v>
      </c>
      <c r="D342" s="15" t="s">
        <v>35</v>
      </c>
      <c r="E342" s="15" t="s">
        <v>256</v>
      </c>
      <c r="F342" s="16" t="s">
        <v>1315</v>
      </c>
      <c r="G342" s="6" t="s">
        <v>37</v>
      </c>
      <c r="H342" s="6" t="s">
        <v>1316</v>
      </c>
    </row>
    <row r="343" ht="12.75" customHeight="1">
      <c r="A343" s="6" t="s">
        <v>1317</v>
      </c>
      <c r="B343" s="6" t="s">
        <v>1299</v>
      </c>
      <c r="C343" s="6" t="s">
        <v>221</v>
      </c>
      <c r="D343" s="15" t="s">
        <v>222</v>
      </c>
      <c r="E343" s="15" t="s">
        <v>35</v>
      </c>
      <c r="F343" s="16" t="s">
        <v>1318</v>
      </c>
      <c r="G343" s="6" t="s">
        <v>37</v>
      </c>
      <c r="H343" s="6" t="s">
        <v>1319</v>
      </c>
    </row>
    <row r="344" ht="12.75" customHeight="1">
      <c r="A344" s="6" t="s">
        <v>1320</v>
      </c>
      <c r="B344" s="6" t="s">
        <v>1299</v>
      </c>
      <c r="C344" s="6" t="s">
        <v>1321</v>
      </c>
      <c r="D344" s="15" t="s">
        <v>256</v>
      </c>
      <c r="E344" s="15" t="s">
        <v>35</v>
      </c>
      <c r="F344" s="16" t="s">
        <v>1322</v>
      </c>
      <c r="G344" s="6" t="s">
        <v>37</v>
      </c>
      <c r="H344" s="6" t="s">
        <v>1323</v>
      </c>
    </row>
    <row r="345" ht="12.75" customHeight="1">
      <c r="A345" s="6" t="s">
        <v>1324</v>
      </c>
      <c r="B345" s="6" t="s">
        <v>1299</v>
      </c>
      <c r="C345" s="6" t="s">
        <v>303</v>
      </c>
      <c r="D345" s="15" t="s">
        <v>971</v>
      </c>
      <c r="E345" s="15" t="s">
        <v>35</v>
      </c>
      <c r="F345" s="16" t="s">
        <v>1325</v>
      </c>
      <c r="G345" s="6" t="s">
        <v>37</v>
      </c>
      <c r="H345" s="6" t="s">
        <v>1326</v>
      </c>
    </row>
    <row r="346" ht="12.75" customHeight="1">
      <c r="A346" s="6" t="s">
        <v>1327</v>
      </c>
      <c r="B346" s="6" t="s">
        <v>1299</v>
      </c>
      <c r="C346" s="6" t="s">
        <v>1120</v>
      </c>
      <c r="D346" s="15" t="s">
        <v>1121</v>
      </c>
      <c r="E346" s="15" t="s">
        <v>35</v>
      </c>
      <c r="F346" s="16" t="s">
        <v>1328</v>
      </c>
      <c r="G346" s="6" t="s">
        <v>37</v>
      </c>
      <c r="H346" s="6" t="s">
        <v>1329</v>
      </c>
    </row>
    <row r="347" ht="12.75" customHeight="1">
      <c r="A347" s="6" t="s">
        <v>1330</v>
      </c>
      <c r="B347" s="6" t="s">
        <v>1331</v>
      </c>
      <c r="C347" s="6" t="s">
        <v>92</v>
      </c>
      <c r="D347" s="15" t="s">
        <v>34</v>
      </c>
      <c r="E347" s="15" t="s">
        <v>35</v>
      </c>
      <c r="F347" s="16" t="s">
        <v>1332</v>
      </c>
      <c r="G347" s="6" t="s">
        <v>37</v>
      </c>
      <c r="H347" s="6" t="s">
        <v>1333</v>
      </c>
    </row>
    <row r="348" ht="12.75" customHeight="1">
      <c r="A348" s="6" t="s">
        <v>1334</v>
      </c>
      <c r="B348" s="6" t="s">
        <v>1331</v>
      </c>
      <c r="C348" s="6" t="s">
        <v>45</v>
      </c>
      <c r="D348" s="15" t="s">
        <v>443</v>
      </c>
      <c r="E348" s="15" t="s">
        <v>35</v>
      </c>
      <c r="F348" s="16" t="s">
        <v>1335</v>
      </c>
      <c r="G348" s="6" t="s">
        <v>37</v>
      </c>
      <c r="H348" s="6" t="s">
        <v>1336</v>
      </c>
    </row>
    <row r="349" ht="12.75" customHeight="1">
      <c r="A349" s="6" t="s">
        <v>1337</v>
      </c>
      <c r="B349" s="6" t="s">
        <v>1331</v>
      </c>
      <c r="C349" s="6" t="s">
        <v>33</v>
      </c>
      <c r="D349" s="15" t="s">
        <v>50</v>
      </c>
      <c r="E349" s="15" t="s">
        <v>35</v>
      </c>
      <c r="F349" s="16" t="s">
        <v>1338</v>
      </c>
      <c r="G349" s="6" t="s">
        <v>37</v>
      </c>
      <c r="H349" s="6" t="s">
        <v>1339</v>
      </c>
    </row>
    <row r="350" ht="12.75" customHeight="1">
      <c r="A350" s="6" t="s">
        <v>1340</v>
      </c>
      <c r="B350" s="6" t="s">
        <v>1341</v>
      </c>
      <c r="C350" s="6" t="s">
        <v>263</v>
      </c>
      <c r="D350" s="15" t="s">
        <v>71</v>
      </c>
      <c r="E350" s="15" t="s">
        <v>35</v>
      </c>
      <c r="F350" s="16" t="s">
        <v>1342</v>
      </c>
      <c r="G350" s="6" t="s">
        <v>37</v>
      </c>
      <c r="H350" s="6" t="s">
        <v>1343</v>
      </c>
    </row>
    <row r="351" ht="12.75" customHeight="1">
      <c r="A351" s="6" t="s">
        <v>1344</v>
      </c>
      <c r="B351" s="6" t="s">
        <v>1341</v>
      </c>
      <c r="C351" s="6" t="s">
        <v>1345</v>
      </c>
      <c r="D351" s="15" t="s">
        <v>685</v>
      </c>
      <c r="E351" s="15" t="s">
        <v>35</v>
      </c>
      <c r="F351" s="16" t="s">
        <v>1346</v>
      </c>
      <c r="G351" s="6" t="s">
        <v>37</v>
      </c>
      <c r="H351" s="6" t="s">
        <v>1347</v>
      </c>
    </row>
    <row r="352" ht="12.75" customHeight="1">
      <c r="A352" s="6" t="s">
        <v>1348</v>
      </c>
      <c r="B352" s="6" t="s">
        <v>1341</v>
      </c>
      <c r="C352" s="6" t="s">
        <v>1349</v>
      </c>
      <c r="D352" s="15" t="s">
        <v>35</v>
      </c>
      <c r="E352" s="15" t="s">
        <v>1350</v>
      </c>
      <c r="F352" s="16" t="s">
        <v>1351</v>
      </c>
      <c r="G352" s="6" t="s">
        <v>37</v>
      </c>
      <c r="H352" s="6" t="s">
        <v>1352</v>
      </c>
    </row>
    <row r="353" ht="12.75" customHeight="1">
      <c r="A353" s="6" t="s">
        <v>1353</v>
      </c>
      <c r="B353" s="6" t="s">
        <v>1341</v>
      </c>
      <c r="C353" s="6" t="s">
        <v>221</v>
      </c>
      <c r="D353" s="15" t="s">
        <v>222</v>
      </c>
      <c r="E353" s="15" t="s">
        <v>35</v>
      </c>
      <c r="F353" s="16" t="s">
        <v>1354</v>
      </c>
      <c r="G353" s="6" t="s">
        <v>37</v>
      </c>
      <c r="H353" s="6" t="s">
        <v>1355</v>
      </c>
    </row>
    <row r="354" ht="12.75" customHeight="1">
      <c r="A354" s="6" t="s">
        <v>1356</v>
      </c>
      <c r="B354" s="6" t="s">
        <v>1341</v>
      </c>
      <c r="C354" s="6" t="s">
        <v>303</v>
      </c>
      <c r="D354" s="15" t="s">
        <v>1357</v>
      </c>
      <c r="E354" s="15" t="s">
        <v>35</v>
      </c>
      <c r="F354" s="16" t="s">
        <v>1358</v>
      </c>
      <c r="G354" s="6" t="s">
        <v>37</v>
      </c>
      <c r="H354" s="6" t="s">
        <v>1359</v>
      </c>
    </row>
    <row r="355" ht="12.75" customHeight="1">
      <c r="A355" s="6" t="s">
        <v>1360</v>
      </c>
      <c r="B355" s="6" t="s">
        <v>1341</v>
      </c>
      <c r="C355" s="6" t="s">
        <v>96</v>
      </c>
      <c r="D355" s="15" t="s">
        <v>35</v>
      </c>
      <c r="E355" s="15" t="s">
        <v>490</v>
      </c>
      <c r="F355" s="16" t="s">
        <v>1361</v>
      </c>
      <c r="G355" s="6" t="s">
        <v>37</v>
      </c>
      <c r="H355" s="6" t="s">
        <v>1362</v>
      </c>
    </row>
    <row r="356" ht="12.75" customHeight="1">
      <c r="A356" s="6" t="s">
        <v>1363</v>
      </c>
      <c r="B356" s="6" t="s">
        <v>1341</v>
      </c>
      <c r="C356" s="6" t="s">
        <v>221</v>
      </c>
      <c r="D356" s="15" t="s">
        <v>222</v>
      </c>
      <c r="E356" s="15" t="s">
        <v>35</v>
      </c>
      <c r="F356" s="16" t="s">
        <v>1364</v>
      </c>
      <c r="G356" s="6" t="s">
        <v>37</v>
      </c>
      <c r="H356" s="6" t="s">
        <v>1365</v>
      </c>
    </row>
    <row r="357" ht="12.75" customHeight="1">
      <c r="A357" s="6" t="s">
        <v>1366</v>
      </c>
      <c r="B357" s="6" t="s">
        <v>1367</v>
      </c>
      <c r="C357" s="6" t="s">
        <v>33</v>
      </c>
      <c r="D357" s="15" t="s">
        <v>50</v>
      </c>
      <c r="E357" s="15" t="s">
        <v>35</v>
      </c>
      <c r="F357" s="16" t="s">
        <v>1368</v>
      </c>
      <c r="G357" s="6" t="s">
        <v>37</v>
      </c>
      <c r="H357" s="6" t="s">
        <v>1369</v>
      </c>
    </row>
    <row r="358" ht="12.75" customHeight="1">
      <c r="A358" s="6" t="s">
        <v>1370</v>
      </c>
      <c r="B358" s="6" t="s">
        <v>1367</v>
      </c>
      <c r="C358" s="6" t="s">
        <v>168</v>
      </c>
      <c r="D358" s="15" t="s">
        <v>35</v>
      </c>
      <c r="E358" s="15" t="s">
        <v>65</v>
      </c>
      <c r="F358" s="16" t="s">
        <v>1371</v>
      </c>
      <c r="G358" s="6" t="s">
        <v>37</v>
      </c>
      <c r="H358" s="6" t="s">
        <v>1372</v>
      </c>
    </row>
    <row r="359" ht="12.75" customHeight="1">
      <c r="A359" s="6" t="s">
        <v>1373</v>
      </c>
      <c r="B359" s="6" t="s">
        <v>1367</v>
      </c>
      <c r="C359" s="6" t="s">
        <v>87</v>
      </c>
      <c r="D359" s="15" t="s">
        <v>1374</v>
      </c>
      <c r="E359" s="15" t="s">
        <v>35</v>
      </c>
      <c r="F359" s="16" t="s">
        <v>1375</v>
      </c>
      <c r="G359" s="6" t="s">
        <v>37</v>
      </c>
      <c r="H359" s="6" t="s">
        <v>1376</v>
      </c>
    </row>
    <row r="360" ht="12.75" customHeight="1">
      <c r="A360" s="6" t="s">
        <v>1377</v>
      </c>
      <c r="B360" s="6" t="s">
        <v>1367</v>
      </c>
      <c r="C360" s="6" t="s">
        <v>581</v>
      </c>
      <c r="D360" s="15" t="s">
        <v>71</v>
      </c>
      <c r="E360" s="15" t="s">
        <v>35</v>
      </c>
      <c r="F360" s="16" t="s">
        <v>1378</v>
      </c>
      <c r="G360" s="6" t="s">
        <v>37</v>
      </c>
      <c r="H360" s="6" t="s">
        <v>1379</v>
      </c>
    </row>
    <row r="361" ht="12.75" customHeight="1">
      <c r="A361" s="6" t="s">
        <v>1380</v>
      </c>
      <c r="B361" s="6" t="s">
        <v>1367</v>
      </c>
      <c r="C361" s="6" t="s">
        <v>434</v>
      </c>
      <c r="D361" s="15" t="s">
        <v>97</v>
      </c>
      <c r="E361" s="15" t="s">
        <v>35</v>
      </c>
      <c r="F361" s="16" t="s">
        <v>1381</v>
      </c>
      <c r="G361" s="6" t="s">
        <v>37</v>
      </c>
      <c r="H361" s="6" t="s">
        <v>1382</v>
      </c>
    </row>
    <row r="362" ht="12.75" customHeight="1">
      <c r="A362" s="6" t="s">
        <v>1383</v>
      </c>
      <c r="B362" s="6" t="s">
        <v>1367</v>
      </c>
      <c r="C362" s="6" t="s">
        <v>45</v>
      </c>
      <c r="D362" s="15" t="s">
        <v>119</v>
      </c>
      <c r="E362" s="15" t="s">
        <v>35</v>
      </c>
      <c r="F362" s="16" t="s">
        <v>1384</v>
      </c>
      <c r="G362" s="6" t="s">
        <v>37</v>
      </c>
      <c r="H362" s="6" t="s">
        <v>1385</v>
      </c>
    </row>
    <row r="363" ht="12.75" customHeight="1">
      <c r="A363" s="6" t="s">
        <v>1386</v>
      </c>
      <c r="B363" s="6" t="s">
        <v>1387</v>
      </c>
      <c r="C363" s="6" t="s">
        <v>1388</v>
      </c>
      <c r="D363" s="15" t="s">
        <v>34</v>
      </c>
      <c r="E363" s="15" t="s">
        <v>35</v>
      </c>
      <c r="F363" s="16" t="s">
        <v>1389</v>
      </c>
      <c r="G363" s="6" t="s">
        <v>37</v>
      </c>
      <c r="H363" s="6" t="s">
        <v>1390</v>
      </c>
    </row>
    <row r="364" ht="12.75" customHeight="1">
      <c r="A364" s="6" t="s">
        <v>1391</v>
      </c>
      <c r="B364" s="6" t="s">
        <v>1387</v>
      </c>
      <c r="C364" s="6" t="s">
        <v>33</v>
      </c>
      <c r="D364" s="15" t="s">
        <v>50</v>
      </c>
      <c r="E364" s="15" t="s">
        <v>35</v>
      </c>
      <c r="F364" s="16" t="s">
        <v>1392</v>
      </c>
      <c r="G364" s="6" t="s">
        <v>37</v>
      </c>
      <c r="H364" s="6" t="s">
        <v>1393</v>
      </c>
    </row>
    <row r="365" ht="12.75" customHeight="1">
      <c r="A365" s="6" t="s">
        <v>1394</v>
      </c>
      <c r="B365" s="6" t="s">
        <v>1395</v>
      </c>
      <c r="C365" s="6" t="s">
        <v>434</v>
      </c>
      <c r="D365" s="15" t="s">
        <v>953</v>
      </c>
      <c r="E365" s="15" t="s">
        <v>35</v>
      </c>
      <c r="F365" s="16" t="s">
        <v>1396</v>
      </c>
      <c r="G365" s="6" t="s">
        <v>37</v>
      </c>
      <c r="H365" s="6" t="s">
        <v>1397</v>
      </c>
    </row>
    <row r="366" ht="12.75" customHeight="1">
      <c r="A366" s="6" t="s">
        <v>1398</v>
      </c>
      <c r="B366" s="6" t="s">
        <v>1395</v>
      </c>
      <c r="C366" s="6" t="s">
        <v>1399</v>
      </c>
      <c r="D366" s="15" t="s">
        <v>55</v>
      </c>
      <c r="E366" s="15" t="s">
        <v>35</v>
      </c>
      <c r="F366" s="16" t="s">
        <v>1400</v>
      </c>
      <c r="G366" s="6" t="s">
        <v>37</v>
      </c>
      <c r="H366" s="6" t="s">
        <v>1401</v>
      </c>
    </row>
    <row r="367" ht="12.75" customHeight="1">
      <c r="A367" s="6" t="s">
        <v>1402</v>
      </c>
      <c r="B367" s="6" t="s">
        <v>1403</v>
      </c>
      <c r="C367" s="6" t="s">
        <v>106</v>
      </c>
      <c r="D367" s="15" t="s">
        <v>34</v>
      </c>
      <c r="E367" s="15" t="s">
        <v>35</v>
      </c>
      <c r="F367" s="16" t="s">
        <v>1404</v>
      </c>
      <c r="G367" s="6" t="s">
        <v>37</v>
      </c>
      <c r="H367" s="6" t="s">
        <v>1405</v>
      </c>
    </row>
    <row r="368" ht="12.75" customHeight="1">
      <c r="A368" s="6" t="s">
        <v>1406</v>
      </c>
      <c r="B368" s="6" t="s">
        <v>1403</v>
      </c>
      <c r="C368" s="6" t="s">
        <v>1407</v>
      </c>
      <c r="D368" s="15" t="s">
        <v>50</v>
      </c>
      <c r="E368" s="15" t="s">
        <v>35</v>
      </c>
      <c r="F368" s="16" t="s">
        <v>1408</v>
      </c>
      <c r="G368" s="6" t="s">
        <v>37</v>
      </c>
      <c r="H368" s="6" t="s">
        <v>1409</v>
      </c>
    </row>
    <row r="369" ht="12.75" customHeight="1">
      <c r="A369" s="6" t="s">
        <v>1410</v>
      </c>
      <c r="B369" s="6" t="s">
        <v>1403</v>
      </c>
      <c r="C369" s="6" t="s">
        <v>1411</v>
      </c>
      <c r="D369" s="15" t="s">
        <v>1412</v>
      </c>
      <c r="E369" s="15" t="s">
        <v>35</v>
      </c>
      <c r="F369" s="16" t="s">
        <v>1413</v>
      </c>
      <c r="G369" s="6" t="s">
        <v>37</v>
      </c>
      <c r="H369" s="6" t="s">
        <v>1414</v>
      </c>
    </row>
    <row r="370" ht="12.75" customHeight="1">
      <c r="A370" s="6" t="s">
        <v>1415</v>
      </c>
      <c r="B370" s="6" t="s">
        <v>1403</v>
      </c>
      <c r="C370" s="6" t="s">
        <v>1416</v>
      </c>
      <c r="D370" s="15" t="s">
        <v>34</v>
      </c>
      <c r="E370" s="15" t="s">
        <v>35</v>
      </c>
      <c r="F370" s="16" t="s">
        <v>1417</v>
      </c>
      <c r="G370" s="6" t="s">
        <v>37</v>
      </c>
      <c r="H370" s="6" t="s">
        <v>1418</v>
      </c>
    </row>
    <row r="371" ht="12.75" customHeight="1">
      <c r="A371" s="6" t="s">
        <v>1419</v>
      </c>
      <c r="B371" s="6" t="s">
        <v>1403</v>
      </c>
      <c r="C371" s="6" t="s">
        <v>45</v>
      </c>
      <c r="D371" s="15" t="s">
        <v>460</v>
      </c>
      <c r="E371" s="15" t="s">
        <v>35</v>
      </c>
      <c r="F371" s="16" t="s">
        <v>1420</v>
      </c>
      <c r="G371" s="6" t="s">
        <v>37</v>
      </c>
      <c r="H371" s="6" t="s">
        <v>1421</v>
      </c>
    </row>
    <row r="372" ht="12.75" customHeight="1">
      <c r="A372" s="6" t="s">
        <v>1422</v>
      </c>
      <c r="B372" s="6" t="s">
        <v>1403</v>
      </c>
      <c r="C372" s="6" t="s">
        <v>148</v>
      </c>
      <c r="D372" s="15" t="s">
        <v>1197</v>
      </c>
      <c r="E372" s="15" t="s">
        <v>35</v>
      </c>
      <c r="F372" s="16" t="s">
        <v>1423</v>
      </c>
      <c r="G372" s="6" t="s">
        <v>37</v>
      </c>
      <c r="H372" s="6" t="s">
        <v>1424</v>
      </c>
    </row>
    <row r="373" ht="12.75" customHeight="1">
      <c r="A373" s="6" t="s">
        <v>1425</v>
      </c>
      <c r="B373" s="6" t="s">
        <v>1403</v>
      </c>
      <c r="C373" s="6" t="s">
        <v>106</v>
      </c>
      <c r="D373" s="15" t="s">
        <v>754</v>
      </c>
      <c r="E373" s="15" t="s">
        <v>35</v>
      </c>
      <c r="F373" s="16" t="s">
        <v>1426</v>
      </c>
      <c r="G373" s="6" t="s">
        <v>37</v>
      </c>
      <c r="H373" s="6" t="s">
        <v>1427</v>
      </c>
    </row>
    <row r="374" ht="12.75" customHeight="1">
      <c r="A374" s="6" t="s">
        <v>1428</v>
      </c>
      <c r="B374" s="6" t="s">
        <v>1403</v>
      </c>
      <c r="C374" s="6" t="s">
        <v>1429</v>
      </c>
      <c r="D374" s="15" t="s">
        <v>35</v>
      </c>
      <c r="E374" s="15" t="s">
        <v>46</v>
      </c>
      <c r="F374" s="16" t="s">
        <v>1430</v>
      </c>
      <c r="G374" s="6" t="s">
        <v>37</v>
      </c>
      <c r="H374" s="6" t="s">
        <v>1431</v>
      </c>
    </row>
    <row r="375" ht="12.75" customHeight="1">
      <c r="A375" s="6" t="s">
        <v>1432</v>
      </c>
      <c r="B375" s="6" t="s">
        <v>1403</v>
      </c>
      <c r="C375" s="6" t="s">
        <v>1433</v>
      </c>
      <c r="D375" s="15" t="s">
        <v>1434</v>
      </c>
      <c r="E375" s="15" t="s">
        <v>35</v>
      </c>
      <c r="F375" s="16" t="s">
        <v>1435</v>
      </c>
      <c r="G375" s="6" t="s">
        <v>37</v>
      </c>
      <c r="H375" s="6" t="s">
        <v>1436</v>
      </c>
    </row>
    <row r="376" ht="12.75" customHeight="1">
      <c r="A376" s="6" t="s">
        <v>1437</v>
      </c>
      <c r="B376" s="6" t="s">
        <v>1403</v>
      </c>
      <c r="C376" s="6" t="s">
        <v>45</v>
      </c>
      <c r="D376" s="15" t="s">
        <v>726</v>
      </c>
      <c r="E376" s="15" t="s">
        <v>35</v>
      </c>
      <c r="F376" s="16" t="s">
        <v>1438</v>
      </c>
      <c r="G376" s="6" t="s">
        <v>37</v>
      </c>
      <c r="H376" s="6" t="s">
        <v>1439</v>
      </c>
    </row>
    <row r="377" ht="12.75" customHeight="1">
      <c r="A377" s="6" t="s">
        <v>1440</v>
      </c>
      <c r="B377" s="6" t="s">
        <v>1441</v>
      </c>
      <c r="C377" s="6" t="s">
        <v>1442</v>
      </c>
      <c r="D377" s="15" t="s">
        <v>502</v>
      </c>
      <c r="E377" s="15" t="s">
        <v>35</v>
      </c>
      <c r="F377" s="16" t="s">
        <v>1443</v>
      </c>
      <c r="G377" s="6" t="s">
        <v>37</v>
      </c>
      <c r="H377" s="6" t="s">
        <v>1444</v>
      </c>
    </row>
    <row r="378" ht="12.75" customHeight="1">
      <c r="A378" s="6" t="s">
        <v>1445</v>
      </c>
      <c r="B378" s="6" t="s">
        <v>1441</v>
      </c>
      <c r="C378" s="6" t="s">
        <v>45</v>
      </c>
      <c r="D378" s="15" t="s">
        <v>568</v>
      </c>
      <c r="E378" s="15" t="s">
        <v>35</v>
      </c>
      <c r="F378" s="16" t="s">
        <v>1446</v>
      </c>
      <c r="G378" s="6" t="s">
        <v>37</v>
      </c>
      <c r="H378" s="6" t="s">
        <v>1447</v>
      </c>
    </row>
    <row r="379" ht="12.75" customHeight="1">
      <c r="A379" s="6" t="s">
        <v>1448</v>
      </c>
      <c r="B379" s="6" t="s">
        <v>1441</v>
      </c>
      <c r="C379" s="6" t="s">
        <v>87</v>
      </c>
      <c r="D379" s="15" t="s">
        <v>123</v>
      </c>
      <c r="E379" s="15" t="s">
        <v>35</v>
      </c>
      <c r="F379" s="16" t="s">
        <v>1449</v>
      </c>
      <c r="G379" s="6" t="s">
        <v>37</v>
      </c>
      <c r="H379" s="6" t="s">
        <v>1450</v>
      </c>
    </row>
    <row r="380" ht="12.75" customHeight="1">
      <c r="A380" s="6" t="s">
        <v>1451</v>
      </c>
      <c r="B380" s="6" t="s">
        <v>1441</v>
      </c>
      <c r="C380" s="6" t="s">
        <v>45</v>
      </c>
      <c r="D380" s="15" t="s">
        <v>754</v>
      </c>
      <c r="E380" s="15" t="s">
        <v>35</v>
      </c>
      <c r="F380" s="16" t="s">
        <v>1452</v>
      </c>
      <c r="G380" s="6" t="s">
        <v>37</v>
      </c>
      <c r="H380" s="6" t="s">
        <v>1453</v>
      </c>
    </row>
    <row r="381" ht="12.75" customHeight="1">
      <c r="A381" s="6" t="s">
        <v>1454</v>
      </c>
      <c r="B381" s="6" t="s">
        <v>1441</v>
      </c>
      <c r="C381" s="6" t="s">
        <v>1455</v>
      </c>
      <c r="D381" s="15" t="s">
        <v>35</v>
      </c>
      <c r="E381" s="15" t="s">
        <v>65</v>
      </c>
      <c r="F381" s="16" t="s">
        <v>1456</v>
      </c>
      <c r="G381" s="6" t="s">
        <v>37</v>
      </c>
      <c r="H381" s="6" t="s">
        <v>1457</v>
      </c>
    </row>
    <row r="382" ht="12.75" customHeight="1">
      <c r="A382" s="6" t="s">
        <v>1458</v>
      </c>
      <c r="B382" s="6" t="s">
        <v>1441</v>
      </c>
      <c r="C382" s="6" t="s">
        <v>1459</v>
      </c>
      <c r="D382" s="15" t="s">
        <v>35</v>
      </c>
      <c r="E382" s="15" t="s">
        <v>123</v>
      </c>
      <c r="F382" s="16" t="s">
        <v>1460</v>
      </c>
      <c r="G382" s="6" t="s">
        <v>37</v>
      </c>
      <c r="H382" s="6" t="s">
        <v>1461</v>
      </c>
    </row>
    <row r="383" ht="12.75" customHeight="1">
      <c r="A383" s="6" t="s">
        <v>1462</v>
      </c>
      <c r="B383" s="6" t="s">
        <v>1441</v>
      </c>
      <c r="C383" s="6" t="s">
        <v>45</v>
      </c>
      <c r="D383" s="15" t="s">
        <v>299</v>
      </c>
      <c r="E383" s="15" t="s">
        <v>35</v>
      </c>
      <c r="F383" s="16" t="s">
        <v>1463</v>
      </c>
      <c r="G383" s="6" t="s">
        <v>37</v>
      </c>
      <c r="H383" s="6" t="s">
        <v>1464</v>
      </c>
    </row>
    <row r="384" ht="12.75" customHeight="1">
      <c r="A384" s="6" t="s">
        <v>1465</v>
      </c>
      <c r="B384" s="6" t="s">
        <v>1441</v>
      </c>
      <c r="C384" s="6" t="s">
        <v>33</v>
      </c>
      <c r="D384" s="15" t="s">
        <v>50</v>
      </c>
      <c r="E384" s="15" t="s">
        <v>35</v>
      </c>
      <c r="F384" s="16" t="s">
        <v>1466</v>
      </c>
      <c r="G384" s="6" t="s">
        <v>37</v>
      </c>
      <c r="H384" s="6" t="s">
        <v>1467</v>
      </c>
    </row>
    <row r="385" ht="12.75" customHeight="1">
      <c r="A385" s="6" t="s">
        <v>1468</v>
      </c>
      <c r="B385" s="6" t="s">
        <v>1469</v>
      </c>
      <c r="C385" s="6" t="s">
        <v>438</v>
      </c>
      <c r="D385" s="15" t="s">
        <v>1470</v>
      </c>
      <c r="E385" s="15" t="s">
        <v>35</v>
      </c>
      <c r="F385" s="16" t="s">
        <v>1471</v>
      </c>
      <c r="G385" s="6" t="s">
        <v>37</v>
      </c>
      <c r="H385" s="6" t="s">
        <v>1472</v>
      </c>
    </row>
    <row r="386" ht="12.75" customHeight="1">
      <c r="A386" s="6" t="s">
        <v>1473</v>
      </c>
      <c r="B386" s="6" t="s">
        <v>1469</v>
      </c>
      <c r="C386" s="6" t="s">
        <v>45</v>
      </c>
      <c r="D386" s="15" t="s">
        <v>41</v>
      </c>
      <c r="E386" s="15" t="s">
        <v>35</v>
      </c>
      <c r="F386" s="16" t="s">
        <v>1474</v>
      </c>
      <c r="G386" s="6" t="s">
        <v>37</v>
      </c>
      <c r="H386" s="6" t="s">
        <v>1475</v>
      </c>
    </row>
    <row r="387" ht="12.75" customHeight="1">
      <c r="A387" s="6" t="s">
        <v>1476</v>
      </c>
      <c r="B387" s="6" t="s">
        <v>1469</v>
      </c>
      <c r="C387" s="6" t="s">
        <v>230</v>
      </c>
      <c r="D387" s="15" t="s">
        <v>65</v>
      </c>
      <c r="E387" s="15" t="s">
        <v>35</v>
      </c>
      <c r="F387" s="16" t="s">
        <v>1477</v>
      </c>
      <c r="G387" s="6" t="s">
        <v>37</v>
      </c>
      <c r="H387" s="6" t="s">
        <v>1478</v>
      </c>
    </row>
    <row r="388" ht="12.75" customHeight="1">
      <c r="A388" s="6" t="s">
        <v>1479</v>
      </c>
      <c r="B388" s="6" t="s">
        <v>1469</v>
      </c>
      <c r="C388" s="6" t="s">
        <v>1303</v>
      </c>
      <c r="D388" s="15" t="s">
        <v>189</v>
      </c>
      <c r="E388" s="15" t="s">
        <v>35</v>
      </c>
      <c r="F388" s="16" t="s">
        <v>1480</v>
      </c>
      <c r="G388" s="6" t="s">
        <v>37</v>
      </c>
      <c r="H388" s="6" t="s">
        <v>1481</v>
      </c>
    </row>
    <row r="389" ht="12.75" customHeight="1">
      <c r="A389" s="6" t="s">
        <v>1482</v>
      </c>
      <c r="B389" s="6" t="s">
        <v>1469</v>
      </c>
      <c r="C389" s="6" t="s">
        <v>45</v>
      </c>
      <c r="D389" s="15" t="s">
        <v>507</v>
      </c>
      <c r="E389" s="15" t="s">
        <v>35</v>
      </c>
      <c r="F389" s="16" t="s">
        <v>1483</v>
      </c>
      <c r="G389" s="6" t="s">
        <v>37</v>
      </c>
      <c r="H389" s="6" t="s">
        <v>1484</v>
      </c>
    </row>
    <row r="390" ht="12.75" customHeight="1">
      <c r="A390" s="6" t="s">
        <v>1485</v>
      </c>
      <c r="B390" s="6" t="s">
        <v>1486</v>
      </c>
      <c r="C390" s="6" t="s">
        <v>45</v>
      </c>
      <c r="D390" s="15" t="s">
        <v>971</v>
      </c>
      <c r="E390" s="15" t="s">
        <v>35</v>
      </c>
      <c r="F390" s="16" t="s">
        <v>1487</v>
      </c>
      <c r="G390" s="6" t="s">
        <v>37</v>
      </c>
      <c r="H390" s="6" t="s">
        <v>1488</v>
      </c>
    </row>
    <row r="391" ht="12.75" customHeight="1">
      <c r="A391" s="6" t="s">
        <v>1489</v>
      </c>
      <c r="B391" s="6" t="s">
        <v>1486</v>
      </c>
      <c r="C391" s="6" t="s">
        <v>168</v>
      </c>
      <c r="D391" s="15" t="s">
        <v>35</v>
      </c>
      <c r="E391" s="15" t="s">
        <v>953</v>
      </c>
      <c r="F391" s="16" t="s">
        <v>1490</v>
      </c>
      <c r="G391" s="6" t="s">
        <v>37</v>
      </c>
      <c r="H391" s="6" t="s">
        <v>1491</v>
      </c>
    </row>
    <row r="392" ht="12.75" customHeight="1">
      <c r="A392" s="6" t="s">
        <v>1492</v>
      </c>
      <c r="B392" s="6" t="s">
        <v>1486</v>
      </c>
      <c r="C392" s="6" t="s">
        <v>92</v>
      </c>
      <c r="D392" s="15" t="s">
        <v>41</v>
      </c>
      <c r="E392" s="15" t="s">
        <v>35</v>
      </c>
      <c r="F392" s="16" t="s">
        <v>1493</v>
      </c>
      <c r="G392" s="6" t="s">
        <v>37</v>
      </c>
      <c r="H392" s="6" t="s">
        <v>1494</v>
      </c>
    </row>
    <row r="393" ht="12.75" customHeight="1">
      <c r="A393" s="6" t="s">
        <v>1495</v>
      </c>
      <c r="B393" s="6" t="s">
        <v>1486</v>
      </c>
      <c r="C393" s="6" t="s">
        <v>1496</v>
      </c>
      <c r="D393" s="15" t="s">
        <v>50</v>
      </c>
      <c r="E393" s="15" t="s">
        <v>35</v>
      </c>
      <c r="F393" s="16" t="s">
        <v>1497</v>
      </c>
      <c r="G393" s="6" t="s">
        <v>37</v>
      </c>
      <c r="H393" s="6" t="s">
        <v>1498</v>
      </c>
    </row>
    <row r="394" ht="12.75" customHeight="1">
      <c r="A394" s="6" t="s">
        <v>1499</v>
      </c>
      <c r="B394" s="6" t="s">
        <v>1486</v>
      </c>
      <c r="C394" s="6" t="s">
        <v>106</v>
      </c>
      <c r="D394" s="15" t="s">
        <v>34</v>
      </c>
      <c r="E394" s="15" t="s">
        <v>35</v>
      </c>
      <c r="F394" s="16" t="s">
        <v>1500</v>
      </c>
      <c r="G394" s="6" t="s">
        <v>37</v>
      </c>
      <c r="H394" s="6" t="s">
        <v>1501</v>
      </c>
    </row>
    <row r="395" ht="12.75" customHeight="1">
      <c r="A395" s="6" t="s">
        <v>1502</v>
      </c>
      <c r="B395" s="6" t="s">
        <v>1486</v>
      </c>
      <c r="C395" s="6" t="s">
        <v>45</v>
      </c>
      <c r="D395" s="15" t="s">
        <v>50</v>
      </c>
      <c r="E395" s="15" t="s">
        <v>35</v>
      </c>
      <c r="F395" s="16" t="s">
        <v>1503</v>
      </c>
      <c r="G395" s="6" t="s">
        <v>37</v>
      </c>
      <c r="H395" s="6" t="s">
        <v>1504</v>
      </c>
    </row>
    <row r="396" ht="12.75" customHeight="1">
      <c r="A396" s="6" t="s">
        <v>1505</v>
      </c>
      <c r="B396" s="6" t="s">
        <v>1506</v>
      </c>
      <c r="C396" s="6" t="s">
        <v>92</v>
      </c>
      <c r="D396" s="15" t="s">
        <v>34</v>
      </c>
      <c r="E396" s="15" t="s">
        <v>35</v>
      </c>
      <c r="F396" s="16" t="s">
        <v>1507</v>
      </c>
      <c r="G396" s="6" t="s">
        <v>37</v>
      </c>
      <c r="H396" s="6" t="s">
        <v>1508</v>
      </c>
    </row>
    <row r="397" ht="12.75" customHeight="1">
      <c r="A397" s="6" t="s">
        <v>1509</v>
      </c>
      <c r="B397" s="6" t="s">
        <v>1506</v>
      </c>
      <c r="C397" s="6" t="s">
        <v>1510</v>
      </c>
      <c r="D397" s="15" t="s">
        <v>35</v>
      </c>
      <c r="E397" s="15" t="s">
        <v>1511</v>
      </c>
      <c r="F397" s="16" t="s">
        <v>1512</v>
      </c>
      <c r="G397" s="6" t="s">
        <v>37</v>
      </c>
      <c r="H397" s="6" t="s">
        <v>1513</v>
      </c>
    </row>
    <row r="398" ht="12.75" customHeight="1">
      <c r="A398" s="6" t="s">
        <v>1514</v>
      </c>
      <c r="B398" s="6" t="s">
        <v>1506</v>
      </c>
      <c r="C398" s="6" t="s">
        <v>221</v>
      </c>
      <c r="D398" s="15" t="s">
        <v>222</v>
      </c>
      <c r="E398" s="15" t="s">
        <v>35</v>
      </c>
      <c r="F398" s="16" t="s">
        <v>1515</v>
      </c>
      <c r="G398" s="6" t="s">
        <v>37</v>
      </c>
      <c r="H398" s="6" t="s">
        <v>1516</v>
      </c>
    </row>
    <row r="399" ht="12.75" customHeight="1">
      <c r="A399" s="6" t="s">
        <v>1517</v>
      </c>
      <c r="B399" s="6" t="s">
        <v>1506</v>
      </c>
      <c r="C399" s="6" t="s">
        <v>1518</v>
      </c>
      <c r="D399" s="15" t="s">
        <v>1374</v>
      </c>
      <c r="E399" s="15" t="s">
        <v>35</v>
      </c>
      <c r="F399" s="16" t="s">
        <v>1519</v>
      </c>
      <c r="G399" s="6" t="s">
        <v>37</v>
      </c>
      <c r="H399" s="6" t="s">
        <v>1520</v>
      </c>
    </row>
    <row r="400" ht="12.75" customHeight="1">
      <c r="A400" s="6" t="s">
        <v>1521</v>
      </c>
      <c r="B400" s="6" t="s">
        <v>1506</v>
      </c>
      <c r="C400" s="6" t="s">
        <v>45</v>
      </c>
      <c r="D400" s="15" t="s">
        <v>685</v>
      </c>
      <c r="E400" s="15" t="s">
        <v>35</v>
      </c>
      <c r="F400" s="16" t="s">
        <v>1522</v>
      </c>
      <c r="G400" s="6" t="s">
        <v>37</v>
      </c>
      <c r="H400" s="6" t="s">
        <v>1523</v>
      </c>
    </row>
    <row r="401" ht="12.75" customHeight="1">
      <c r="A401" s="6" t="s">
        <v>1524</v>
      </c>
      <c r="B401" s="6" t="s">
        <v>1506</v>
      </c>
      <c r="C401" s="6" t="s">
        <v>230</v>
      </c>
      <c r="D401" s="15" t="s">
        <v>65</v>
      </c>
      <c r="E401" s="15" t="s">
        <v>35</v>
      </c>
      <c r="F401" s="16" t="s">
        <v>1525</v>
      </c>
      <c r="G401" s="6" t="s">
        <v>37</v>
      </c>
      <c r="H401" s="6" t="s">
        <v>1526</v>
      </c>
    </row>
    <row r="402" ht="12.75" customHeight="1">
      <c r="A402" s="6" t="s">
        <v>1527</v>
      </c>
      <c r="B402" s="6" t="s">
        <v>1506</v>
      </c>
      <c r="C402" s="6" t="s">
        <v>470</v>
      </c>
      <c r="D402" s="15" t="s">
        <v>46</v>
      </c>
      <c r="E402" s="15" t="s">
        <v>35</v>
      </c>
      <c r="F402" s="16" t="s">
        <v>1528</v>
      </c>
      <c r="G402" s="6" t="s">
        <v>37</v>
      </c>
      <c r="H402" s="6" t="s">
        <v>1529</v>
      </c>
    </row>
    <row r="403" ht="12.75" customHeight="1">
      <c r="A403" s="6" t="s">
        <v>1530</v>
      </c>
      <c r="B403" s="6" t="s">
        <v>1506</v>
      </c>
      <c r="C403" s="6" t="s">
        <v>204</v>
      </c>
      <c r="D403" s="15" t="s">
        <v>443</v>
      </c>
      <c r="E403" s="15" t="s">
        <v>35</v>
      </c>
      <c r="F403" s="16" t="s">
        <v>1531</v>
      </c>
      <c r="G403" s="6" t="s">
        <v>37</v>
      </c>
      <c r="H403" s="6" t="s">
        <v>1532</v>
      </c>
    </row>
    <row r="404" ht="12.75" customHeight="1">
      <c r="A404" s="6" t="s">
        <v>1533</v>
      </c>
      <c r="B404" s="6" t="s">
        <v>1506</v>
      </c>
      <c r="C404" s="6" t="s">
        <v>230</v>
      </c>
      <c r="D404" s="15" t="s">
        <v>71</v>
      </c>
      <c r="E404" s="15" t="s">
        <v>35</v>
      </c>
      <c r="F404" s="16" t="s">
        <v>1534</v>
      </c>
      <c r="G404" s="6" t="s">
        <v>37</v>
      </c>
      <c r="H404" s="6" t="s">
        <v>1535</v>
      </c>
    </row>
    <row r="405" ht="12.75" customHeight="1">
      <c r="A405" s="6" t="s">
        <v>1536</v>
      </c>
      <c r="B405" s="6" t="s">
        <v>1506</v>
      </c>
      <c r="C405" s="6" t="s">
        <v>70</v>
      </c>
      <c r="D405" s="15" t="s">
        <v>189</v>
      </c>
      <c r="E405" s="15" t="s">
        <v>35</v>
      </c>
      <c r="F405" s="16" t="s">
        <v>1537</v>
      </c>
      <c r="G405" s="6" t="s">
        <v>37</v>
      </c>
      <c r="H405" s="6" t="s">
        <v>1538</v>
      </c>
    </row>
    <row r="406" ht="12.75" customHeight="1">
      <c r="A406" s="6" t="s">
        <v>1539</v>
      </c>
      <c r="B406" s="6" t="s">
        <v>1506</v>
      </c>
      <c r="C406" s="6" t="s">
        <v>96</v>
      </c>
      <c r="D406" s="15" t="s">
        <v>35</v>
      </c>
      <c r="E406" s="15" t="s">
        <v>97</v>
      </c>
      <c r="F406" s="16" t="s">
        <v>1540</v>
      </c>
      <c r="G406" s="6" t="s">
        <v>37</v>
      </c>
      <c r="H406" s="6" t="s">
        <v>1541</v>
      </c>
    </row>
    <row r="407" ht="12.75" customHeight="1">
      <c r="A407" s="6" t="s">
        <v>1542</v>
      </c>
      <c r="B407" s="6" t="s">
        <v>1506</v>
      </c>
      <c r="C407" s="6" t="s">
        <v>250</v>
      </c>
      <c r="D407" s="15" t="s">
        <v>183</v>
      </c>
      <c r="E407" s="15" t="s">
        <v>35</v>
      </c>
      <c r="F407" s="16" t="s">
        <v>1543</v>
      </c>
      <c r="G407" s="6" t="s">
        <v>37</v>
      </c>
      <c r="H407" s="6" t="s">
        <v>1544</v>
      </c>
    </row>
    <row r="408" ht="12.75" customHeight="1">
      <c r="A408" s="6" t="s">
        <v>1545</v>
      </c>
      <c r="B408" s="6" t="s">
        <v>1506</v>
      </c>
      <c r="C408" s="6" t="s">
        <v>1546</v>
      </c>
      <c r="D408" s="15" t="s">
        <v>35</v>
      </c>
      <c r="E408" s="15" t="s">
        <v>189</v>
      </c>
      <c r="F408" s="16" t="s">
        <v>1547</v>
      </c>
      <c r="G408" s="6" t="s">
        <v>37</v>
      </c>
      <c r="H408" s="6" t="s">
        <v>1548</v>
      </c>
    </row>
    <row r="409" ht="12.75" customHeight="1">
      <c r="A409" s="6" t="s">
        <v>1549</v>
      </c>
      <c r="B409" s="6" t="s">
        <v>1506</v>
      </c>
      <c r="C409" s="6" t="s">
        <v>70</v>
      </c>
      <c r="D409" s="15" t="s">
        <v>189</v>
      </c>
      <c r="E409" s="15" t="s">
        <v>35</v>
      </c>
      <c r="F409" s="16" t="s">
        <v>1543</v>
      </c>
      <c r="G409" s="6" t="s">
        <v>37</v>
      </c>
      <c r="H409" s="6" t="s">
        <v>1550</v>
      </c>
    </row>
    <row r="410" ht="12.75" customHeight="1">
      <c r="A410" s="6" t="s">
        <v>1551</v>
      </c>
      <c r="B410" s="6" t="s">
        <v>1506</v>
      </c>
      <c r="C410" s="6" t="s">
        <v>96</v>
      </c>
      <c r="D410" s="15" t="s">
        <v>35</v>
      </c>
      <c r="E410" s="15" t="s">
        <v>50</v>
      </c>
      <c r="F410" s="16" t="s">
        <v>1552</v>
      </c>
      <c r="G410" s="6" t="s">
        <v>37</v>
      </c>
      <c r="H410" s="6" t="s">
        <v>1553</v>
      </c>
    </row>
    <row r="411" ht="12.75" customHeight="1">
      <c r="A411" s="6" t="s">
        <v>1554</v>
      </c>
      <c r="B411" s="6" t="s">
        <v>1506</v>
      </c>
      <c r="C411" s="6" t="s">
        <v>45</v>
      </c>
      <c r="D411" s="15" t="s">
        <v>351</v>
      </c>
      <c r="E411" s="15" t="s">
        <v>35</v>
      </c>
      <c r="F411" s="16" t="s">
        <v>1555</v>
      </c>
      <c r="G411" s="6" t="s">
        <v>37</v>
      </c>
      <c r="H411" s="6" t="s">
        <v>1556</v>
      </c>
    </row>
    <row r="412" ht="12.75" customHeight="1">
      <c r="A412" s="6" t="s">
        <v>1557</v>
      </c>
      <c r="B412" s="6" t="s">
        <v>1506</v>
      </c>
      <c r="C412" s="6" t="s">
        <v>45</v>
      </c>
      <c r="D412" s="15" t="s">
        <v>299</v>
      </c>
      <c r="E412" s="15" t="s">
        <v>35</v>
      </c>
      <c r="F412" s="16" t="s">
        <v>1558</v>
      </c>
      <c r="G412" s="6" t="s">
        <v>37</v>
      </c>
      <c r="H412" s="6" t="s">
        <v>1559</v>
      </c>
    </row>
    <row r="413" ht="12.75" customHeight="1">
      <c r="A413" s="6" t="s">
        <v>1560</v>
      </c>
      <c r="B413" s="6" t="s">
        <v>1561</v>
      </c>
      <c r="C413" s="6" t="s">
        <v>1429</v>
      </c>
      <c r="D413" s="15" t="s">
        <v>35</v>
      </c>
      <c r="E413" s="15" t="s">
        <v>55</v>
      </c>
      <c r="F413" s="16" t="s">
        <v>1562</v>
      </c>
      <c r="G413" s="6" t="s">
        <v>37</v>
      </c>
      <c r="H413" s="6" t="s">
        <v>1563</v>
      </c>
    </row>
    <row r="414" ht="12.75" customHeight="1">
      <c r="A414" s="6" t="s">
        <v>1564</v>
      </c>
      <c r="B414" s="6" t="s">
        <v>1561</v>
      </c>
      <c r="C414" s="6" t="s">
        <v>106</v>
      </c>
      <c r="D414" s="15" t="s">
        <v>443</v>
      </c>
      <c r="E414" s="15" t="s">
        <v>35</v>
      </c>
      <c r="F414" s="16" t="s">
        <v>1565</v>
      </c>
      <c r="G414" s="6" t="s">
        <v>37</v>
      </c>
      <c r="H414" s="6" t="s">
        <v>1566</v>
      </c>
    </row>
    <row r="415" ht="12.75" customHeight="1">
      <c r="A415" s="6" t="s">
        <v>1567</v>
      </c>
      <c r="B415" s="6" t="s">
        <v>1561</v>
      </c>
      <c r="C415" s="6" t="s">
        <v>938</v>
      </c>
      <c r="D415" s="15" t="s">
        <v>34</v>
      </c>
      <c r="E415" s="15" t="s">
        <v>35</v>
      </c>
      <c r="F415" s="16" t="s">
        <v>1568</v>
      </c>
      <c r="G415" s="6" t="s">
        <v>37</v>
      </c>
      <c r="H415" s="6" t="s">
        <v>1569</v>
      </c>
    </row>
    <row r="416" ht="12.75" customHeight="1">
      <c r="A416" s="6" t="s">
        <v>1570</v>
      </c>
      <c r="B416" s="6" t="s">
        <v>1561</v>
      </c>
      <c r="C416" s="6" t="s">
        <v>1215</v>
      </c>
      <c r="D416" s="15" t="s">
        <v>502</v>
      </c>
      <c r="E416" s="15" t="s">
        <v>35</v>
      </c>
      <c r="F416" s="16" t="s">
        <v>1571</v>
      </c>
      <c r="G416" s="6" t="s">
        <v>37</v>
      </c>
      <c r="H416" s="6" t="s">
        <v>1572</v>
      </c>
    </row>
    <row r="417" ht="12.75" customHeight="1">
      <c r="A417" s="6" t="s">
        <v>1573</v>
      </c>
      <c r="B417" s="6" t="s">
        <v>1561</v>
      </c>
      <c r="C417" s="6" t="s">
        <v>45</v>
      </c>
      <c r="D417" s="15" t="s">
        <v>119</v>
      </c>
      <c r="E417" s="15" t="s">
        <v>35</v>
      </c>
      <c r="F417" s="16" t="s">
        <v>1574</v>
      </c>
      <c r="G417" s="6" t="s">
        <v>37</v>
      </c>
      <c r="H417" s="6" t="s">
        <v>1575</v>
      </c>
    </row>
    <row r="418" ht="12.75" customHeight="1">
      <c r="A418" s="6" t="s">
        <v>1576</v>
      </c>
      <c r="B418" s="6" t="s">
        <v>1577</v>
      </c>
      <c r="C418" s="6" t="s">
        <v>1578</v>
      </c>
      <c r="D418" s="15" t="s">
        <v>35</v>
      </c>
      <c r="E418" s="15" t="s">
        <v>623</v>
      </c>
      <c r="F418" s="16" t="s">
        <v>1579</v>
      </c>
      <c r="G418" s="6" t="s">
        <v>37</v>
      </c>
      <c r="H418" s="6" t="s">
        <v>1580</v>
      </c>
    </row>
    <row r="419" ht="12.75" customHeight="1">
      <c r="A419" s="6" t="s">
        <v>1581</v>
      </c>
      <c r="B419" s="6" t="s">
        <v>1577</v>
      </c>
      <c r="C419" s="6" t="s">
        <v>221</v>
      </c>
      <c r="D419" s="15" t="s">
        <v>222</v>
      </c>
      <c r="E419" s="15" t="s">
        <v>35</v>
      </c>
      <c r="F419" s="16" t="s">
        <v>1582</v>
      </c>
      <c r="G419" s="6" t="s">
        <v>37</v>
      </c>
      <c r="H419" s="6" t="s">
        <v>1583</v>
      </c>
    </row>
    <row r="420" ht="12.75" customHeight="1">
      <c r="A420" s="6" t="s">
        <v>1584</v>
      </c>
      <c r="B420" s="6" t="s">
        <v>1577</v>
      </c>
      <c r="C420" s="6" t="s">
        <v>172</v>
      </c>
      <c r="D420" s="15" t="s">
        <v>34</v>
      </c>
      <c r="E420" s="15" t="s">
        <v>35</v>
      </c>
      <c r="F420" s="16" t="s">
        <v>1585</v>
      </c>
      <c r="G420" s="6" t="s">
        <v>37</v>
      </c>
      <c r="H420" s="6" t="s">
        <v>1586</v>
      </c>
    </row>
    <row r="421" ht="12.75" customHeight="1">
      <c r="A421" s="6" t="s">
        <v>1587</v>
      </c>
      <c r="B421" s="6" t="s">
        <v>1577</v>
      </c>
      <c r="C421" s="6" t="s">
        <v>70</v>
      </c>
      <c r="D421" s="15" t="s">
        <v>65</v>
      </c>
      <c r="E421" s="15" t="s">
        <v>35</v>
      </c>
      <c r="F421" s="16" t="s">
        <v>1588</v>
      </c>
      <c r="G421" s="6" t="s">
        <v>37</v>
      </c>
      <c r="H421" s="6" t="s">
        <v>1589</v>
      </c>
    </row>
    <row r="422" ht="12.75" customHeight="1">
      <c r="A422" s="6" t="s">
        <v>1590</v>
      </c>
      <c r="B422" s="6" t="s">
        <v>1577</v>
      </c>
      <c r="C422" s="6" t="s">
        <v>148</v>
      </c>
      <c r="D422" s="15" t="s">
        <v>50</v>
      </c>
      <c r="E422" s="15" t="s">
        <v>35</v>
      </c>
      <c r="F422" s="16" t="s">
        <v>1591</v>
      </c>
      <c r="G422" s="6" t="s">
        <v>37</v>
      </c>
      <c r="H422" s="6" t="s">
        <v>1592</v>
      </c>
    </row>
    <row r="423" ht="12.75" customHeight="1">
      <c r="A423" s="6" t="s">
        <v>1593</v>
      </c>
      <c r="B423" s="6" t="s">
        <v>1577</v>
      </c>
      <c r="C423" s="6" t="s">
        <v>511</v>
      </c>
      <c r="D423" s="15" t="s">
        <v>123</v>
      </c>
      <c r="E423" s="15" t="s">
        <v>35</v>
      </c>
      <c r="F423" s="16" t="s">
        <v>1594</v>
      </c>
      <c r="G423" s="6" t="s">
        <v>37</v>
      </c>
      <c r="H423" s="6" t="s">
        <v>1595</v>
      </c>
    </row>
    <row r="424" ht="12.75" customHeight="1">
      <c r="A424" s="6" t="s">
        <v>1596</v>
      </c>
      <c r="B424" s="6" t="s">
        <v>1577</v>
      </c>
      <c r="C424" s="6" t="s">
        <v>1120</v>
      </c>
      <c r="D424" s="15" t="s">
        <v>1597</v>
      </c>
      <c r="E424" s="15" t="s">
        <v>35</v>
      </c>
      <c r="F424" s="16" t="s">
        <v>1598</v>
      </c>
      <c r="G424" s="6" t="s">
        <v>37</v>
      </c>
      <c r="H424" s="6" t="s">
        <v>1599</v>
      </c>
    </row>
    <row r="425" ht="12.75" customHeight="1">
      <c r="A425" s="6" t="s">
        <v>1600</v>
      </c>
      <c r="B425" s="6" t="s">
        <v>1577</v>
      </c>
      <c r="C425" s="6" t="s">
        <v>40</v>
      </c>
      <c r="D425" s="15" t="s">
        <v>35</v>
      </c>
      <c r="E425" s="15" t="s">
        <v>41</v>
      </c>
      <c r="F425" s="16" t="s">
        <v>1601</v>
      </c>
      <c r="G425" s="6" t="s">
        <v>37</v>
      </c>
      <c r="H425" s="6" t="s">
        <v>1602</v>
      </c>
    </row>
    <row r="426" ht="12.75" customHeight="1">
      <c r="A426" s="6" t="s">
        <v>1603</v>
      </c>
      <c r="B426" s="6" t="s">
        <v>1577</v>
      </c>
      <c r="C426" s="6" t="s">
        <v>92</v>
      </c>
      <c r="D426" s="15" t="s">
        <v>34</v>
      </c>
      <c r="E426" s="15" t="s">
        <v>35</v>
      </c>
      <c r="F426" s="16" t="s">
        <v>1604</v>
      </c>
      <c r="G426" s="6" t="s">
        <v>37</v>
      </c>
      <c r="H426" s="6" t="s">
        <v>1605</v>
      </c>
    </row>
    <row r="427" ht="12.75" customHeight="1">
      <c r="A427" s="6" t="s">
        <v>1606</v>
      </c>
      <c r="B427" s="6" t="s">
        <v>1577</v>
      </c>
      <c r="C427" s="6" t="s">
        <v>230</v>
      </c>
      <c r="D427" s="15" t="s">
        <v>97</v>
      </c>
      <c r="E427" s="15" t="s">
        <v>35</v>
      </c>
      <c r="F427" s="16" t="s">
        <v>1607</v>
      </c>
      <c r="G427" s="6" t="s">
        <v>37</v>
      </c>
      <c r="H427" s="6" t="s">
        <v>1608</v>
      </c>
    </row>
    <row r="428" ht="12.75" customHeight="1">
      <c r="A428" s="6" t="s">
        <v>1609</v>
      </c>
      <c r="B428" s="6" t="s">
        <v>1577</v>
      </c>
      <c r="C428" s="6" t="s">
        <v>1518</v>
      </c>
      <c r="D428" s="15" t="s">
        <v>97</v>
      </c>
      <c r="E428" s="15" t="s">
        <v>35</v>
      </c>
      <c r="F428" s="16" t="s">
        <v>1610</v>
      </c>
      <c r="G428" s="6" t="s">
        <v>37</v>
      </c>
      <c r="H428" s="6" t="s">
        <v>1611</v>
      </c>
    </row>
    <row r="429" ht="12.75" customHeight="1">
      <c r="A429" s="6" t="s">
        <v>1612</v>
      </c>
      <c r="B429" s="6" t="s">
        <v>1577</v>
      </c>
      <c r="C429" s="6" t="s">
        <v>1613</v>
      </c>
      <c r="D429" s="15" t="s">
        <v>50</v>
      </c>
      <c r="E429" s="15" t="s">
        <v>35</v>
      </c>
      <c r="F429" s="16" t="s">
        <v>1614</v>
      </c>
      <c r="G429" s="6" t="s">
        <v>37</v>
      </c>
      <c r="H429" s="6" t="s">
        <v>1615</v>
      </c>
    </row>
    <row r="430" ht="12.75" customHeight="1">
      <c r="A430" s="6" t="s">
        <v>1616</v>
      </c>
      <c r="B430" s="6" t="s">
        <v>1617</v>
      </c>
      <c r="C430" s="6" t="s">
        <v>434</v>
      </c>
      <c r="D430" s="15" t="s">
        <v>97</v>
      </c>
      <c r="E430" s="15" t="s">
        <v>35</v>
      </c>
      <c r="F430" s="16" t="s">
        <v>1618</v>
      </c>
      <c r="G430" s="6" t="s">
        <v>37</v>
      </c>
      <c r="H430" s="6" t="s">
        <v>1619</v>
      </c>
    </row>
    <row r="431" ht="12.75" customHeight="1">
      <c r="A431" s="6" t="s">
        <v>1620</v>
      </c>
      <c r="B431" s="6" t="s">
        <v>1617</v>
      </c>
      <c r="C431" s="6" t="s">
        <v>230</v>
      </c>
      <c r="D431" s="15" t="s">
        <v>50</v>
      </c>
      <c r="E431" s="15" t="s">
        <v>35</v>
      </c>
      <c r="F431" s="16" t="s">
        <v>1621</v>
      </c>
      <c r="G431" s="6" t="s">
        <v>37</v>
      </c>
      <c r="H431" s="6" t="s">
        <v>1622</v>
      </c>
    </row>
    <row r="432" ht="12.75" customHeight="1">
      <c r="A432" s="6" t="s">
        <v>1623</v>
      </c>
      <c r="B432" s="6" t="s">
        <v>1617</v>
      </c>
      <c r="C432" s="6" t="s">
        <v>45</v>
      </c>
      <c r="D432" s="15" t="s">
        <v>119</v>
      </c>
      <c r="E432" s="15" t="s">
        <v>35</v>
      </c>
      <c r="F432" s="16" t="s">
        <v>1624</v>
      </c>
      <c r="G432" s="6" t="s">
        <v>37</v>
      </c>
      <c r="H432" s="6" t="s">
        <v>1625</v>
      </c>
    </row>
    <row r="433" ht="12.75" customHeight="1">
      <c r="A433" s="6" t="s">
        <v>1626</v>
      </c>
      <c r="B433" s="6" t="s">
        <v>1617</v>
      </c>
      <c r="C433" s="6" t="s">
        <v>1627</v>
      </c>
      <c r="D433" s="15" t="s">
        <v>34</v>
      </c>
      <c r="E433" s="15" t="s">
        <v>35</v>
      </c>
      <c r="F433" s="16" t="s">
        <v>1628</v>
      </c>
      <c r="G433" s="6" t="s">
        <v>37</v>
      </c>
      <c r="H433" s="6" t="s">
        <v>1629</v>
      </c>
    </row>
    <row r="434" ht="12.75" customHeight="1">
      <c r="A434" s="6" t="s">
        <v>1630</v>
      </c>
      <c r="B434" s="6" t="s">
        <v>1617</v>
      </c>
      <c r="C434" s="6" t="s">
        <v>45</v>
      </c>
      <c r="D434" s="15" t="s">
        <v>50</v>
      </c>
      <c r="E434" s="15" t="s">
        <v>35</v>
      </c>
      <c r="F434" s="16" t="s">
        <v>1631</v>
      </c>
      <c r="G434" s="6" t="s">
        <v>37</v>
      </c>
      <c r="H434" s="6" t="s">
        <v>1632</v>
      </c>
    </row>
    <row r="435" ht="12.75" customHeight="1">
      <c r="A435" s="6" t="s">
        <v>1633</v>
      </c>
      <c r="B435" s="6" t="s">
        <v>1617</v>
      </c>
      <c r="C435" s="6" t="s">
        <v>33</v>
      </c>
      <c r="D435" s="15" t="s">
        <v>50</v>
      </c>
      <c r="E435" s="15" t="s">
        <v>35</v>
      </c>
      <c r="F435" s="16" t="s">
        <v>1634</v>
      </c>
      <c r="G435" s="6" t="s">
        <v>37</v>
      </c>
      <c r="H435" s="6" t="s">
        <v>1635</v>
      </c>
    </row>
    <row r="436" ht="12.75" customHeight="1">
      <c r="A436" s="6" t="s">
        <v>1636</v>
      </c>
      <c r="B436" s="6" t="s">
        <v>1637</v>
      </c>
      <c r="C436" s="6" t="s">
        <v>45</v>
      </c>
      <c r="D436" s="15" t="s">
        <v>1638</v>
      </c>
      <c r="E436" s="15" t="s">
        <v>35</v>
      </c>
      <c r="F436" s="16" t="s">
        <v>1639</v>
      </c>
      <c r="G436" s="6" t="s">
        <v>37</v>
      </c>
      <c r="H436" s="6" t="s">
        <v>1640</v>
      </c>
    </row>
    <row r="437" ht="12.75" customHeight="1">
      <c r="A437" s="6" t="s">
        <v>1641</v>
      </c>
      <c r="B437" s="6" t="s">
        <v>1637</v>
      </c>
      <c r="C437" s="6" t="s">
        <v>1642</v>
      </c>
      <c r="D437" s="15" t="s">
        <v>502</v>
      </c>
      <c r="E437" s="15" t="s">
        <v>35</v>
      </c>
      <c r="F437" s="16" t="s">
        <v>1643</v>
      </c>
      <c r="G437" s="6" t="s">
        <v>37</v>
      </c>
      <c r="H437" s="6" t="s">
        <v>1644</v>
      </c>
    </row>
    <row r="438" ht="12.75" customHeight="1">
      <c r="A438" s="6" t="s">
        <v>1645</v>
      </c>
      <c r="B438" s="6" t="s">
        <v>1637</v>
      </c>
      <c r="C438" s="6" t="s">
        <v>1518</v>
      </c>
      <c r="D438" s="15" t="s">
        <v>50</v>
      </c>
      <c r="E438" s="15" t="s">
        <v>35</v>
      </c>
      <c r="F438" s="16" t="s">
        <v>1646</v>
      </c>
      <c r="G438" s="6" t="s">
        <v>37</v>
      </c>
      <c r="H438" s="6" t="s">
        <v>1647</v>
      </c>
    </row>
    <row r="439" ht="12.75" customHeight="1">
      <c r="A439" s="6" t="s">
        <v>1648</v>
      </c>
      <c r="B439" s="6" t="s">
        <v>1649</v>
      </c>
      <c r="C439" s="6" t="s">
        <v>92</v>
      </c>
      <c r="D439" s="15" t="s">
        <v>1412</v>
      </c>
      <c r="E439" s="15" t="s">
        <v>35</v>
      </c>
      <c r="F439" s="16" t="s">
        <v>1650</v>
      </c>
      <c r="G439" s="6" t="s">
        <v>37</v>
      </c>
      <c r="H439" s="6" t="s">
        <v>1651</v>
      </c>
    </row>
    <row r="440" ht="12.75" customHeight="1">
      <c r="A440" s="6" t="s">
        <v>1652</v>
      </c>
      <c r="B440" s="6" t="s">
        <v>1649</v>
      </c>
      <c r="C440" s="6" t="s">
        <v>45</v>
      </c>
      <c r="D440" s="15" t="s">
        <v>46</v>
      </c>
      <c r="E440" s="15" t="s">
        <v>35</v>
      </c>
      <c r="F440" s="16" t="s">
        <v>1653</v>
      </c>
      <c r="G440" s="6" t="s">
        <v>37</v>
      </c>
      <c r="H440" s="6" t="s">
        <v>1654</v>
      </c>
    </row>
    <row r="441" ht="12.75" customHeight="1">
      <c r="A441" s="6" t="s">
        <v>1655</v>
      </c>
      <c r="B441" s="6" t="s">
        <v>1649</v>
      </c>
      <c r="C441" s="6" t="s">
        <v>70</v>
      </c>
      <c r="D441" s="15" t="s">
        <v>189</v>
      </c>
      <c r="E441" s="15" t="s">
        <v>35</v>
      </c>
      <c r="F441" s="16" t="s">
        <v>1656</v>
      </c>
      <c r="G441" s="6" t="s">
        <v>37</v>
      </c>
      <c r="H441" s="6" t="s">
        <v>1657</v>
      </c>
    </row>
    <row r="442" ht="12.75" customHeight="1">
      <c r="A442" s="6" t="s">
        <v>1658</v>
      </c>
      <c r="B442" s="6" t="s">
        <v>1649</v>
      </c>
      <c r="C442" s="6" t="s">
        <v>230</v>
      </c>
      <c r="D442" s="15" t="s">
        <v>97</v>
      </c>
      <c r="E442" s="15" t="s">
        <v>35</v>
      </c>
      <c r="F442" s="16" t="s">
        <v>1659</v>
      </c>
      <c r="G442" s="6" t="s">
        <v>37</v>
      </c>
      <c r="H442" s="6" t="s">
        <v>1660</v>
      </c>
    </row>
    <row r="443" ht="12.75" customHeight="1">
      <c r="A443" s="6" t="s">
        <v>1661</v>
      </c>
      <c r="B443" s="6" t="s">
        <v>1649</v>
      </c>
      <c r="C443" s="6" t="s">
        <v>1407</v>
      </c>
      <c r="D443" s="15" t="s">
        <v>97</v>
      </c>
      <c r="E443" s="15" t="s">
        <v>35</v>
      </c>
      <c r="F443" s="16" t="s">
        <v>1662</v>
      </c>
      <c r="G443" s="6" t="s">
        <v>37</v>
      </c>
      <c r="H443" s="6" t="s">
        <v>1663</v>
      </c>
    </row>
    <row r="444" ht="12.75" customHeight="1">
      <c r="A444" s="6" t="s">
        <v>1664</v>
      </c>
      <c r="B444" s="6" t="s">
        <v>1665</v>
      </c>
      <c r="C444" s="6" t="s">
        <v>92</v>
      </c>
      <c r="D444" s="15" t="s">
        <v>34</v>
      </c>
      <c r="E444" s="15" t="s">
        <v>35</v>
      </c>
      <c r="F444" s="16" t="s">
        <v>1666</v>
      </c>
      <c r="G444" s="6" t="s">
        <v>37</v>
      </c>
      <c r="H444" s="6" t="s">
        <v>1667</v>
      </c>
    </row>
    <row r="445" ht="12.75" customHeight="1">
      <c r="A445" s="6" t="s">
        <v>1668</v>
      </c>
      <c r="B445" s="6" t="s">
        <v>1665</v>
      </c>
      <c r="C445" s="6" t="s">
        <v>1215</v>
      </c>
      <c r="D445" s="15" t="s">
        <v>1669</v>
      </c>
      <c r="E445" s="15" t="s">
        <v>35</v>
      </c>
      <c r="F445" s="16" t="s">
        <v>1670</v>
      </c>
      <c r="G445" s="6" t="s">
        <v>37</v>
      </c>
      <c r="H445" s="6" t="s">
        <v>1671</v>
      </c>
    </row>
    <row r="446" ht="12.75" customHeight="1">
      <c r="A446" s="6" t="s">
        <v>1672</v>
      </c>
      <c r="B446" s="6" t="s">
        <v>1665</v>
      </c>
      <c r="C446" s="6" t="s">
        <v>843</v>
      </c>
      <c r="D446" s="15" t="s">
        <v>41</v>
      </c>
      <c r="E446" s="15" t="s">
        <v>35</v>
      </c>
      <c r="F446" s="16" t="s">
        <v>1673</v>
      </c>
      <c r="G446" s="6" t="s">
        <v>37</v>
      </c>
      <c r="H446" s="6" t="s">
        <v>1674</v>
      </c>
    </row>
    <row r="447" ht="12.75" customHeight="1">
      <c r="A447" s="6" t="s">
        <v>1675</v>
      </c>
      <c r="B447" s="6" t="s">
        <v>1665</v>
      </c>
      <c r="C447" s="6" t="s">
        <v>172</v>
      </c>
      <c r="D447" s="15" t="s">
        <v>502</v>
      </c>
      <c r="E447" s="15" t="s">
        <v>35</v>
      </c>
      <c r="F447" s="16" t="s">
        <v>1676</v>
      </c>
      <c r="G447" s="6" t="s">
        <v>37</v>
      </c>
      <c r="H447" s="6" t="s">
        <v>1677</v>
      </c>
    </row>
    <row r="448" ht="12.75" customHeight="1">
      <c r="A448" s="6" t="s">
        <v>1678</v>
      </c>
      <c r="B448" s="6" t="s">
        <v>1665</v>
      </c>
      <c r="C448" s="6" t="s">
        <v>45</v>
      </c>
      <c r="D448" s="15" t="s">
        <v>576</v>
      </c>
      <c r="E448" s="15" t="s">
        <v>35</v>
      </c>
      <c r="F448" s="16" t="s">
        <v>1679</v>
      </c>
      <c r="G448" s="6" t="s">
        <v>37</v>
      </c>
      <c r="H448" s="6" t="s">
        <v>1680</v>
      </c>
    </row>
    <row r="449" ht="12.75" customHeight="1">
      <c r="A449" s="6" t="s">
        <v>1681</v>
      </c>
      <c r="B449" s="6" t="s">
        <v>1665</v>
      </c>
      <c r="C449" s="6" t="s">
        <v>33</v>
      </c>
      <c r="D449" s="15" t="s">
        <v>41</v>
      </c>
      <c r="E449" s="15" t="s">
        <v>35</v>
      </c>
      <c r="F449" s="16" t="s">
        <v>1682</v>
      </c>
      <c r="G449" s="6" t="s">
        <v>37</v>
      </c>
      <c r="H449" s="6" t="s">
        <v>1683</v>
      </c>
    </row>
    <row r="450" ht="12.75" customHeight="1">
      <c r="A450" s="6" t="s">
        <v>1684</v>
      </c>
      <c r="B450" s="6" t="s">
        <v>1665</v>
      </c>
      <c r="C450" s="6" t="s">
        <v>106</v>
      </c>
      <c r="D450" s="15" t="s">
        <v>754</v>
      </c>
      <c r="E450" s="15" t="s">
        <v>35</v>
      </c>
      <c r="F450" s="16" t="s">
        <v>1685</v>
      </c>
      <c r="G450" s="6" t="s">
        <v>37</v>
      </c>
      <c r="H450" s="6" t="s">
        <v>1686</v>
      </c>
    </row>
    <row r="451" ht="12.75" customHeight="1">
      <c r="A451" s="6" t="s">
        <v>1687</v>
      </c>
      <c r="B451" s="6" t="s">
        <v>1665</v>
      </c>
      <c r="C451" s="6" t="s">
        <v>70</v>
      </c>
      <c r="D451" s="15" t="s">
        <v>123</v>
      </c>
      <c r="E451" s="15" t="s">
        <v>35</v>
      </c>
      <c r="F451" s="16" t="s">
        <v>1688</v>
      </c>
      <c r="G451" s="6" t="s">
        <v>37</v>
      </c>
      <c r="H451" s="6" t="s">
        <v>1689</v>
      </c>
    </row>
    <row r="452" ht="12.75" customHeight="1">
      <c r="A452" s="6" t="s">
        <v>1690</v>
      </c>
      <c r="B452" s="6" t="s">
        <v>1665</v>
      </c>
      <c r="C452" s="6" t="s">
        <v>1518</v>
      </c>
      <c r="D452" s="15" t="s">
        <v>898</v>
      </c>
      <c r="E452" s="15" t="s">
        <v>35</v>
      </c>
      <c r="F452" s="16" t="s">
        <v>1691</v>
      </c>
      <c r="G452" s="6" t="s">
        <v>37</v>
      </c>
      <c r="H452" s="6" t="s">
        <v>1692</v>
      </c>
    </row>
    <row r="453" ht="12.75" customHeight="1">
      <c r="A453" s="6" t="s">
        <v>1693</v>
      </c>
      <c r="B453" s="6" t="s">
        <v>1694</v>
      </c>
      <c r="C453" s="6" t="s">
        <v>1695</v>
      </c>
      <c r="D453" s="15" t="s">
        <v>576</v>
      </c>
      <c r="E453" s="15" t="s">
        <v>35</v>
      </c>
      <c r="F453" s="16" t="s">
        <v>1696</v>
      </c>
      <c r="G453" s="6" t="s">
        <v>37</v>
      </c>
      <c r="H453" s="6" t="s">
        <v>1697</v>
      </c>
    </row>
    <row r="454" ht="12.75" customHeight="1">
      <c r="A454" s="6" t="s">
        <v>1698</v>
      </c>
      <c r="B454" s="6" t="s">
        <v>1694</v>
      </c>
      <c r="C454" s="6" t="s">
        <v>1429</v>
      </c>
      <c r="D454" s="15" t="s">
        <v>35</v>
      </c>
      <c r="E454" s="15" t="s">
        <v>97</v>
      </c>
      <c r="F454" s="16" t="s">
        <v>1699</v>
      </c>
      <c r="G454" s="6" t="s">
        <v>37</v>
      </c>
      <c r="H454" s="6" t="s">
        <v>1700</v>
      </c>
    </row>
    <row r="455" ht="12.75" customHeight="1">
      <c r="A455" s="6" t="s">
        <v>1701</v>
      </c>
      <c r="B455" s="6" t="s">
        <v>1702</v>
      </c>
      <c r="C455" s="6" t="s">
        <v>1703</v>
      </c>
      <c r="D455" s="15" t="s">
        <v>35</v>
      </c>
      <c r="E455" s="15" t="s">
        <v>97</v>
      </c>
      <c r="F455" s="16" t="s">
        <v>1704</v>
      </c>
      <c r="G455" s="6" t="s">
        <v>37</v>
      </c>
      <c r="H455" s="6" t="s">
        <v>1705</v>
      </c>
    </row>
    <row r="456" ht="12.75" customHeight="1">
      <c r="A456" s="6" t="s">
        <v>1706</v>
      </c>
      <c r="B456" s="6" t="s">
        <v>1702</v>
      </c>
      <c r="C456" s="6" t="s">
        <v>1707</v>
      </c>
      <c r="D456" s="15" t="s">
        <v>35</v>
      </c>
      <c r="E456" s="15" t="s">
        <v>50</v>
      </c>
      <c r="F456" s="16" t="s">
        <v>1708</v>
      </c>
      <c r="G456" s="6" t="s">
        <v>37</v>
      </c>
      <c r="H456" s="6" t="s">
        <v>1709</v>
      </c>
    </row>
    <row r="457" ht="12.75" customHeight="1">
      <c r="A457" s="6" t="s">
        <v>1710</v>
      </c>
      <c r="B457" s="6" t="s">
        <v>1702</v>
      </c>
      <c r="C457" s="6" t="s">
        <v>1295</v>
      </c>
      <c r="D457" s="15" t="s">
        <v>335</v>
      </c>
      <c r="E457" s="15" t="s">
        <v>35</v>
      </c>
      <c r="F457" s="16" t="s">
        <v>1711</v>
      </c>
      <c r="G457" s="6" t="s">
        <v>37</v>
      </c>
      <c r="H457" s="6" t="s">
        <v>1712</v>
      </c>
    </row>
    <row r="458" ht="12.75" customHeight="1">
      <c r="A458" s="6" t="s">
        <v>1713</v>
      </c>
      <c r="B458" s="6" t="s">
        <v>1702</v>
      </c>
      <c r="C458" s="6" t="s">
        <v>1714</v>
      </c>
      <c r="D458" s="15" t="s">
        <v>35</v>
      </c>
      <c r="E458" s="15" t="s">
        <v>65</v>
      </c>
      <c r="F458" s="16" t="s">
        <v>1715</v>
      </c>
      <c r="G458" s="6" t="s">
        <v>37</v>
      </c>
      <c r="H458" s="6" t="s">
        <v>1716</v>
      </c>
    </row>
    <row r="459" ht="12.75" customHeight="1">
      <c r="A459" s="6" t="s">
        <v>1717</v>
      </c>
      <c r="B459" s="6" t="s">
        <v>1702</v>
      </c>
      <c r="C459" s="6" t="s">
        <v>96</v>
      </c>
      <c r="D459" s="15" t="s">
        <v>35</v>
      </c>
      <c r="E459" s="15" t="s">
        <v>71</v>
      </c>
      <c r="F459" s="16" t="s">
        <v>1446</v>
      </c>
      <c r="G459" s="6" t="s">
        <v>37</v>
      </c>
      <c r="H459" s="6" t="s">
        <v>1718</v>
      </c>
    </row>
    <row r="460" ht="12.75" customHeight="1">
      <c r="A460" s="6" t="s">
        <v>1719</v>
      </c>
      <c r="B460" s="6" t="s">
        <v>1702</v>
      </c>
      <c r="C460" s="6" t="s">
        <v>438</v>
      </c>
      <c r="D460" s="15" t="s">
        <v>1720</v>
      </c>
      <c r="E460" s="15" t="s">
        <v>35</v>
      </c>
      <c r="F460" s="16" t="s">
        <v>1721</v>
      </c>
      <c r="G460" s="6" t="s">
        <v>37</v>
      </c>
      <c r="H460" s="6" t="s">
        <v>1722</v>
      </c>
    </row>
    <row r="461" ht="12.75" customHeight="1">
      <c r="A461" s="6" t="s">
        <v>1723</v>
      </c>
      <c r="B461" s="6" t="s">
        <v>1702</v>
      </c>
      <c r="C461" s="6" t="s">
        <v>1416</v>
      </c>
      <c r="D461" s="15" t="s">
        <v>1724</v>
      </c>
      <c r="E461" s="15" t="s">
        <v>35</v>
      </c>
      <c r="F461" s="16" t="s">
        <v>1725</v>
      </c>
      <c r="G461" s="6" t="s">
        <v>37</v>
      </c>
      <c r="H461" s="6" t="s">
        <v>1726</v>
      </c>
    </row>
    <row r="462" ht="12.75" customHeight="1">
      <c r="A462" s="6" t="s">
        <v>1727</v>
      </c>
      <c r="B462" s="6" t="s">
        <v>1702</v>
      </c>
      <c r="C462" s="6" t="s">
        <v>45</v>
      </c>
      <c r="D462" s="15" t="s">
        <v>576</v>
      </c>
      <c r="E462" s="15" t="s">
        <v>35</v>
      </c>
      <c r="F462" s="16" t="s">
        <v>1728</v>
      </c>
      <c r="G462" s="6" t="s">
        <v>37</v>
      </c>
      <c r="H462" s="6" t="s">
        <v>1729</v>
      </c>
    </row>
    <row r="463" ht="12.75" customHeight="1">
      <c r="A463" s="6" t="s">
        <v>1730</v>
      </c>
      <c r="B463" s="6" t="s">
        <v>1731</v>
      </c>
      <c r="C463" s="6" t="s">
        <v>33</v>
      </c>
      <c r="D463" s="15" t="s">
        <v>34</v>
      </c>
      <c r="E463" s="15" t="s">
        <v>35</v>
      </c>
      <c r="F463" s="16" t="s">
        <v>1732</v>
      </c>
      <c r="G463" s="6" t="s">
        <v>37</v>
      </c>
      <c r="H463" s="6" t="s">
        <v>1733</v>
      </c>
    </row>
    <row r="464" ht="12.75" customHeight="1">
      <c r="A464" s="6" t="s">
        <v>1734</v>
      </c>
      <c r="B464" s="6" t="s">
        <v>1731</v>
      </c>
      <c r="C464" s="6" t="s">
        <v>96</v>
      </c>
      <c r="D464" s="15" t="s">
        <v>35</v>
      </c>
      <c r="E464" s="15" t="s">
        <v>189</v>
      </c>
      <c r="F464" s="16" t="s">
        <v>1735</v>
      </c>
      <c r="G464" s="6" t="s">
        <v>37</v>
      </c>
      <c r="H464" s="6" t="s">
        <v>1736</v>
      </c>
    </row>
    <row r="465" ht="12.75" customHeight="1">
      <c r="A465" s="6" t="s">
        <v>1737</v>
      </c>
      <c r="B465" s="6" t="s">
        <v>1731</v>
      </c>
      <c r="C465" s="6" t="s">
        <v>1627</v>
      </c>
      <c r="D465" s="15" t="s">
        <v>41</v>
      </c>
      <c r="E465" s="15" t="s">
        <v>35</v>
      </c>
      <c r="F465" s="16" t="s">
        <v>1738</v>
      </c>
      <c r="G465" s="6" t="s">
        <v>37</v>
      </c>
      <c r="H465" s="6" t="s">
        <v>1739</v>
      </c>
    </row>
    <row r="466" ht="12.75" customHeight="1">
      <c r="A466" s="6" t="s">
        <v>1740</v>
      </c>
      <c r="B466" s="6" t="s">
        <v>1731</v>
      </c>
      <c r="C466" s="6" t="s">
        <v>230</v>
      </c>
      <c r="D466" s="15" t="s">
        <v>665</v>
      </c>
      <c r="E466" s="15" t="s">
        <v>35</v>
      </c>
      <c r="F466" s="16" t="s">
        <v>1741</v>
      </c>
      <c r="G466" s="6" t="s">
        <v>37</v>
      </c>
      <c r="H466" s="6" t="s">
        <v>1742</v>
      </c>
    </row>
    <row r="467" ht="12.75" customHeight="1">
      <c r="A467" s="6" t="s">
        <v>1743</v>
      </c>
      <c r="B467" s="6" t="s">
        <v>1731</v>
      </c>
      <c r="C467" s="6" t="s">
        <v>1744</v>
      </c>
      <c r="D467" s="15" t="s">
        <v>35</v>
      </c>
      <c r="E467" s="15" t="s">
        <v>65</v>
      </c>
      <c r="F467" s="16" t="s">
        <v>1745</v>
      </c>
      <c r="G467" s="6" t="s">
        <v>37</v>
      </c>
      <c r="H467" s="6" t="s">
        <v>1746</v>
      </c>
    </row>
    <row r="468" ht="12.75" customHeight="1">
      <c r="A468" s="6" t="s">
        <v>1747</v>
      </c>
      <c r="B468" s="6" t="s">
        <v>1731</v>
      </c>
      <c r="C468" s="6" t="s">
        <v>230</v>
      </c>
      <c r="D468" s="15" t="s">
        <v>568</v>
      </c>
      <c r="E468" s="15" t="s">
        <v>35</v>
      </c>
      <c r="F468" s="16" t="s">
        <v>1748</v>
      </c>
      <c r="G468" s="6" t="s">
        <v>37</v>
      </c>
      <c r="H468" s="6" t="s">
        <v>1749</v>
      </c>
    </row>
    <row r="469" ht="12.75" customHeight="1">
      <c r="A469" s="6" t="s">
        <v>1750</v>
      </c>
      <c r="B469" s="6" t="s">
        <v>1751</v>
      </c>
      <c r="C469" s="6" t="s">
        <v>263</v>
      </c>
      <c r="D469" s="15" t="s">
        <v>97</v>
      </c>
      <c r="E469" s="15" t="s">
        <v>35</v>
      </c>
      <c r="F469" s="16" t="s">
        <v>1752</v>
      </c>
      <c r="G469" s="6" t="s">
        <v>37</v>
      </c>
      <c r="H469" s="6" t="s">
        <v>1753</v>
      </c>
    </row>
    <row r="470" ht="12.75" customHeight="1">
      <c r="A470" s="6" t="s">
        <v>1754</v>
      </c>
      <c r="B470" s="6" t="s">
        <v>1751</v>
      </c>
      <c r="C470" s="6" t="s">
        <v>506</v>
      </c>
      <c r="D470" s="15" t="s">
        <v>183</v>
      </c>
      <c r="E470" s="15" t="s">
        <v>35</v>
      </c>
      <c r="F470" s="16" t="s">
        <v>1755</v>
      </c>
      <c r="G470" s="6" t="s">
        <v>37</v>
      </c>
      <c r="H470" s="6" t="s">
        <v>1756</v>
      </c>
    </row>
    <row r="471" ht="12.75" customHeight="1">
      <c r="A471" s="6" t="s">
        <v>1757</v>
      </c>
      <c r="B471" s="6" t="s">
        <v>1751</v>
      </c>
      <c r="C471" s="6" t="s">
        <v>106</v>
      </c>
      <c r="D471" s="15" t="s">
        <v>50</v>
      </c>
      <c r="E471" s="15" t="s">
        <v>35</v>
      </c>
      <c r="F471" s="16" t="s">
        <v>1758</v>
      </c>
      <c r="G471" s="6" t="s">
        <v>37</v>
      </c>
      <c r="H471" s="6" t="s">
        <v>1759</v>
      </c>
    </row>
    <row r="472" ht="12.75" customHeight="1">
      <c r="A472" s="6" t="s">
        <v>1760</v>
      </c>
      <c r="B472" s="6" t="s">
        <v>1751</v>
      </c>
      <c r="C472" s="6" t="s">
        <v>1761</v>
      </c>
      <c r="D472" s="15" t="s">
        <v>1307</v>
      </c>
      <c r="E472" s="15" t="s">
        <v>35</v>
      </c>
      <c r="F472" s="16" t="s">
        <v>1762</v>
      </c>
      <c r="G472" s="6" t="s">
        <v>37</v>
      </c>
      <c r="H472" s="6" t="s">
        <v>1763</v>
      </c>
    </row>
    <row r="473" ht="12.75" customHeight="1">
      <c r="A473" s="6" t="s">
        <v>1764</v>
      </c>
      <c r="B473" s="6" t="s">
        <v>1751</v>
      </c>
      <c r="C473" s="6" t="s">
        <v>1765</v>
      </c>
      <c r="D473" s="15" t="s">
        <v>35</v>
      </c>
      <c r="E473" s="15" t="s">
        <v>71</v>
      </c>
      <c r="F473" s="16" t="s">
        <v>1766</v>
      </c>
      <c r="G473" s="6" t="s">
        <v>37</v>
      </c>
      <c r="H473" s="6" t="s">
        <v>1767</v>
      </c>
    </row>
    <row r="474" ht="12.75" customHeight="1">
      <c r="A474" s="6" t="s">
        <v>1768</v>
      </c>
      <c r="B474" s="6" t="s">
        <v>1751</v>
      </c>
      <c r="C474" s="6" t="s">
        <v>1769</v>
      </c>
      <c r="D474" s="15" t="s">
        <v>515</v>
      </c>
      <c r="E474" s="15" t="s">
        <v>35</v>
      </c>
      <c r="F474" s="16" t="s">
        <v>1728</v>
      </c>
      <c r="G474" s="6" t="s">
        <v>37</v>
      </c>
      <c r="H474" s="6" t="s">
        <v>1770</v>
      </c>
    </row>
    <row r="475" ht="12.75" customHeight="1">
      <c r="A475" s="6" t="s">
        <v>1771</v>
      </c>
      <c r="B475" s="6" t="s">
        <v>1751</v>
      </c>
      <c r="C475" s="6" t="s">
        <v>230</v>
      </c>
      <c r="D475" s="15" t="s">
        <v>97</v>
      </c>
      <c r="E475" s="15" t="s">
        <v>35</v>
      </c>
      <c r="F475" s="16" t="s">
        <v>1772</v>
      </c>
      <c r="G475" s="6" t="s">
        <v>37</v>
      </c>
      <c r="H475" s="6" t="s">
        <v>1773</v>
      </c>
    </row>
    <row r="476" ht="12.75" customHeight="1">
      <c r="A476" s="6" t="s">
        <v>1774</v>
      </c>
      <c r="B476" s="6" t="s">
        <v>1751</v>
      </c>
      <c r="C476" s="6" t="s">
        <v>230</v>
      </c>
      <c r="D476" s="15" t="s">
        <v>50</v>
      </c>
      <c r="E476" s="15" t="s">
        <v>35</v>
      </c>
      <c r="F476" s="16" t="s">
        <v>1741</v>
      </c>
      <c r="G476" s="6" t="s">
        <v>37</v>
      </c>
      <c r="H476" s="6" t="s">
        <v>1775</v>
      </c>
    </row>
    <row r="477" ht="12.75" customHeight="1">
      <c r="A477" s="6" t="s">
        <v>1776</v>
      </c>
      <c r="B477" s="6" t="s">
        <v>1777</v>
      </c>
      <c r="C477" s="6" t="s">
        <v>45</v>
      </c>
      <c r="D477" s="15" t="s">
        <v>119</v>
      </c>
      <c r="E477" s="15" t="s">
        <v>35</v>
      </c>
      <c r="F477" s="16" t="s">
        <v>1503</v>
      </c>
      <c r="G477" s="6" t="s">
        <v>37</v>
      </c>
      <c r="H477" s="6" t="s">
        <v>1778</v>
      </c>
    </row>
    <row r="478" ht="12.75" customHeight="1">
      <c r="A478" s="6" t="s">
        <v>1779</v>
      </c>
      <c r="B478" s="6" t="s">
        <v>1777</v>
      </c>
      <c r="C478" s="6" t="s">
        <v>938</v>
      </c>
      <c r="D478" s="15" t="s">
        <v>41</v>
      </c>
      <c r="E478" s="15" t="s">
        <v>35</v>
      </c>
      <c r="F478" s="16" t="s">
        <v>1780</v>
      </c>
      <c r="G478" s="6" t="s">
        <v>37</v>
      </c>
      <c r="H478" s="6" t="s">
        <v>1781</v>
      </c>
    </row>
    <row r="479" ht="12.75" customHeight="1">
      <c r="A479" s="6" t="s">
        <v>1782</v>
      </c>
      <c r="B479" s="6" t="s">
        <v>1777</v>
      </c>
      <c r="C479" s="6" t="s">
        <v>40</v>
      </c>
      <c r="D479" s="15" t="s">
        <v>35</v>
      </c>
      <c r="E479" s="15" t="s">
        <v>50</v>
      </c>
      <c r="F479" s="16" t="s">
        <v>1783</v>
      </c>
      <c r="G479" s="6" t="s">
        <v>37</v>
      </c>
      <c r="H479" s="6" t="s">
        <v>1784</v>
      </c>
    </row>
    <row r="480" ht="12.75" customHeight="1">
      <c r="A480" s="6" t="s">
        <v>1785</v>
      </c>
      <c r="B480" s="6" t="s">
        <v>1786</v>
      </c>
      <c r="C480" s="6" t="s">
        <v>263</v>
      </c>
      <c r="D480" s="15" t="s">
        <v>97</v>
      </c>
      <c r="E480" s="15" t="s">
        <v>35</v>
      </c>
      <c r="F480" s="16" t="s">
        <v>1787</v>
      </c>
      <c r="G480" s="6" t="s">
        <v>37</v>
      </c>
      <c r="H480" s="6" t="s">
        <v>1788</v>
      </c>
    </row>
    <row r="481" ht="12.75" customHeight="1">
      <c r="A481" s="6" t="s">
        <v>1789</v>
      </c>
      <c r="B481" s="6" t="s">
        <v>1786</v>
      </c>
      <c r="C481" s="6" t="s">
        <v>1236</v>
      </c>
      <c r="D481" s="15" t="s">
        <v>35</v>
      </c>
      <c r="E481" s="15" t="s">
        <v>71</v>
      </c>
      <c r="F481" s="16" t="s">
        <v>1493</v>
      </c>
      <c r="G481" s="6" t="s">
        <v>37</v>
      </c>
      <c r="H481" s="6" t="s">
        <v>1790</v>
      </c>
    </row>
    <row r="482" ht="12.75" customHeight="1">
      <c r="A482" s="6" t="s">
        <v>1791</v>
      </c>
      <c r="B482" s="6" t="s">
        <v>1786</v>
      </c>
      <c r="C482" s="6" t="s">
        <v>1627</v>
      </c>
      <c r="D482" s="15" t="s">
        <v>34</v>
      </c>
      <c r="E482" s="15" t="s">
        <v>35</v>
      </c>
      <c r="F482" s="16" t="s">
        <v>1792</v>
      </c>
      <c r="G482" s="6" t="s">
        <v>37</v>
      </c>
      <c r="H482" s="6" t="s">
        <v>1793</v>
      </c>
    </row>
    <row r="483" ht="12.75" customHeight="1">
      <c r="A483" s="6" t="s">
        <v>1794</v>
      </c>
      <c r="B483" s="6" t="s">
        <v>1786</v>
      </c>
      <c r="C483" s="6" t="s">
        <v>230</v>
      </c>
      <c r="D483" s="15" t="s">
        <v>123</v>
      </c>
      <c r="E483" s="15" t="s">
        <v>35</v>
      </c>
      <c r="F483" s="16" t="s">
        <v>1487</v>
      </c>
      <c r="G483" s="6" t="s">
        <v>37</v>
      </c>
      <c r="H483" s="6" t="s">
        <v>1795</v>
      </c>
    </row>
    <row r="484" ht="12.75" customHeight="1">
      <c r="A484" s="6" t="s">
        <v>1796</v>
      </c>
      <c r="B484" s="6" t="s">
        <v>1786</v>
      </c>
      <c r="C484" s="6" t="s">
        <v>92</v>
      </c>
      <c r="D484" s="15" t="s">
        <v>211</v>
      </c>
      <c r="E484" s="15" t="s">
        <v>35</v>
      </c>
      <c r="F484" s="16" t="s">
        <v>1797</v>
      </c>
      <c r="G484" s="6" t="s">
        <v>37</v>
      </c>
      <c r="H484" s="6" t="s">
        <v>1798</v>
      </c>
    </row>
    <row r="485" ht="12.75" customHeight="1">
      <c r="A485" s="6" t="s">
        <v>1799</v>
      </c>
      <c r="B485" s="6" t="s">
        <v>1800</v>
      </c>
      <c r="C485" s="6" t="s">
        <v>127</v>
      </c>
      <c r="D485" s="15" t="s">
        <v>35</v>
      </c>
      <c r="E485" s="15" t="s">
        <v>97</v>
      </c>
      <c r="F485" s="16" t="s">
        <v>1801</v>
      </c>
      <c r="G485" s="6" t="s">
        <v>37</v>
      </c>
      <c r="H485" s="6" t="s">
        <v>1802</v>
      </c>
    </row>
    <row r="486" ht="12.75" customHeight="1">
      <c r="A486" s="6" t="s">
        <v>1803</v>
      </c>
      <c r="B486" s="6" t="s">
        <v>1800</v>
      </c>
      <c r="C486" s="6" t="s">
        <v>1518</v>
      </c>
      <c r="D486" s="15" t="s">
        <v>41</v>
      </c>
      <c r="E486" s="15" t="s">
        <v>35</v>
      </c>
      <c r="F486" s="16" t="s">
        <v>1507</v>
      </c>
      <c r="G486" s="6" t="s">
        <v>37</v>
      </c>
      <c r="H486" s="6" t="s">
        <v>1804</v>
      </c>
    </row>
    <row r="487" ht="12.75" customHeight="1">
      <c r="A487" s="6" t="s">
        <v>1805</v>
      </c>
      <c r="B487" s="6" t="s">
        <v>1800</v>
      </c>
      <c r="C487" s="6" t="s">
        <v>33</v>
      </c>
      <c r="D487" s="15" t="s">
        <v>34</v>
      </c>
      <c r="E487" s="15" t="s">
        <v>35</v>
      </c>
      <c r="F487" s="16" t="s">
        <v>1806</v>
      </c>
      <c r="G487" s="6" t="s">
        <v>37</v>
      </c>
      <c r="H487" s="6" t="s">
        <v>1807</v>
      </c>
    </row>
    <row r="488" ht="12.75" customHeight="1">
      <c r="A488" s="6" t="s">
        <v>1808</v>
      </c>
      <c r="B488" s="6" t="s">
        <v>1800</v>
      </c>
      <c r="C488" s="6" t="s">
        <v>92</v>
      </c>
      <c r="D488" s="15" t="s">
        <v>34</v>
      </c>
      <c r="E488" s="15" t="s">
        <v>35</v>
      </c>
      <c r="F488" s="16" t="s">
        <v>1809</v>
      </c>
      <c r="G488" s="6" t="s">
        <v>37</v>
      </c>
      <c r="H488" s="6" t="s">
        <v>1810</v>
      </c>
    </row>
    <row r="489" ht="12.75" customHeight="1">
      <c r="A489" s="6" t="s">
        <v>1811</v>
      </c>
      <c r="B489" s="6" t="s">
        <v>1812</v>
      </c>
      <c r="C489" s="6" t="s">
        <v>1813</v>
      </c>
      <c r="D489" s="15" t="s">
        <v>34</v>
      </c>
      <c r="E489" s="15" t="s">
        <v>35</v>
      </c>
      <c r="F489" s="16" t="s">
        <v>1787</v>
      </c>
      <c r="G489" s="6" t="s">
        <v>37</v>
      </c>
      <c r="H489" s="6" t="s">
        <v>1814</v>
      </c>
    </row>
    <row r="490" ht="12.75" customHeight="1">
      <c r="A490" s="6" t="s">
        <v>1815</v>
      </c>
      <c r="B490" s="6" t="s">
        <v>1812</v>
      </c>
      <c r="C490" s="6" t="s">
        <v>1816</v>
      </c>
      <c r="D490" s="15" t="s">
        <v>55</v>
      </c>
      <c r="E490" s="15" t="s">
        <v>35</v>
      </c>
      <c r="F490" s="16" t="s">
        <v>1797</v>
      </c>
      <c r="G490" s="6" t="s">
        <v>37</v>
      </c>
      <c r="H490" s="6" t="s">
        <v>1817</v>
      </c>
    </row>
    <row r="491" ht="12.75" customHeight="1">
      <c r="A491" s="6" t="s">
        <v>1818</v>
      </c>
      <c r="B491" s="6" t="s">
        <v>1819</v>
      </c>
      <c r="C491" s="6" t="s">
        <v>1820</v>
      </c>
      <c r="D491" s="15" t="s">
        <v>35</v>
      </c>
      <c r="E491" s="15" t="s">
        <v>335</v>
      </c>
      <c r="F491" s="16" t="s">
        <v>1821</v>
      </c>
      <c r="G491" s="6" t="s">
        <v>37</v>
      </c>
      <c r="H491" s="6" t="s">
        <v>1822</v>
      </c>
    </row>
    <row r="492" ht="12.75" customHeight="1">
      <c r="A492" s="6" t="s">
        <v>1823</v>
      </c>
      <c r="B492" s="6" t="s">
        <v>1819</v>
      </c>
      <c r="C492" s="6" t="s">
        <v>40</v>
      </c>
      <c r="D492" s="15" t="s">
        <v>35</v>
      </c>
      <c r="E492" s="15" t="s">
        <v>65</v>
      </c>
      <c r="F492" s="16" t="s">
        <v>1824</v>
      </c>
      <c r="G492" s="6" t="s">
        <v>37</v>
      </c>
      <c r="H492" s="6" t="s">
        <v>1825</v>
      </c>
    </row>
    <row r="493" ht="12.75" customHeight="1">
      <c r="A493" s="6" t="s">
        <v>1826</v>
      </c>
      <c r="B493" s="6" t="s">
        <v>1827</v>
      </c>
      <c r="C493" s="6" t="s">
        <v>45</v>
      </c>
      <c r="D493" s="15" t="s">
        <v>55</v>
      </c>
      <c r="E493" s="15" t="s">
        <v>35</v>
      </c>
      <c r="F493" s="16" t="s">
        <v>1828</v>
      </c>
      <c r="G493" s="6" t="s">
        <v>37</v>
      </c>
      <c r="H493" s="6" t="s">
        <v>1829</v>
      </c>
    </row>
    <row r="494" ht="12.75" customHeight="1">
      <c r="A494" s="6" t="s">
        <v>1830</v>
      </c>
      <c r="B494" s="6" t="s">
        <v>1827</v>
      </c>
      <c r="C494" s="6" t="s">
        <v>230</v>
      </c>
      <c r="D494" s="15" t="s">
        <v>335</v>
      </c>
      <c r="E494" s="15" t="s">
        <v>35</v>
      </c>
      <c r="F494" s="16" t="s">
        <v>1831</v>
      </c>
      <c r="G494" s="6" t="s">
        <v>37</v>
      </c>
      <c r="H494" s="6" t="s">
        <v>1832</v>
      </c>
    </row>
    <row r="495" ht="12.75" customHeight="1">
      <c r="A495" s="6" t="s">
        <v>1833</v>
      </c>
      <c r="B495" s="6" t="s">
        <v>1827</v>
      </c>
      <c r="C495" s="6" t="s">
        <v>434</v>
      </c>
      <c r="D495" s="15" t="s">
        <v>71</v>
      </c>
      <c r="E495" s="15" t="s">
        <v>35</v>
      </c>
      <c r="F495" s="16" t="s">
        <v>1834</v>
      </c>
      <c r="G495" s="6" t="s">
        <v>37</v>
      </c>
      <c r="H495" s="6" t="s">
        <v>1835</v>
      </c>
    </row>
    <row r="496" ht="12.75" customHeight="1">
      <c r="A496" s="6" t="s">
        <v>1836</v>
      </c>
      <c r="B496" s="6" t="s">
        <v>1827</v>
      </c>
      <c r="C496" s="6" t="s">
        <v>45</v>
      </c>
      <c r="D496" s="15" t="s">
        <v>119</v>
      </c>
      <c r="E496" s="15" t="s">
        <v>35</v>
      </c>
      <c r="F496" s="16" t="s">
        <v>1728</v>
      </c>
      <c r="G496" s="6" t="s">
        <v>37</v>
      </c>
      <c r="H496" s="6" t="s">
        <v>1837</v>
      </c>
    </row>
    <row r="497" ht="12.75" customHeight="1">
      <c r="A497" s="6" t="s">
        <v>1838</v>
      </c>
      <c r="B497" s="6" t="s">
        <v>1827</v>
      </c>
      <c r="C497" s="6" t="s">
        <v>96</v>
      </c>
      <c r="D497" s="15" t="s">
        <v>35</v>
      </c>
      <c r="E497" s="15" t="s">
        <v>97</v>
      </c>
      <c r="F497" s="16" t="s">
        <v>1738</v>
      </c>
      <c r="G497" s="6" t="s">
        <v>37</v>
      </c>
      <c r="H497" s="6" t="s">
        <v>1839</v>
      </c>
    </row>
    <row r="498" ht="12.75" customHeight="1">
      <c r="A498" s="6" t="s">
        <v>1840</v>
      </c>
      <c r="B498" s="6" t="s">
        <v>1827</v>
      </c>
      <c r="C498" s="6" t="s">
        <v>230</v>
      </c>
      <c r="D498" s="15" t="s">
        <v>97</v>
      </c>
      <c r="E498" s="15" t="s">
        <v>35</v>
      </c>
      <c r="F498" s="16" t="s">
        <v>1728</v>
      </c>
      <c r="G498" s="6" t="s">
        <v>37</v>
      </c>
      <c r="H498" s="6" t="s">
        <v>1841</v>
      </c>
    </row>
    <row r="499" ht="12.75" customHeight="1">
      <c r="A499" s="6" t="s">
        <v>1842</v>
      </c>
      <c r="B499" s="6" t="s">
        <v>1827</v>
      </c>
      <c r="C499" s="6" t="s">
        <v>106</v>
      </c>
      <c r="D499" s="15" t="s">
        <v>34</v>
      </c>
      <c r="E499" s="15" t="s">
        <v>35</v>
      </c>
      <c r="F499" s="16" t="s">
        <v>1732</v>
      </c>
      <c r="G499" s="6" t="s">
        <v>37</v>
      </c>
      <c r="H499" s="6" t="s">
        <v>1843</v>
      </c>
    </row>
    <row r="500" ht="12.75" customHeight="1">
      <c r="A500" s="6" t="s">
        <v>1844</v>
      </c>
      <c r="B500" s="6" t="s">
        <v>1827</v>
      </c>
      <c r="C500" s="6" t="s">
        <v>1845</v>
      </c>
      <c r="D500" s="15" t="s">
        <v>35</v>
      </c>
      <c r="E500" s="15" t="s">
        <v>623</v>
      </c>
      <c r="F500" s="16" t="s">
        <v>1846</v>
      </c>
      <c r="G500" s="6" t="s">
        <v>37</v>
      </c>
      <c r="H500" s="6" t="s">
        <v>1847</v>
      </c>
    </row>
    <row r="501" ht="12.75" customHeight="1">
      <c r="A501" s="6" t="s">
        <v>1848</v>
      </c>
      <c r="B501" s="6" t="s">
        <v>1827</v>
      </c>
      <c r="C501" s="6" t="s">
        <v>221</v>
      </c>
      <c r="D501" s="15" t="s">
        <v>222</v>
      </c>
      <c r="E501" s="15" t="s">
        <v>35</v>
      </c>
      <c r="F501" s="16" t="s">
        <v>1849</v>
      </c>
      <c r="G501" s="6" t="s">
        <v>37</v>
      </c>
      <c r="H501" s="6" t="s">
        <v>1850</v>
      </c>
    </row>
    <row r="502" ht="12.75" customHeight="1">
      <c r="A502" s="6" t="s">
        <v>1851</v>
      </c>
      <c r="B502" s="6" t="s">
        <v>1827</v>
      </c>
      <c r="C502" s="6" t="s">
        <v>1852</v>
      </c>
      <c r="D502" s="15" t="s">
        <v>471</v>
      </c>
      <c r="E502" s="15" t="s">
        <v>35</v>
      </c>
      <c r="F502" s="16" t="s">
        <v>1853</v>
      </c>
      <c r="G502" s="6" t="s">
        <v>37</v>
      </c>
      <c r="H502" s="6" t="s">
        <v>1854</v>
      </c>
    </row>
    <row r="503" ht="12.75" customHeight="1">
      <c r="A503" s="6" t="s">
        <v>1855</v>
      </c>
      <c r="B503" s="6" t="s">
        <v>1827</v>
      </c>
      <c r="C503" s="6" t="s">
        <v>1856</v>
      </c>
      <c r="D503" s="15" t="s">
        <v>34</v>
      </c>
      <c r="E503" s="15" t="s">
        <v>35</v>
      </c>
      <c r="F503" s="16" t="s">
        <v>1857</v>
      </c>
      <c r="G503" s="6" t="s">
        <v>37</v>
      </c>
      <c r="H503" s="6" t="s">
        <v>1858</v>
      </c>
    </row>
    <row r="504" ht="12.75" customHeight="1">
      <c r="A504" s="6" t="s">
        <v>1859</v>
      </c>
      <c r="B504" s="6" t="s">
        <v>1827</v>
      </c>
      <c r="C504" s="6" t="s">
        <v>33</v>
      </c>
      <c r="D504" s="15" t="s">
        <v>97</v>
      </c>
      <c r="E504" s="15" t="s">
        <v>35</v>
      </c>
      <c r="F504" s="16" t="s">
        <v>1860</v>
      </c>
      <c r="G504" s="6" t="s">
        <v>37</v>
      </c>
      <c r="H504" s="6" t="s">
        <v>1861</v>
      </c>
    </row>
    <row r="505" ht="12.75" customHeight="1">
      <c r="A505" s="6" t="s">
        <v>1862</v>
      </c>
      <c r="B505" s="6" t="s">
        <v>1827</v>
      </c>
      <c r="C505" s="6" t="s">
        <v>1863</v>
      </c>
      <c r="D505" s="15" t="s">
        <v>1864</v>
      </c>
      <c r="E505" s="15" t="s">
        <v>35</v>
      </c>
      <c r="F505" s="16" t="s">
        <v>1865</v>
      </c>
      <c r="G505" s="6" t="s">
        <v>37</v>
      </c>
      <c r="H505" s="6" t="s">
        <v>1866</v>
      </c>
    </row>
    <row r="506" ht="12.75" customHeight="1">
      <c r="A506" s="6" t="s">
        <v>1867</v>
      </c>
      <c r="B506" s="6" t="s">
        <v>1827</v>
      </c>
      <c r="C506" s="6" t="s">
        <v>33</v>
      </c>
      <c r="D506" s="15" t="s">
        <v>50</v>
      </c>
      <c r="E506" s="15" t="s">
        <v>35</v>
      </c>
      <c r="F506" s="16" t="s">
        <v>1868</v>
      </c>
      <c r="G506" s="6" t="s">
        <v>37</v>
      </c>
      <c r="H506" s="6" t="s">
        <v>1869</v>
      </c>
    </row>
    <row r="507" ht="12.75" customHeight="1">
      <c r="A507" s="6" t="s">
        <v>1870</v>
      </c>
      <c r="B507" s="6" t="s">
        <v>1871</v>
      </c>
      <c r="C507" s="6" t="s">
        <v>45</v>
      </c>
      <c r="D507" s="15" t="s">
        <v>1872</v>
      </c>
      <c r="E507" s="15" t="s">
        <v>35</v>
      </c>
      <c r="F507" s="16" t="s">
        <v>1873</v>
      </c>
      <c r="G507" s="6" t="s">
        <v>37</v>
      </c>
      <c r="H507" s="6" t="s">
        <v>1874</v>
      </c>
    </row>
    <row r="508" ht="12.75" customHeight="1">
      <c r="A508" s="6" t="s">
        <v>1875</v>
      </c>
      <c r="B508" s="6" t="s">
        <v>1871</v>
      </c>
      <c r="C508" s="6" t="s">
        <v>40</v>
      </c>
      <c r="D508" s="15" t="s">
        <v>35</v>
      </c>
      <c r="E508" s="15" t="s">
        <v>490</v>
      </c>
      <c r="F508" s="16" t="s">
        <v>1876</v>
      </c>
      <c r="G508" s="6" t="s">
        <v>37</v>
      </c>
      <c r="H508" s="6" t="s">
        <v>1877</v>
      </c>
    </row>
    <row r="509" ht="12.75" customHeight="1">
      <c r="A509" s="6" t="s">
        <v>1878</v>
      </c>
      <c r="B509" s="6" t="s">
        <v>1871</v>
      </c>
      <c r="C509" s="6" t="s">
        <v>221</v>
      </c>
      <c r="D509" s="15" t="s">
        <v>222</v>
      </c>
      <c r="E509" s="15" t="s">
        <v>35</v>
      </c>
      <c r="F509" s="16" t="s">
        <v>1879</v>
      </c>
      <c r="G509" s="6" t="s">
        <v>37</v>
      </c>
      <c r="H509" s="6" t="s">
        <v>1880</v>
      </c>
    </row>
    <row r="510" ht="12.75" customHeight="1">
      <c r="A510" s="6" t="s">
        <v>1881</v>
      </c>
      <c r="B510" s="6" t="s">
        <v>1871</v>
      </c>
      <c r="C510" s="6" t="s">
        <v>92</v>
      </c>
      <c r="D510" s="15" t="s">
        <v>34</v>
      </c>
      <c r="E510" s="15" t="s">
        <v>35</v>
      </c>
      <c r="F510" s="16" t="s">
        <v>1882</v>
      </c>
      <c r="G510" s="6" t="s">
        <v>37</v>
      </c>
      <c r="H510" s="6" t="s">
        <v>1883</v>
      </c>
    </row>
    <row r="511" ht="12.75" customHeight="1">
      <c r="A511" s="6" t="s">
        <v>1884</v>
      </c>
      <c r="B511" s="6" t="s">
        <v>1871</v>
      </c>
      <c r="C511" s="6" t="s">
        <v>92</v>
      </c>
      <c r="D511" s="15" t="s">
        <v>34</v>
      </c>
      <c r="E511" s="15" t="s">
        <v>35</v>
      </c>
      <c r="F511" s="16" t="s">
        <v>1885</v>
      </c>
      <c r="G511" s="6" t="s">
        <v>37</v>
      </c>
      <c r="H511" s="6" t="s">
        <v>1886</v>
      </c>
    </row>
    <row r="512" ht="12.75" customHeight="1">
      <c r="A512" s="6" t="s">
        <v>1887</v>
      </c>
      <c r="B512" s="6" t="s">
        <v>1871</v>
      </c>
      <c r="C512" s="6" t="s">
        <v>438</v>
      </c>
      <c r="D512" s="15" t="s">
        <v>107</v>
      </c>
      <c r="E512" s="15" t="s">
        <v>35</v>
      </c>
      <c r="F512" s="16" t="s">
        <v>1888</v>
      </c>
      <c r="G512" s="6" t="s">
        <v>37</v>
      </c>
      <c r="H512" s="6" t="s">
        <v>1889</v>
      </c>
    </row>
    <row r="513" ht="12.75" customHeight="1">
      <c r="A513" s="6" t="s">
        <v>1890</v>
      </c>
      <c r="B513" s="6" t="s">
        <v>1891</v>
      </c>
      <c r="C513" s="6" t="s">
        <v>1813</v>
      </c>
      <c r="D513" s="15" t="s">
        <v>183</v>
      </c>
      <c r="E513" s="15" t="s">
        <v>35</v>
      </c>
      <c r="F513" s="16" t="s">
        <v>1892</v>
      </c>
      <c r="G513" s="6" t="s">
        <v>37</v>
      </c>
      <c r="H513" s="6" t="s">
        <v>1893</v>
      </c>
    </row>
    <row r="514" ht="12.75" customHeight="1">
      <c r="A514" s="6" t="s">
        <v>1894</v>
      </c>
      <c r="B514" s="6" t="s">
        <v>1891</v>
      </c>
      <c r="C514" s="6" t="s">
        <v>45</v>
      </c>
      <c r="D514" s="15" t="s">
        <v>55</v>
      </c>
      <c r="E514" s="15" t="s">
        <v>35</v>
      </c>
      <c r="F514" s="16" t="s">
        <v>1895</v>
      </c>
      <c r="G514" s="6" t="s">
        <v>37</v>
      </c>
      <c r="H514" s="6" t="s">
        <v>1896</v>
      </c>
    </row>
    <row r="515" ht="12.75" customHeight="1">
      <c r="A515" s="6" t="s">
        <v>1897</v>
      </c>
      <c r="B515" s="6" t="s">
        <v>1891</v>
      </c>
      <c r="C515" s="6" t="s">
        <v>1518</v>
      </c>
      <c r="D515" s="15" t="s">
        <v>290</v>
      </c>
      <c r="E515" s="15" t="s">
        <v>35</v>
      </c>
      <c r="F515" s="16" t="s">
        <v>1898</v>
      </c>
      <c r="G515" s="6" t="s">
        <v>37</v>
      </c>
      <c r="H515" s="6" t="s">
        <v>1899</v>
      </c>
    </row>
    <row r="516" ht="12.75" customHeight="1">
      <c r="A516" s="6" t="s">
        <v>1900</v>
      </c>
      <c r="B516" s="6" t="s">
        <v>1891</v>
      </c>
      <c r="C516" s="6" t="s">
        <v>1901</v>
      </c>
      <c r="D516" s="15" t="s">
        <v>123</v>
      </c>
      <c r="E516" s="15" t="s">
        <v>35</v>
      </c>
      <c r="F516" s="16" t="s">
        <v>1902</v>
      </c>
      <c r="G516" s="6" t="s">
        <v>37</v>
      </c>
      <c r="H516" s="6" t="s">
        <v>1903</v>
      </c>
    </row>
    <row r="517" ht="12.75" customHeight="1">
      <c r="A517" s="6" t="s">
        <v>1904</v>
      </c>
      <c r="B517" s="6" t="s">
        <v>1891</v>
      </c>
      <c r="C517" s="6" t="s">
        <v>1518</v>
      </c>
      <c r="D517" s="15" t="s">
        <v>1307</v>
      </c>
      <c r="E517" s="15" t="s">
        <v>35</v>
      </c>
      <c r="F517" s="16" t="s">
        <v>1905</v>
      </c>
      <c r="G517" s="6" t="s">
        <v>37</v>
      </c>
      <c r="H517" s="6" t="s">
        <v>1906</v>
      </c>
    </row>
    <row r="518" ht="12.75" customHeight="1">
      <c r="A518" s="6" t="s">
        <v>1907</v>
      </c>
      <c r="B518" s="6" t="s">
        <v>1891</v>
      </c>
      <c r="C518" s="6" t="s">
        <v>45</v>
      </c>
      <c r="D518" s="15" t="s">
        <v>1908</v>
      </c>
      <c r="E518" s="15" t="s">
        <v>35</v>
      </c>
      <c r="F518" s="16" t="s">
        <v>1909</v>
      </c>
      <c r="G518" s="6" t="s">
        <v>37</v>
      </c>
      <c r="H518" s="6" t="s">
        <v>1910</v>
      </c>
    </row>
    <row r="519" ht="12.75" customHeight="1">
      <c r="A519" s="6" t="s">
        <v>1911</v>
      </c>
      <c r="B519" s="6" t="s">
        <v>1912</v>
      </c>
      <c r="C519" s="6" t="s">
        <v>263</v>
      </c>
      <c r="D519" s="15" t="s">
        <v>107</v>
      </c>
      <c r="E519" s="15" t="s">
        <v>35</v>
      </c>
      <c r="F519" s="16" t="s">
        <v>1913</v>
      </c>
      <c r="G519" s="6" t="s">
        <v>37</v>
      </c>
      <c r="H519" s="6" t="s">
        <v>1914</v>
      </c>
    </row>
    <row r="520" ht="12.75" customHeight="1">
      <c r="A520" s="6" t="s">
        <v>1915</v>
      </c>
      <c r="B520" s="6" t="s">
        <v>1912</v>
      </c>
      <c r="C520" s="6" t="s">
        <v>1916</v>
      </c>
      <c r="D520" s="15" t="s">
        <v>35</v>
      </c>
      <c r="E520" s="15" t="s">
        <v>65</v>
      </c>
      <c r="F520" s="16" t="s">
        <v>1917</v>
      </c>
      <c r="G520" s="6" t="s">
        <v>37</v>
      </c>
      <c r="H520" s="6" t="s">
        <v>1918</v>
      </c>
    </row>
    <row r="521" ht="12.75" customHeight="1">
      <c r="A521" s="6" t="s">
        <v>1919</v>
      </c>
      <c r="B521" s="6" t="s">
        <v>1912</v>
      </c>
      <c r="C521" s="6" t="s">
        <v>70</v>
      </c>
      <c r="D521" s="15" t="s">
        <v>1920</v>
      </c>
      <c r="E521" s="15" t="s">
        <v>35</v>
      </c>
      <c r="F521" s="16" t="s">
        <v>1921</v>
      </c>
      <c r="G521" s="6" t="s">
        <v>37</v>
      </c>
      <c r="H521" s="6" t="s">
        <v>1922</v>
      </c>
    </row>
    <row r="522" ht="12.75" customHeight="1">
      <c r="A522" s="6" t="s">
        <v>1923</v>
      </c>
      <c r="B522" s="6" t="s">
        <v>1912</v>
      </c>
      <c r="C522" s="6" t="s">
        <v>1924</v>
      </c>
      <c r="D522" s="15" t="s">
        <v>35</v>
      </c>
      <c r="E522" s="15" t="s">
        <v>1925</v>
      </c>
      <c r="F522" s="16" t="s">
        <v>1926</v>
      </c>
      <c r="G522" s="6" t="s">
        <v>37</v>
      </c>
      <c r="H522" s="6" t="s">
        <v>1927</v>
      </c>
    </row>
    <row r="523" ht="12.75" customHeight="1">
      <c r="A523" s="6" t="s">
        <v>1928</v>
      </c>
      <c r="B523" s="6" t="s">
        <v>1912</v>
      </c>
      <c r="C523" s="6" t="s">
        <v>221</v>
      </c>
      <c r="D523" s="15" t="s">
        <v>222</v>
      </c>
      <c r="E523" s="15" t="s">
        <v>35</v>
      </c>
      <c r="F523" s="16" t="s">
        <v>1929</v>
      </c>
      <c r="G523" s="6" t="s">
        <v>37</v>
      </c>
      <c r="H523" s="6" t="s">
        <v>1930</v>
      </c>
    </row>
    <row r="524" ht="12.75" customHeight="1">
      <c r="A524" s="6" t="s">
        <v>1931</v>
      </c>
      <c r="B524" s="6" t="s">
        <v>1912</v>
      </c>
      <c r="C524" s="6" t="s">
        <v>303</v>
      </c>
      <c r="D524" s="15" t="s">
        <v>417</v>
      </c>
      <c r="E524" s="15" t="s">
        <v>35</v>
      </c>
      <c r="F524" s="16" t="s">
        <v>1932</v>
      </c>
      <c r="G524" s="6" t="s">
        <v>37</v>
      </c>
      <c r="H524" s="6" t="s">
        <v>1933</v>
      </c>
    </row>
    <row r="525" ht="12.75" customHeight="1">
      <c r="A525" s="6" t="s">
        <v>1934</v>
      </c>
      <c r="B525" s="6" t="s">
        <v>1912</v>
      </c>
      <c r="C525" s="6" t="s">
        <v>33</v>
      </c>
      <c r="D525" s="15" t="s">
        <v>50</v>
      </c>
      <c r="E525" s="15" t="s">
        <v>35</v>
      </c>
      <c r="F525" s="16" t="s">
        <v>1935</v>
      </c>
      <c r="G525" s="6" t="s">
        <v>37</v>
      </c>
      <c r="H525" s="6" t="s">
        <v>1936</v>
      </c>
    </row>
    <row r="526" ht="12.75" customHeight="1">
      <c r="A526" s="6" t="s">
        <v>1937</v>
      </c>
      <c r="B526" s="6" t="s">
        <v>1912</v>
      </c>
      <c r="C526" s="6" t="s">
        <v>1518</v>
      </c>
      <c r="D526" s="15" t="s">
        <v>50</v>
      </c>
      <c r="E526" s="15" t="s">
        <v>35</v>
      </c>
      <c r="F526" s="16" t="s">
        <v>1938</v>
      </c>
      <c r="G526" s="6" t="s">
        <v>37</v>
      </c>
      <c r="H526" s="6" t="s">
        <v>1939</v>
      </c>
    </row>
    <row r="527" ht="12.75" customHeight="1">
      <c r="A527" s="6" t="s">
        <v>1940</v>
      </c>
      <c r="B527" s="6" t="s">
        <v>1912</v>
      </c>
      <c r="C527" s="6" t="s">
        <v>938</v>
      </c>
      <c r="D527" s="15" t="s">
        <v>41</v>
      </c>
      <c r="E527" s="15" t="s">
        <v>35</v>
      </c>
      <c r="F527" s="16" t="s">
        <v>1941</v>
      </c>
      <c r="G527" s="6" t="s">
        <v>37</v>
      </c>
      <c r="H527" s="6" t="s">
        <v>1942</v>
      </c>
    </row>
    <row r="528" ht="12.75" customHeight="1">
      <c r="A528" s="6" t="s">
        <v>1943</v>
      </c>
      <c r="B528" s="6" t="s">
        <v>1912</v>
      </c>
      <c r="C528" s="6" t="s">
        <v>96</v>
      </c>
      <c r="D528" s="15" t="s">
        <v>35</v>
      </c>
      <c r="E528" s="15" t="s">
        <v>65</v>
      </c>
      <c r="F528" s="16" t="s">
        <v>1944</v>
      </c>
      <c r="G528" s="6" t="s">
        <v>37</v>
      </c>
      <c r="H528" s="6" t="s">
        <v>1945</v>
      </c>
    </row>
    <row r="529" ht="12.75" customHeight="1">
      <c r="A529" s="6" t="s">
        <v>1946</v>
      </c>
      <c r="B529" s="6" t="s">
        <v>1912</v>
      </c>
      <c r="C529" s="6" t="s">
        <v>45</v>
      </c>
      <c r="D529" s="15" t="s">
        <v>1920</v>
      </c>
      <c r="E529" s="15" t="s">
        <v>35</v>
      </c>
      <c r="F529" s="16" t="s">
        <v>1947</v>
      </c>
      <c r="G529" s="6" t="s">
        <v>37</v>
      </c>
      <c r="H529" s="6" t="s">
        <v>1948</v>
      </c>
    </row>
    <row r="530" ht="12.75" customHeight="1">
      <c r="A530" s="6" t="s">
        <v>1949</v>
      </c>
      <c r="B530" s="6" t="s">
        <v>1912</v>
      </c>
      <c r="C530" s="6" t="s">
        <v>360</v>
      </c>
      <c r="D530" s="15" t="s">
        <v>34</v>
      </c>
      <c r="E530" s="15" t="s">
        <v>35</v>
      </c>
      <c r="F530" s="16" t="s">
        <v>1950</v>
      </c>
      <c r="G530" s="6" t="s">
        <v>37</v>
      </c>
      <c r="H530" s="6" t="s">
        <v>1951</v>
      </c>
    </row>
    <row r="531" ht="12.75" customHeight="1">
      <c r="A531" s="6" t="s">
        <v>1952</v>
      </c>
      <c r="B531" s="6" t="s">
        <v>1953</v>
      </c>
      <c r="C531" s="6" t="s">
        <v>1954</v>
      </c>
      <c r="D531" s="15" t="s">
        <v>443</v>
      </c>
      <c r="E531" s="15" t="s">
        <v>35</v>
      </c>
      <c r="F531" s="16" t="s">
        <v>1955</v>
      </c>
      <c r="G531" s="6" t="s">
        <v>37</v>
      </c>
      <c r="H531" s="6" t="s">
        <v>1956</v>
      </c>
    </row>
    <row r="532" ht="12.75" customHeight="1">
      <c r="A532" s="6" t="s">
        <v>1957</v>
      </c>
      <c r="B532" s="6" t="s">
        <v>1953</v>
      </c>
      <c r="C532" s="6" t="s">
        <v>45</v>
      </c>
      <c r="D532" s="15" t="s">
        <v>55</v>
      </c>
      <c r="E532" s="15" t="s">
        <v>35</v>
      </c>
      <c r="F532" s="16" t="s">
        <v>1958</v>
      </c>
      <c r="G532" s="6" t="s">
        <v>37</v>
      </c>
      <c r="H532" s="6" t="s">
        <v>1959</v>
      </c>
    </row>
    <row r="533" ht="12.75" customHeight="1">
      <c r="A533" s="6" t="s">
        <v>1960</v>
      </c>
      <c r="B533" s="6" t="s">
        <v>1953</v>
      </c>
      <c r="C533" s="6" t="s">
        <v>1961</v>
      </c>
      <c r="D533" s="15" t="s">
        <v>123</v>
      </c>
      <c r="E533" s="15" t="s">
        <v>35</v>
      </c>
      <c r="F533" s="16" t="s">
        <v>1962</v>
      </c>
      <c r="G533" s="6" t="s">
        <v>37</v>
      </c>
      <c r="H533" s="6" t="s">
        <v>1963</v>
      </c>
    </row>
    <row r="534" ht="12.75" customHeight="1">
      <c r="A534" s="6" t="s">
        <v>1964</v>
      </c>
      <c r="B534" s="6" t="s">
        <v>1953</v>
      </c>
      <c r="C534" s="6" t="s">
        <v>1295</v>
      </c>
      <c r="D534" s="15" t="s">
        <v>34</v>
      </c>
      <c r="E534" s="15" t="s">
        <v>35</v>
      </c>
      <c r="F534" s="16" t="s">
        <v>1965</v>
      </c>
      <c r="G534" s="6" t="s">
        <v>37</v>
      </c>
      <c r="H534" s="6" t="s">
        <v>1966</v>
      </c>
    </row>
    <row r="535" ht="12.75" customHeight="1">
      <c r="A535" s="6" t="s">
        <v>1967</v>
      </c>
      <c r="B535" s="6" t="s">
        <v>1953</v>
      </c>
      <c r="C535" s="6" t="s">
        <v>45</v>
      </c>
      <c r="D535" s="15" t="s">
        <v>1968</v>
      </c>
      <c r="E535" s="15" t="s">
        <v>35</v>
      </c>
      <c r="F535" s="16" t="s">
        <v>1969</v>
      </c>
      <c r="G535" s="6" t="s">
        <v>37</v>
      </c>
      <c r="H535" s="6" t="s">
        <v>1970</v>
      </c>
    </row>
    <row r="536" ht="12.75" customHeight="1">
      <c r="A536" s="6" t="s">
        <v>1971</v>
      </c>
      <c r="B536" s="6" t="s">
        <v>1972</v>
      </c>
      <c r="C536" s="6" t="s">
        <v>1813</v>
      </c>
      <c r="D536" s="15" t="s">
        <v>183</v>
      </c>
      <c r="E536" s="15" t="s">
        <v>35</v>
      </c>
      <c r="F536" s="16" t="s">
        <v>1973</v>
      </c>
      <c r="G536" s="6" t="s">
        <v>37</v>
      </c>
      <c r="H536" s="6" t="s">
        <v>1974</v>
      </c>
    </row>
    <row r="537" ht="12.75" customHeight="1">
      <c r="A537" s="6" t="s">
        <v>1975</v>
      </c>
      <c r="B537" s="6" t="s">
        <v>1972</v>
      </c>
      <c r="C537" s="6" t="s">
        <v>45</v>
      </c>
      <c r="D537" s="15" t="s">
        <v>55</v>
      </c>
      <c r="E537" s="15" t="s">
        <v>35</v>
      </c>
      <c r="F537" s="16" t="s">
        <v>1976</v>
      </c>
      <c r="G537" s="6" t="s">
        <v>37</v>
      </c>
      <c r="H537" s="6" t="s">
        <v>1977</v>
      </c>
    </row>
    <row r="538" ht="12.75" customHeight="1">
      <c r="A538" s="6" t="s">
        <v>1978</v>
      </c>
      <c r="B538" s="6" t="s">
        <v>1972</v>
      </c>
      <c r="C538" s="6" t="s">
        <v>1518</v>
      </c>
      <c r="D538" s="15" t="s">
        <v>34</v>
      </c>
      <c r="E538" s="15" t="s">
        <v>35</v>
      </c>
      <c r="F538" s="16" t="s">
        <v>1979</v>
      </c>
      <c r="G538" s="6" t="s">
        <v>37</v>
      </c>
      <c r="H538" s="6" t="s">
        <v>1980</v>
      </c>
    </row>
    <row r="539" ht="12.75" customHeight="1">
      <c r="A539" s="6" t="s">
        <v>1981</v>
      </c>
      <c r="B539" s="6" t="s">
        <v>1972</v>
      </c>
      <c r="C539" s="6" t="s">
        <v>1982</v>
      </c>
      <c r="D539" s="15" t="s">
        <v>41</v>
      </c>
      <c r="E539" s="15" t="s">
        <v>35</v>
      </c>
      <c r="F539" s="16" t="s">
        <v>1983</v>
      </c>
      <c r="G539" s="6" t="s">
        <v>37</v>
      </c>
      <c r="H539" s="6" t="s">
        <v>1984</v>
      </c>
    </row>
    <row r="540" ht="12.75" customHeight="1">
      <c r="A540" s="6" t="s">
        <v>1985</v>
      </c>
      <c r="B540" s="6" t="s">
        <v>1972</v>
      </c>
      <c r="C540" s="6" t="s">
        <v>1986</v>
      </c>
      <c r="D540" s="15" t="s">
        <v>35</v>
      </c>
      <c r="E540" s="15" t="s">
        <v>71</v>
      </c>
      <c r="F540" s="16" t="s">
        <v>1987</v>
      </c>
      <c r="G540" s="6" t="s">
        <v>37</v>
      </c>
      <c r="H540" s="6" t="s">
        <v>1988</v>
      </c>
    </row>
    <row r="541" ht="12.75" customHeight="1">
      <c r="A541" s="6" t="s">
        <v>1989</v>
      </c>
      <c r="B541" s="6" t="s">
        <v>1972</v>
      </c>
      <c r="C541" s="6" t="s">
        <v>106</v>
      </c>
      <c r="D541" s="15" t="s">
        <v>1990</v>
      </c>
      <c r="E541" s="15" t="s">
        <v>35</v>
      </c>
      <c r="F541" s="16" t="s">
        <v>1991</v>
      </c>
      <c r="G541" s="6" t="s">
        <v>37</v>
      </c>
      <c r="H541" s="6" t="s">
        <v>1992</v>
      </c>
    </row>
    <row r="542" ht="12.75" customHeight="1">
      <c r="A542" s="6" t="s">
        <v>1993</v>
      </c>
      <c r="B542" s="6" t="s">
        <v>1972</v>
      </c>
      <c r="C542" s="6" t="s">
        <v>45</v>
      </c>
      <c r="D542" s="15" t="s">
        <v>1994</v>
      </c>
      <c r="E542" s="15" t="s">
        <v>35</v>
      </c>
      <c r="F542" s="16" t="s">
        <v>1995</v>
      </c>
      <c r="G542" s="6" t="s">
        <v>37</v>
      </c>
      <c r="H542" s="6" t="s">
        <v>1996</v>
      </c>
    </row>
    <row r="543" ht="12.75" customHeight="1">
      <c r="A543" s="6" t="s">
        <v>1997</v>
      </c>
      <c r="B543" s="6" t="s">
        <v>1998</v>
      </c>
      <c r="C543" s="6" t="s">
        <v>92</v>
      </c>
      <c r="D543" s="15" t="s">
        <v>34</v>
      </c>
      <c r="E543" s="15" t="s">
        <v>35</v>
      </c>
      <c r="F543" s="16" t="s">
        <v>1999</v>
      </c>
      <c r="G543" s="6" t="s">
        <v>37</v>
      </c>
      <c r="H543" s="6" t="s">
        <v>2000</v>
      </c>
    </row>
    <row r="544" ht="12.75" customHeight="1">
      <c r="A544" s="6" t="s">
        <v>2001</v>
      </c>
      <c r="B544" s="6" t="s">
        <v>1998</v>
      </c>
      <c r="C544" s="6" t="s">
        <v>70</v>
      </c>
      <c r="D544" s="15" t="s">
        <v>97</v>
      </c>
      <c r="E544" s="15" t="s">
        <v>35</v>
      </c>
      <c r="F544" s="16" t="s">
        <v>2002</v>
      </c>
      <c r="G544" s="6" t="s">
        <v>37</v>
      </c>
      <c r="H544" s="6" t="s">
        <v>2003</v>
      </c>
    </row>
    <row r="545" ht="12.75" customHeight="1">
      <c r="A545" s="6" t="s">
        <v>2004</v>
      </c>
      <c r="B545" s="6" t="s">
        <v>1998</v>
      </c>
      <c r="C545" s="6" t="s">
        <v>511</v>
      </c>
      <c r="D545" s="15" t="s">
        <v>123</v>
      </c>
      <c r="E545" s="15" t="s">
        <v>35</v>
      </c>
      <c r="F545" s="16" t="s">
        <v>2005</v>
      </c>
      <c r="G545" s="6" t="s">
        <v>37</v>
      </c>
      <c r="H545" s="6" t="s">
        <v>2006</v>
      </c>
    </row>
    <row r="546" ht="12.75" customHeight="1">
      <c r="A546" s="6" t="s">
        <v>2007</v>
      </c>
      <c r="B546" s="6" t="s">
        <v>2008</v>
      </c>
      <c r="C546" s="6" t="s">
        <v>1813</v>
      </c>
      <c r="D546" s="15" t="s">
        <v>50</v>
      </c>
      <c r="E546" s="15" t="s">
        <v>35</v>
      </c>
      <c r="F546" s="16" t="s">
        <v>2009</v>
      </c>
      <c r="G546" s="6" t="s">
        <v>37</v>
      </c>
      <c r="H546" s="6" t="s">
        <v>2010</v>
      </c>
    </row>
    <row r="547" ht="12.75" customHeight="1">
      <c r="A547" s="6" t="s">
        <v>2011</v>
      </c>
      <c r="B547" s="6" t="s">
        <v>2008</v>
      </c>
      <c r="C547" s="6" t="s">
        <v>2012</v>
      </c>
      <c r="D547" s="15" t="s">
        <v>35</v>
      </c>
      <c r="E547" s="15" t="s">
        <v>65</v>
      </c>
      <c r="F547" s="16" t="s">
        <v>2013</v>
      </c>
      <c r="G547" s="6" t="s">
        <v>37</v>
      </c>
      <c r="H547" s="6" t="s">
        <v>2014</v>
      </c>
    </row>
    <row r="548" ht="12.75" customHeight="1">
      <c r="A548" s="6" t="s">
        <v>2015</v>
      </c>
      <c r="B548" s="6" t="s">
        <v>2008</v>
      </c>
      <c r="C548" s="6" t="s">
        <v>106</v>
      </c>
      <c r="D548" s="15" t="s">
        <v>71</v>
      </c>
      <c r="E548" s="15" t="s">
        <v>35</v>
      </c>
      <c r="F548" s="16" t="s">
        <v>2016</v>
      </c>
      <c r="G548" s="6" t="s">
        <v>37</v>
      </c>
      <c r="H548" s="6" t="s">
        <v>2017</v>
      </c>
    </row>
    <row r="549" ht="12.75" customHeight="1">
      <c r="A549" s="6" t="s">
        <v>2018</v>
      </c>
      <c r="B549" s="6" t="s">
        <v>2008</v>
      </c>
      <c r="C549" s="6" t="s">
        <v>2019</v>
      </c>
      <c r="D549" s="15" t="s">
        <v>35</v>
      </c>
      <c r="E549" s="15" t="s">
        <v>967</v>
      </c>
      <c r="F549" s="16" t="s">
        <v>2020</v>
      </c>
      <c r="G549" s="6" t="s">
        <v>37</v>
      </c>
      <c r="H549" s="6" t="s">
        <v>2021</v>
      </c>
    </row>
    <row r="550" ht="12.75" customHeight="1">
      <c r="A550" s="6" t="s">
        <v>2022</v>
      </c>
      <c r="B550" s="6" t="s">
        <v>2008</v>
      </c>
      <c r="C550" s="6" t="s">
        <v>2023</v>
      </c>
      <c r="D550" s="15" t="s">
        <v>35</v>
      </c>
      <c r="E550" s="15" t="s">
        <v>398</v>
      </c>
      <c r="F550" s="16" t="s">
        <v>2024</v>
      </c>
      <c r="G550" s="6" t="s">
        <v>37</v>
      </c>
      <c r="H550" s="6" t="s">
        <v>2025</v>
      </c>
    </row>
    <row r="551" ht="12.75" customHeight="1">
      <c r="A551" s="6" t="s">
        <v>2026</v>
      </c>
      <c r="B551" s="6" t="s">
        <v>2008</v>
      </c>
      <c r="C551" s="6" t="s">
        <v>208</v>
      </c>
      <c r="D551" s="15" t="s">
        <v>35</v>
      </c>
      <c r="E551" s="15" t="s">
        <v>967</v>
      </c>
      <c r="F551" s="16" t="s">
        <v>2027</v>
      </c>
      <c r="G551" s="6" t="s">
        <v>37</v>
      </c>
      <c r="H551" s="6" t="s">
        <v>2028</v>
      </c>
    </row>
    <row r="552" ht="12.75" customHeight="1">
      <c r="A552" s="6" t="s">
        <v>2029</v>
      </c>
      <c r="B552" s="6" t="s">
        <v>2008</v>
      </c>
      <c r="C552" s="6" t="s">
        <v>397</v>
      </c>
      <c r="D552" s="15" t="s">
        <v>2030</v>
      </c>
      <c r="E552" s="15" t="s">
        <v>35</v>
      </c>
      <c r="F552" s="16" t="s">
        <v>2031</v>
      </c>
      <c r="G552" s="6" t="s">
        <v>37</v>
      </c>
      <c r="H552" s="6" t="s">
        <v>2032</v>
      </c>
    </row>
    <row r="553" ht="12.75" customHeight="1">
      <c r="A553" s="6" t="s">
        <v>2033</v>
      </c>
      <c r="B553" s="6" t="s">
        <v>2008</v>
      </c>
      <c r="C553" s="6" t="s">
        <v>40</v>
      </c>
      <c r="D553" s="15" t="s">
        <v>35</v>
      </c>
      <c r="E553" s="15" t="s">
        <v>65</v>
      </c>
      <c r="F553" s="16" t="s">
        <v>2034</v>
      </c>
      <c r="G553" s="6" t="s">
        <v>37</v>
      </c>
      <c r="H553" s="6" t="s">
        <v>2035</v>
      </c>
    </row>
    <row r="554" ht="12.75" customHeight="1">
      <c r="A554" s="6" t="s">
        <v>2036</v>
      </c>
      <c r="B554" s="6" t="s">
        <v>2008</v>
      </c>
      <c r="C554" s="6" t="s">
        <v>2037</v>
      </c>
      <c r="D554" s="15" t="s">
        <v>2038</v>
      </c>
      <c r="E554" s="15" t="s">
        <v>35</v>
      </c>
      <c r="F554" s="16" t="s">
        <v>2039</v>
      </c>
      <c r="G554" s="6" t="s">
        <v>37</v>
      </c>
      <c r="H554" s="6" t="s">
        <v>2040</v>
      </c>
    </row>
    <row r="555" ht="12.75" customHeight="1">
      <c r="A555" s="6" t="s">
        <v>2041</v>
      </c>
      <c r="B555" s="6" t="s">
        <v>2008</v>
      </c>
      <c r="C555" s="6" t="s">
        <v>2042</v>
      </c>
      <c r="D555" s="15" t="s">
        <v>2043</v>
      </c>
      <c r="E555" s="15" t="s">
        <v>35</v>
      </c>
      <c r="F555" s="16" t="s">
        <v>2044</v>
      </c>
      <c r="G555" s="6" t="s">
        <v>37</v>
      </c>
      <c r="H555" s="6" t="s">
        <v>2045</v>
      </c>
    </row>
    <row r="556" ht="12.75" customHeight="1">
      <c r="A556" s="6" t="s">
        <v>2046</v>
      </c>
      <c r="B556" s="6" t="s">
        <v>2008</v>
      </c>
      <c r="C556" s="6" t="s">
        <v>1518</v>
      </c>
      <c r="D556" s="15" t="s">
        <v>41</v>
      </c>
      <c r="E556" s="15" t="s">
        <v>35</v>
      </c>
      <c r="F556" s="16" t="s">
        <v>2047</v>
      </c>
      <c r="G556" s="6" t="s">
        <v>37</v>
      </c>
      <c r="H556" s="6" t="s">
        <v>2048</v>
      </c>
    </row>
    <row r="557" ht="12.75" customHeight="1">
      <c r="A557" s="6" t="s">
        <v>2049</v>
      </c>
      <c r="B557" s="6" t="s">
        <v>2008</v>
      </c>
      <c r="C557" s="6" t="s">
        <v>70</v>
      </c>
      <c r="D557" s="15" t="s">
        <v>71</v>
      </c>
      <c r="E557" s="15" t="s">
        <v>35</v>
      </c>
      <c r="F557" s="16" t="s">
        <v>2050</v>
      </c>
      <c r="G557" s="6" t="s">
        <v>37</v>
      </c>
      <c r="H557" s="6" t="s">
        <v>2051</v>
      </c>
    </row>
    <row r="558" ht="12.75" customHeight="1">
      <c r="A558" s="6" t="s">
        <v>2052</v>
      </c>
      <c r="B558" s="6" t="s">
        <v>2008</v>
      </c>
      <c r="C558" s="6" t="s">
        <v>1518</v>
      </c>
      <c r="D558" s="15" t="s">
        <v>754</v>
      </c>
      <c r="E558" s="15" t="s">
        <v>35</v>
      </c>
      <c r="F558" s="16" t="s">
        <v>2053</v>
      </c>
      <c r="G558" s="6" t="s">
        <v>37</v>
      </c>
      <c r="H558" s="6" t="s">
        <v>2054</v>
      </c>
    </row>
    <row r="559" ht="12.75" customHeight="1">
      <c r="A559" s="6" t="s">
        <v>2055</v>
      </c>
      <c r="B559" s="6" t="s">
        <v>2008</v>
      </c>
      <c r="C559" s="6" t="s">
        <v>2056</v>
      </c>
      <c r="D559" s="15" t="s">
        <v>35</v>
      </c>
      <c r="E559" s="15" t="s">
        <v>2057</v>
      </c>
      <c r="F559" s="16" t="s">
        <v>2058</v>
      </c>
      <c r="G559" s="6" t="s">
        <v>37</v>
      </c>
      <c r="H559" s="6" t="s">
        <v>2059</v>
      </c>
    </row>
    <row r="560" ht="12.75" customHeight="1">
      <c r="A560" s="6" t="s">
        <v>2060</v>
      </c>
      <c r="B560" s="6" t="s">
        <v>2008</v>
      </c>
      <c r="C560" s="6" t="s">
        <v>564</v>
      </c>
      <c r="D560" s="15" t="s">
        <v>351</v>
      </c>
      <c r="E560" s="15" t="s">
        <v>35</v>
      </c>
      <c r="F560" s="16" t="s">
        <v>2061</v>
      </c>
      <c r="G560" s="6" t="s">
        <v>37</v>
      </c>
      <c r="H560" s="6" t="s">
        <v>2062</v>
      </c>
    </row>
    <row r="561" ht="12.75" customHeight="1">
      <c r="A561" s="6" t="s">
        <v>2063</v>
      </c>
      <c r="B561" s="6" t="s">
        <v>2008</v>
      </c>
      <c r="C561" s="6" t="s">
        <v>397</v>
      </c>
      <c r="D561" s="15" t="s">
        <v>50</v>
      </c>
      <c r="E561" s="15" t="s">
        <v>35</v>
      </c>
      <c r="F561" s="16" t="s">
        <v>2064</v>
      </c>
      <c r="G561" s="6" t="s">
        <v>37</v>
      </c>
      <c r="H561" s="6" t="s">
        <v>2065</v>
      </c>
    </row>
    <row r="562" ht="12.75" customHeight="1">
      <c r="A562" s="6" t="s">
        <v>2066</v>
      </c>
      <c r="B562" s="6" t="s">
        <v>2008</v>
      </c>
      <c r="C562" s="6" t="s">
        <v>45</v>
      </c>
      <c r="D562" s="15" t="s">
        <v>572</v>
      </c>
      <c r="E562" s="15" t="s">
        <v>35</v>
      </c>
      <c r="F562" s="16" t="s">
        <v>2067</v>
      </c>
      <c r="G562" s="6" t="s">
        <v>37</v>
      </c>
      <c r="H562" s="6" t="s">
        <v>2068</v>
      </c>
    </row>
    <row r="563" ht="12.75" customHeight="1">
      <c r="A563" s="6" t="s">
        <v>2069</v>
      </c>
      <c r="B563" s="6" t="s">
        <v>2070</v>
      </c>
      <c r="C563" s="6" t="s">
        <v>1813</v>
      </c>
      <c r="D563" s="15" t="s">
        <v>890</v>
      </c>
      <c r="E563" s="15" t="s">
        <v>35</v>
      </c>
      <c r="F563" s="16" t="s">
        <v>2071</v>
      </c>
      <c r="G563" s="6" t="s">
        <v>37</v>
      </c>
      <c r="H563" s="6" t="s">
        <v>2072</v>
      </c>
    </row>
    <row r="564" ht="12.75" customHeight="1">
      <c r="A564" s="6" t="s">
        <v>2073</v>
      </c>
      <c r="B564" s="6" t="s">
        <v>2070</v>
      </c>
      <c r="C564" s="6" t="s">
        <v>45</v>
      </c>
      <c r="D564" s="15" t="s">
        <v>1307</v>
      </c>
      <c r="E564" s="15" t="s">
        <v>35</v>
      </c>
      <c r="F564" s="16" t="s">
        <v>2074</v>
      </c>
      <c r="G564" s="6" t="s">
        <v>37</v>
      </c>
      <c r="H564" s="6" t="s">
        <v>2075</v>
      </c>
    </row>
    <row r="565" ht="12.75" customHeight="1">
      <c r="A565" s="6" t="s">
        <v>2076</v>
      </c>
      <c r="B565" s="6" t="s">
        <v>2070</v>
      </c>
      <c r="C565" s="6" t="s">
        <v>2023</v>
      </c>
      <c r="D565" s="15" t="s">
        <v>35</v>
      </c>
      <c r="E565" s="15" t="s">
        <v>335</v>
      </c>
      <c r="F565" s="16" t="s">
        <v>2077</v>
      </c>
      <c r="G565" s="6" t="s">
        <v>37</v>
      </c>
      <c r="H565" s="6" t="s">
        <v>2078</v>
      </c>
    </row>
    <row r="566" ht="12.75" customHeight="1">
      <c r="A566" s="6" t="s">
        <v>2079</v>
      </c>
      <c r="B566" s="6" t="s">
        <v>2070</v>
      </c>
      <c r="C566" s="6" t="s">
        <v>2080</v>
      </c>
      <c r="D566" s="15" t="s">
        <v>443</v>
      </c>
      <c r="E566" s="15" t="s">
        <v>35</v>
      </c>
      <c r="F566" s="16" t="s">
        <v>2081</v>
      </c>
      <c r="G566" s="6" t="s">
        <v>37</v>
      </c>
      <c r="H566" s="6" t="s">
        <v>2082</v>
      </c>
    </row>
    <row r="567" ht="12.75" customHeight="1">
      <c r="A567" s="6" t="s">
        <v>2083</v>
      </c>
      <c r="B567" s="6" t="s">
        <v>2070</v>
      </c>
      <c r="C567" s="6" t="s">
        <v>2084</v>
      </c>
      <c r="D567" s="15" t="s">
        <v>855</v>
      </c>
      <c r="E567" s="15" t="s">
        <v>35</v>
      </c>
      <c r="F567" s="16" t="s">
        <v>2085</v>
      </c>
      <c r="G567" s="6" t="s">
        <v>37</v>
      </c>
      <c r="H567" s="6" t="s">
        <v>2086</v>
      </c>
    </row>
    <row r="568" ht="12.75" customHeight="1">
      <c r="A568" s="6" t="s">
        <v>2087</v>
      </c>
      <c r="B568" s="6" t="s">
        <v>2070</v>
      </c>
      <c r="C568" s="6" t="s">
        <v>45</v>
      </c>
      <c r="D568" s="15" t="s">
        <v>754</v>
      </c>
      <c r="E568" s="15" t="s">
        <v>35</v>
      </c>
      <c r="F568" s="16" t="s">
        <v>2088</v>
      </c>
      <c r="G568" s="6" t="s">
        <v>37</v>
      </c>
      <c r="H568" s="6" t="s">
        <v>2089</v>
      </c>
    </row>
    <row r="569" ht="12.75" customHeight="1">
      <c r="A569" s="6" t="s">
        <v>2090</v>
      </c>
      <c r="B569" s="6" t="s">
        <v>2070</v>
      </c>
      <c r="C569" s="6" t="s">
        <v>263</v>
      </c>
      <c r="D569" s="15" t="s">
        <v>123</v>
      </c>
      <c r="E569" s="15" t="s">
        <v>35</v>
      </c>
      <c r="F569" s="16" t="s">
        <v>2091</v>
      </c>
      <c r="G569" s="6" t="s">
        <v>37</v>
      </c>
      <c r="H569" s="6" t="s">
        <v>2092</v>
      </c>
    </row>
    <row r="570" ht="12.75" customHeight="1">
      <c r="A570" s="6" t="s">
        <v>2093</v>
      </c>
      <c r="B570" s="6" t="s">
        <v>2070</v>
      </c>
      <c r="C570" s="6" t="s">
        <v>45</v>
      </c>
      <c r="D570" s="15" t="s">
        <v>726</v>
      </c>
      <c r="E570" s="15" t="s">
        <v>35</v>
      </c>
      <c r="F570" s="16" t="s">
        <v>2094</v>
      </c>
      <c r="G570" s="6" t="s">
        <v>37</v>
      </c>
      <c r="H570" s="6" t="s">
        <v>2095</v>
      </c>
    </row>
    <row r="571" ht="12.75" customHeight="1">
      <c r="A571" s="6" t="s">
        <v>2096</v>
      </c>
      <c r="B571" s="6" t="s">
        <v>2070</v>
      </c>
      <c r="C571" s="6" t="s">
        <v>33</v>
      </c>
      <c r="D571" s="15" t="s">
        <v>50</v>
      </c>
      <c r="E571" s="15" t="s">
        <v>35</v>
      </c>
      <c r="F571" s="16" t="s">
        <v>1232</v>
      </c>
      <c r="G571" s="6" t="s">
        <v>37</v>
      </c>
      <c r="H571" s="6" t="s">
        <v>2097</v>
      </c>
    </row>
    <row r="572" ht="12.75" customHeight="1">
      <c r="A572" s="6" t="s">
        <v>2098</v>
      </c>
      <c r="B572" s="6" t="s">
        <v>2099</v>
      </c>
      <c r="C572" s="6" t="s">
        <v>1813</v>
      </c>
      <c r="D572" s="15" t="s">
        <v>183</v>
      </c>
      <c r="E572" s="15" t="s">
        <v>35</v>
      </c>
      <c r="F572" s="16" t="s">
        <v>2100</v>
      </c>
      <c r="G572" s="6" t="s">
        <v>37</v>
      </c>
      <c r="H572" s="6" t="s">
        <v>2101</v>
      </c>
    </row>
    <row r="573" ht="12.75" customHeight="1">
      <c r="A573" s="6" t="s">
        <v>2102</v>
      </c>
      <c r="B573" s="6" t="s">
        <v>2099</v>
      </c>
      <c r="C573" s="6" t="s">
        <v>96</v>
      </c>
      <c r="D573" s="15" t="s">
        <v>35</v>
      </c>
      <c r="E573" s="15" t="s">
        <v>443</v>
      </c>
      <c r="F573" s="16" t="s">
        <v>2103</v>
      </c>
      <c r="G573" s="6" t="s">
        <v>37</v>
      </c>
      <c r="H573" s="6" t="s">
        <v>2104</v>
      </c>
    </row>
    <row r="574" ht="12.75" customHeight="1">
      <c r="A574" s="6" t="s">
        <v>2105</v>
      </c>
      <c r="B574" s="6" t="s">
        <v>2099</v>
      </c>
      <c r="C574" s="6" t="s">
        <v>70</v>
      </c>
      <c r="D574" s="15" t="s">
        <v>1920</v>
      </c>
      <c r="E574" s="15" t="s">
        <v>35</v>
      </c>
      <c r="F574" s="16" t="s">
        <v>2106</v>
      </c>
      <c r="G574" s="6" t="s">
        <v>37</v>
      </c>
      <c r="H574" s="6" t="s">
        <v>2107</v>
      </c>
    </row>
    <row r="575" ht="12.75" customHeight="1">
      <c r="A575" s="6" t="s">
        <v>2108</v>
      </c>
      <c r="B575" s="6" t="s">
        <v>2099</v>
      </c>
      <c r="C575" s="6" t="s">
        <v>45</v>
      </c>
      <c r="D575" s="15" t="s">
        <v>685</v>
      </c>
      <c r="E575" s="15" t="s">
        <v>35</v>
      </c>
      <c r="F575" s="16" t="s">
        <v>2109</v>
      </c>
      <c r="G575" s="6" t="s">
        <v>37</v>
      </c>
      <c r="H575" s="6" t="s">
        <v>2110</v>
      </c>
    </row>
    <row r="576" ht="12.75" customHeight="1">
      <c r="A576" s="6" t="s">
        <v>2111</v>
      </c>
      <c r="B576" s="6" t="s">
        <v>2099</v>
      </c>
      <c r="C576" s="6" t="s">
        <v>168</v>
      </c>
      <c r="D576" s="15" t="s">
        <v>35</v>
      </c>
      <c r="E576" s="15" t="s">
        <v>335</v>
      </c>
      <c r="F576" s="16" t="s">
        <v>2112</v>
      </c>
      <c r="G576" s="6" t="s">
        <v>37</v>
      </c>
      <c r="H576" s="6" t="s">
        <v>2113</v>
      </c>
    </row>
    <row r="577" ht="12.75" customHeight="1">
      <c r="A577" s="6" t="s">
        <v>2114</v>
      </c>
      <c r="B577" s="6" t="s">
        <v>2115</v>
      </c>
      <c r="C577" s="6" t="s">
        <v>45</v>
      </c>
      <c r="D577" s="15" t="s">
        <v>41</v>
      </c>
      <c r="E577" s="15" t="s">
        <v>35</v>
      </c>
      <c r="F577" s="16" t="s">
        <v>2116</v>
      </c>
      <c r="G577" s="6" t="s">
        <v>37</v>
      </c>
      <c r="H577" s="6" t="s">
        <v>2117</v>
      </c>
    </row>
    <row r="578" ht="12.75" customHeight="1">
      <c r="A578" s="6" t="s">
        <v>2118</v>
      </c>
      <c r="B578" s="6" t="s">
        <v>2115</v>
      </c>
      <c r="C578" s="6" t="s">
        <v>45</v>
      </c>
      <c r="D578" s="15" t="s">
        <v>443</v>
      </c>
      <c r="E578" s="15" t="s">
        <v>35</v>
      </c>
      <c r="F578" s="16" t="s">
        <v>2119</v>
      </c>
      <c r="G578" s="6" t="s">
        <v>37</v>
      </c>
      <c r="H578" s="6" t="s">
        <v>2120</v>
      </c>
    </row>
    <row r="579" ht="12.75" customHeight="1">
      <c r="A579" s="6" t="s">
        <v>2121</v>
      </c>
      <c r="B579" s="6" t="s">
        <v>2115</v>
      </c>
      <c r="C579" s="6" t="s">
        <v>2122</v>
      </c>
      <c r="D579" s="15" t="s">
        <v>35</v>
      </c>
      <c r="E579" s="15" t="s">
        <v>443</v>
      </c>
      <c r="F579" s="16" t="s">
        <v>2116</v>
      </c>
      <c r="G579" s="6" t="s">
        <v>37</v>
      </c>
      <c r="H579" s="6" t="s">
        <v>2123</v>
      </c>
    </row>
    <row r="580" ht="12.75" customHeight="1">
      <c r="A580" s="6" t="s">
        <v>2124</v>
      </c>
      <c r="B580" s="6" t="s">
        <v>2115</v>
      </c>
      <c r="C580" s="6" t="s">
        <v>1518</v>
      </c>
      <c r="D580" s="15" t="s">
        <v>443</v>
      </c>
      <c r="E580" s="15" t="s">
        <v>35</v>
      </c>
      <c r="F580" s="16" t="s">
        <v>2119</v>
      </c>
      <c r="G580" s="6" t="s">
        <v>37</v>
      </c>
      <c r="H580" s="6" t="s">
        <v>2125</v>
      </c>
    </row>
    <row r="581" ht="12.75" customHeight="1">
      <c r="A581" s="6" t="s">
        <v>2126</v>
      </c>
      <c r="B581" s="6" t="s">
        <v>2115</v>
      </c>
      <c r="C581" s="6" t="s">
        <v>106</v>
      </c>
      <c r="D581" s="15" t="s">
        <v>754</v>
      </c>
      <c r="E581" s="15" t="s">
        <v>35</v>
      </c>
      <c r="F581" s="16" t="s">
        <v>2127</v>
      </c>
      <c r="G581" s="6" t="s">
        <v>37</v>
      </c>
      <c r="H581" s="6" t="s">
        <v>2128</v>
      </c>
    </row>
    <row r="582" ht="12.75" customHeight="1">
      <c r="A582" s="6" t="s">
        <v>2129</v>
      </c>
      <c r="B582" s="6" t="s">
        <v>2115</v>
      </c>
      <c r="C582" s="6" t="s">
        <v>45</v>
      </c>
      <c r="D582" s="15" t="s">
        <v>726</v>
      </c>
      <c r="E582" s="15" t="s">
        <v>35</v>
      </c>
      <c r="F582" s="16" t="s">
        <v>2130</v>
      </c>
      <c r="G582" s="6" t="s">
        <v>37</v>
      </c>
      <c r="H582" s="6" t="s">
        <v>2131</v>
      </c>
    </row>
    <row r="583" ht="12.75" customHeight="1">
      <c r="A583" s="6" t="s">
        <v>2132</v>
      </c>
      <c r="B583" s="6" t="s">
        <v>2115</v>
      </c>
      <c r="C583" s="6" t="s">
        <v>70</v>
      </c>
      <c r="D583" s="15" t="s">
        <v>46</v>
      </c>
      <c r="E583" s="15" t="s">
        <v>35</v>
      </c>
      <c r="F583" s="16" t="s">
        <v>2133</v>
      </c>
      <c r="G583" s="6" t="s">
        <v>37</v>
      </c>
      <c r="H583" s="6" t="s">
        <v>2134</v>
      </c>
    </row>
    <row r="584" ht="12.75" customHeight="1">
      <c r="A584" s="6" t="s">
        <v>2135</v>
      </c>
      <c r="B584" s="6" t="s">
        <v>2115</v>
      </c>
      <c r="C584" s="6" t="s">
        <v>40</v>
      </c>
      <c r="D584" s="15" t="s">
        <v>35</v>
      </c>
      <c r="E584" s="15" t="s">
        <v>1152</v>
      </c>
      <c r="F584" s="16" t="s">
        <v>2136</v>
      </c>
      <c r="G584" s="6" t="s">
        <v>37</v>
      </c>
      <c r="H584" s="6" t="s">
        <v>2137</v>
      </c>
    </row>
    <row r="585" ht="12.75" customHeight="1">
      <c r="A585" s="6" t="s">
        <v>2138</v>
      </c>
      <c r="B585" s="6" t="s">
        <v>2115</v>
      </c>
      <c r="C585" s="6" t="s">
        <v>45</v>
      </c>
      <c r="D585" s="15" t="s">
        <v>2139</v>
      </c>
      <c r="E585" s="15" t="s">
        <v>35</v>
      </c>
      <c r="F585" s="16" t="s">
        <v>2140</v>
      </c>
      <c r="G585" s="6" t="s">
        <v>37</v>
      </c>
      <c r="H585" s="6" t="s">
        <v>2141</v>
      </c>
    </row>
    <row r="586" ht="12.75" customHeight="1">
      <c r="A586" s="6" t="s">
        <v>2142</v>
      </c>
      <c r="B586" s="6" t="s">
        <v>2115</v>
      </c>
      <c r="C586" s="6" t="s">
        <v>2143</v>
      </c>
      <c r="D586" s="15" t="s">
        <v>50</v>
      </c>
      <c r="E586" s="15" t="s">
        <v>35</v>
      </c>
      <c r="F586" s="16" t="s">
        <v>2144</v>
      </c>
      <c r="G586" s="6" t="s">
        <v>37</v>
      </c>
      <c r="H586" s="6" t="s">
        <v>2145</v>
      </c>
    </row>
    <row r="587" ht="12.75" customHeight="1">
      <c r="A587" s="6" t="s">
        <v>2146</v>
      </c>
      <c r="B587" s="6" t="s">
        <v>2115</v>
      </c>
      <c r="C587" s="6" t="s">
        <v>45</v>
      </c>
      <c r="D587" s="15" t="s">
        <v>754</v>
      </c>
      <c r="E587" s="15" t="s">
        <v>35</v>
      </c>
      <c r="F587" s="16" t="s">
        <v>2147</v>
      </c>
      <c r="G587" s="6" t="s">
        <v>37</v>
      </c>
      <c r="H587" s="6" t="s">
        <v>2148</v>
      </c>
    </row>
    <row r="588" ht="12.75" customHeight="1">
      <c r="A588" s="6" t="s">
        <v>2149</v>
      </c>
      <c r="B588" s="6" t="s">
        <v>2150</v>
      </c>
      <c r="C588" s="6" t="s">
        <v>40</v>
      </c>
      <c r="D588" s="15" t="s">
        <v>35</v>
      </c>
      <c r="E588" s="15" t="s">
        <v>443</v>
      </c>
      <c r="F588" s="16" t="s">
        <v>2151</v>
      </c>
      <c r="G588" s="6" t="s">
        <v>37</v>
      </c>
      <c r="H588" s="6" t="s">
        <v>2152</v>
      </c>
    </row>
    <row r="589" ht="12.75" customHeight="1">
      <c r="A589" s="6" t="s">
        <v>2153</v>
      </c>
      <c r="B589" s="6" t="s">
        <v>2150</v>
      </c>
      <c r="C589" s="6" t="s">
        <v>1518</v>
      </c>
      <c r="D589" s="15" t="s">
        <v>443</v>
      </c>
      <c r="E589" s="15" t="s">
        <v>35</v>
      </c>
      <c r="F589" s="16" t="s">
        <v>2147</v>
      </c>
      <c r="G589" s="6" t="s">
        <v>37</v>
      </c>
      <c r="H589" s="6" t="s">
        <v>2154</v>
      </c>
    </row>
    <row r="590" ht="12.75" customHeight="1">
      <c r="A590" s="6" t="s">
        <v>2155</v>
      </c>
      <c r="B590" s="6" t="s">
        <v>2150</v>
      </c>
      <c r="C590" s="6" t="s">
        <v>763</v>
      </c>
      <c r="D590" s="15" t="s">
        <v>35</v>
      </c>
      <c r="E590" s="15" t="s">
        <v>65</v>
      </c>
      <c r="F590" s="16" t="s">
        <v>2156</v>
      </c>
      <c r="G590" s="6" t="s">
        <v>37</v>
      </c>
      <c r="H590" s="6" t="s">
        <v>2157</v>
      </c>
    </row>
    <row r="591" ht="12.75" customHeight="1">
      <c r="A591" s="6" t="s">
        <v>2158</v>
      </c>
      <c r="B591" s="6" t="s">
        <v>2150</v>
      </c>
      <c r="C591" s="6" t="s">
        <v>70</v>
      </c>
      <c r="D591" s="15" t="s">
        <v>46</v>
      </c>
      <c r="E591" s="15" t="s">
        <v>35</v>
      </c>
      <c r="F591" s="16" t="s">
        <v>2159</v>
      </c>
      <c r="G591" s="6" t="s">
        <v>37</v>
      </c>
      <c r="H591" s="6" t="s">
        <v>2160</v>
      </c>
    </row>
    <row r="592" ht="12.75" customHeight="1">
      <c r="A592" s="6" t="s">
        <v>2161</v>
      </c>
      <c r="B592" s="6" t="s">
        <v>2150</v>
      </c>
      <c r="C592" s="6" t="s">
        <v>40</v>
      </c>
      <c r="D592" s="15" t="s">
        <v>35</v>
      </c>
      <c r="E592" s="15" t="s">
        <v>46</v>
      </c>
      <c r="F592" s="16" t="s">
        <v>2156</v>
      </c>
      <c r="G592" s="6" t="s">
        <v>37</v>
      </c>
      <c r="H592" s="6" t="s">
        <v>2162</v>
      </c>
    </row>
    <row r="593" ht="12.75" customHeight="1">
      <c r="A593" s="6" t="s">
        <v>2163</v>
      </c>
      <c r="B593" s="6" t="s">
        <v>2150</v>
      </c>
      <c r="C593" s="6" t="s">
        <v>397</v>
      </c>
      <c r="D593" s="15" t="s">
        <v>189</v>
      </c>
      <c r="E593" s="15" t="s">
        <v>35</v>
      </c>
      <c r="F593" s="16" t="s">
        <v>2164</v>
      </c>
      <c r="G593" s="6" t="s">
        <v>37</v>
      </c>
      <c r="H593" s="6" t="s">
        <v>2165</v>
      </c>
    </row>
    <row r="594" ht="12.75" customHeight="1">
      <c r="A594" s="6" t="s">
        <v>2166</v>
      </c>
      <c r="B594" s="6" t="s">
        <v>2150</v>
      </c>
      <c r="C594" s="6" t="s">
        <v>45</v>
      </c>
      <c r="D594" s="15" t="s">
        <v>183</v>
      </c>
      <c r="E594" s="15" t="s">
        <v>35</v>
      </c>
      <c r="F594" s="16" t="s">
        <v>2167</v>
      </c>
      <c r="G594" s="6" t="s">
        <v>37</v>
      </c>
      <c r="H594" s="6" t="s">
        <v>2168</v>
      </c>
    </row>
    <row r="595" ht="12.75" customHeight="1">
      <c r="A595" s="6" t="s">
        <v>2169</v>
      </c>
      <c r="B595" s="6" t="s">
        <v>2170</v>
      </c>
      <c r="C595" s="6" t="s">
        <v>2171</v>
      </c>
      <c r="D595" s="15" t="s">
        <v>35</v>
      </c>
      <c r="E595" s="15" t="s">
        <v>65</v>
      </c>
      <c r="F595" s="16" t="s">
        <v>2172</v>
      </c>
      <c r="G595" s="6" t="s">
        <v>37</v>
      </c>
      <c r="H595" s="6" t="s">
        <v>2173</v>
      </c>
    </row>
    <row r="596" ht="12.75" customHeight="1">
      <c r="A596" s="6" t="s">
        <v>2174</v>
      </c>
      <c r="B596" s="6" t="s">
        <v>2170</v>
      </c>
      <c r="C596" s="6" t="s">
        <v>70</v>
      </c>
      <c r="D596" s="15" t="s">
        <v>189</v>
      </c>
      <c r="E596" s="15" t="s">
        <v>35</v>
      </c>
      <c r="F596" s="16" t="s">
        <v>1274</v>
      </c>
      <c r="G596" s="6" t="s">
        <v>37</v>
      </c>
      <c r="H596" s="6" t="s">
        <v>2175</v>
      </c>
    </row>
    <row r="597" ht="12.75" customHeight="1">
      <c r="A597" s="6" t="s">
        <v>2176</v>
      </c>
      <c r="B597" s="6" t="s">
        <v>2170</v>
      </c>
      <c r="C597" s="6" t="s">
        <v>1518</v>
      </c>
      <c r="D597" s="15" t="s">
        <v>50</v>
      </c>
      <c r="E597" s="15" t="s">
        <v>35</v>
      </c>
      <c r="F597" s="16" t="s">
        <v>2177</v>
      </c>
      <c r="G597" s="6" t="s">
        <v>37</v>
      </c>
      <c r="H597" s="6" t="s">
        <v>2178</v>
      </c>
    </row>
    <row r="598" ht="12.75" customHeight="1">
      <c r="A598" s="6" t="s">
        <v>2179</v>
      </c>
      <c r="B598" s="6" t="s">
        <v>2170</v>
      </c>
      <c r="C598" s="6" t="s">
        <v>421</v>
      </c>
      <c r="D598" s="15" t="s">
        <v>65</v>
      </c>
      <c r="E598" s="15" t="s">
        <v>35</v>
      </c>
      <c r="F598" s="16" t="s">
        <v>2180</v>
      </c>
      <c r="G598" s="6" t="s">
        <v>37</v>
      </c>
      <c r="H598" s="6" t="s">
        <v>2181</v>
      </c>
    </row>
    <row r="599" ht="12.75" customHeight="1">
      <c r="A599" s="6" t="s">
        <v>2182</v>
      </c>
      <c r="B599" s="6" t="s">
        <v>2183</v>
      </c>
      <c r="C599" s="6" t="s">
        <v>2184</v>
      </c>
      <c r="D599" s="15" t="s">
        <v>35</v>
      </c>
      <c r="E599" s="15" t="s">
        <v>2185</v>
      </c>
      <c r="F599" s="16" t="s">
        <v>2186</v>
      </c>
      <c r="G599" s="6" t="s">
        <v>37</v>
      </c>
      <c r="H599" s="6" t="s">
        <v>2187</v>
      </c>
    </row>
    <row r="600" ht="12.75" customHeight="1">
      <c r="A600" s="6" t="s">
        <v>2188</v>
      </c>
      <c r="B600" s="6" t="s">
        <v>2183</v>
      </c>
      <c r="C600" s="6" t="s">
        <v>221</v>
      </c>
      <c r="D600" s="15" t="s">
        <v>222</v>
      </c>
      <c r="E600" s="15" t="s">
        <v>35</v>
      </c>
      <c r="F600" s="16" t="s">
        <v>2189</v>
      </c>
      <c r="G600" s="6" t="s">
        <v>37</v>
      </c>
      <c r="H600" s="6" t="s">
        <v>2190</v>
      </c>
    </row>
    <row r="601" ht="12.75" customHeight="1">
      <c r="A601" s="6" t="s">
        <v>2191</v>
      </c>
      <c r="B601" s="6" t="s">
        <v>2183</v>
      </c>
      <c r="C601" s="6" t="s">
        <v>397</v>
      </c>
      <c r="D601" s="15" t="s">
        <v>2192</v>
      </c>
      <c r="E601" s="15" t="s">
        <v>35</v>
      </c>
      <c r="F601" s="16" t="s">
        <v>2193</v>
      </c>
      <c r="G601" s="6" t="s">
        <v>37</v>
      </c>
      <c r="H601" s="6" t="s">
        <v>2194</v>
      </c>
    </row>
    <row r="602" ht="12.75" customHeight="1">
      <c r="A602" s="6" t="s">
        <v>2195</v>
      </c>
      <c r="B602" s="6" t="s">
        <v>2183</v>
      </c>
      <c r="C602" s="6" t="s">
        <v>70</v>
      </c>
      <c r="D602" s="15" t="s">
        <v>2043</v>
      </c>
      <c r="E602" s="15" t="s">
        <v>35</v>
      </c>
      <c r="F602" s="16" t="s">
        <v>2196</v>
      </c>
      <c r="G602" s="6" t="s">
        <v>37</v>
      </c>
      <c r="H602" s="6" t="s">
        <v>2197</v>
      </c>
    </row>
    <row r="603" ht="12.75" customHeight="1">
      <c r="A603" s="6" t="s">
        <v>2198</v>
      </c>
      <c r="B603" s="6" t="s">
        <v>2183</v>
      </c>
      <c r="C603" s="6" t="s">
        <v>1518</v>
      </c>
      <c r="D603" s="15" t="s">
        <v>65</v>
      </c>
      <c r="E603" s="15" t="s">
        <v>35</v>
      </c>
      <c r="F603" s="16" t="s">
        <v>2199</v>
      </c>
      <c r="G603" s="6" t="s">
        <v>37</v>
      </c>
      <c r="H603" s="6" t="s">
        <v>2200</v>
      </c>
    </row>
    <row r="604" ht="12.75" customHeight="1">
      <c r="A604" s="6" t="s">
        <v>2201</v>
      </c>
      <c r="B604" s="6" t="s">
        <v>2183</v>
      </c>
      <c r="C604" s="6" t="s">
        <v>33</v>
      </c>
      <c r="D604" s="15" t="s">
        <v>50</v>
      </c>
      <c r="E604" s="15" t="s">
        <v>35</v>
      </c>
      <c r="F604" s="16" t="s">
        <v>2202</v>
      </c>
      <c r="G604" s="6" t="s">
        <v>37</v>
      </c>
      <c r="H604" s="6" t="s">
        <v>2203</v>
      </c>
    </row>
    <row r="605" ht="12.75" customHeight="1">
      <c r="A605" s="6" t="s">
        <v>2204</v>
      </c>
      <c r="B605" s="6" t="s">
        <v>2183</v>
      </c>
      <c r="C605" s="6" t="s">
        <v>426</v>
      </c>
      <c r="D605" s="15" t="s">
        <v>50</v>
      </c>
      <c r="E605" s="15" t="s">
        <v>35</v>
      </c>
      <c r="F605" s="16" t="s">
        <v>2205</v>
      </c>
      <c r="G605" s="6" t="s">
        <v>37</v>
      </c>
      <c r="H605" s="6" t="s">
        <v>2206</v>
      </c>
    </row>
    <row r="606" ht="12.75" customHeight="1">
      <c r="A606" s="6" t="s">
        <v>2207</v>
      </c>
      <c r="B606" s="6" t="s">
        <v>2183</v>
      </c>
      <c r="C606" s="6" t="s">
        <v>2208</v>
      </c>
      <c r="D606" s="15" t="s">
        <v>665</v>
      </c>
      <c r="E606" s="15" t="s">
        <v>35</v>
      </c>
      <c r="F606" s="16" t="s">
        <v>2209</v>
      </c>
      <c r="G606" s="6" t="s">
        <v>37</v>
      </c>
      <c r="H606" s="6" t="s">
        <v>2210</v>
      </c>
    </row>
    <row r="607" ht="12.75" customHeight="1">
      <c r="A607" s="6" t="s">
        <v>2211</v>
      </c>
      <c r="B607" s="6" t="s">
        <v>2183</v>
      </c>
      <c r="C607" s="6" t="s">
        <v>303</v>
      </c>
      <c r="D607" s="15" t="s">
        <v>50</v>
      </c>
      <c r="E607" s="15" t="s">
        <v>35</v>
      </c>
      <c r="F607" s="16" t="s">
        <v>2212</v>
      </c>
      <c r="G607" s="6" t="s">
        <v>37</v>
      </c>
      <c r="H607" s="6" t="s">
        <v>2213</v>
      </c>
    </row>
    <row r="608" ht="12.75" customHeight="1">
      <c r="A608" s="6" t="s">
        <v>2214</v>
      </c>
      <c r="B608" s="6" t="s">
        <v>2183</v>
      </c>
      <c r="C608" s="6" t="s">
        <v>2215</v>
      </c>
      <c r="D608" s="15" t="s">
        <v>35</v>
      </c>
      <c r="E608" s="15" t="s">
        <v>65</v>
      </c>
      <c r="F608" s="16" t="s">
        <v>2216</v>
      </c>
      <c r="G608" s="6" t="s">
        <v>37</v>
      </c>
      <c r="H608" s="6" t="s">
        <v>2217</v>
      </c>
    </row>
    <row r="609" ht="12.75" customHeight="1">
      <c r="A609" s="6" t="s">
        <v>2218</v>
      </c>
      <c r="B609" s="6" t="s">
        <v>2183</v>
      </c>
      <c r="C609" s="6" t="s">
        <v>397</v>
      </c>
      <c r="D609" s="15" t="s">
        <v>2057</v>
      </c>
      <c r="E609" s="15" t="s">
        <v>35</v>
      </c>
      <c r="F609" s="16" t="s">
        <v>2219</v>
      </c>
      <c r="G609" s="6" t="s">
        <v>37</v>
      </c>
      <c r="H609" s="6" t="s">
        <v>2220</v>
      </c>
    </row>
    <row r="610" ht="12.75" customHeight="1">
      <c r="A610" s="6" t="s">
        <v>2221</v>
      </c>
      <c r="B610" s="6" t="s">
        <v>2183</v>
      </c>
      <c r="C610" s="6" t="s">
        <v>2084</v>
      </c>
      <c r="D610" s="15" t="s">
        <v>443</v>
      </c>
      <c r="E610" s="15" t="s">
        <v>35</v>
      </c>
      <c r="F610" s="16" t="s">
        <v>2222</v>
      </c>
      <c r="G610" s="6" t="s">
        <v>37</v>
      </c>
      <c r="H610" s="6" t="s">
        <v>2223</v>
      </c>
    </row>
    <row r="611" ht="12.75" customHeight="1">
      <c r="A611" s="6" t="s">
        <v>2224</v>
      </c>
      <c r="B611" s="6" t="s">
        <v>2225</v>
      </c>
      <c r="C611" s="6" t="s">
        <v>263</v>
      </c>
      <c r="D611" s="15" t="s">
        <v>2226</v>
      </c>
      <c r="E611" s="15" t="s">
        <v>35</v>
      </c>
      <c r="F611" s="16" t="s">
        <v>2227</v>
      </c>
      <c r="G611" s="6" t="s">
        <v>37</v>
      </c>
      <c r="H611" s="6" t="s">
        <v>2228</v>
      </c>
    </row>
    <row r="612" ht="12.75" customHeight="1">
      <c r="A612" s="6" t="s">
        <v>2229</v>
      </c>
      <c r="B612" s="6" t="s">
        <v>2225</v>
      </c>
      <c r="C612" s="6" t="s">
        <v>106</v>
      </c>
      <c r="D612" s="15" t="s">
        <v>515</v>
      </c>
      <c r="E612" s="15" t="s">
        <v>35</v>
      </c>
      <c r="F612" s="16" t="s">
        <v>2230</v>
      </c>
      <c r="G612" s="6" t="s">
        <v>37</v>
      </c>
      <c r="H612" s="6" t="s">
        <v>2231</v>
      </c>
    </row>
    <row r="613" ht="12.75" customHeight="1">
      <c r="A613" s="6" t="s">
        <v>2232</v>
      </c>
      <c r="B613" s="6" t="s">
        <v>2225</v>
      </c>
      <c r="C613" s="6" t="s">
        <v>2233</v>
      </c>
      <c r="D613" s="15" t="s">
        <v>55</v>
      </c>
      <c r="E613" s="15" t="s">
        <v>35</v>
      </c>
      <c r="F613" s="16" t="s">
        <v>2234</v>
      </c>
      <c r="G613" s="6" t="s">
        <v>37</v>
      </c>
      <c r="H613" s="6" t="s">
        <v>2235</v>
      </c>
    </row>
    <row r="614" ht="12.75" customHeight="1">
      <c r="A614" s="6" t="s">
        <v>2236</v>
      </c>
      <c r="B614" s="6" t="s">
        <v>2225</v>
      </c>
      <c r="C614" s="6" t="s">
        <v>2237</v>
      </c>
      <c r="D614" s="15" t="s">
        <v>71</v>
      </c>
      <c r="E614" s="15" t="s">
        <v>35</v>
      </c>
      <c r="F614" s="16" t="s">
        <v>2238</v>
      </c>
      <c r="G614" s="6" t="s">
        <v>37</v>
      </c>
      <c r="H614" s="6" t="s">
        <v>2239</v>
      </c>
    </row>
    <row r="615" ht="12.75" customHeight="1">
      <c r="A615" s="6" t="s">
        <v>2240</v>
      </c>
      <c r="B615" s="6" t="s">
        <v>2225</v>
      </c>
      <c r="C615" s="6" t="s">
        <v>2241</v>
      </c>
      <c r="D615" s="15" t="s">
        <v>50</v>
      </c>
      <c r="E615" s="15" t="s">
        <v>35</v>
      </c>
      <c r="F615" s="16" t="s">
        <v>2242</v>
      </c>
      <c r="G615" s="6" t="s">
        <v>37</v>
      </c>
      <c r="H615" s="6" t="s">
        <v>2243</v>
      </c>
    </row>
    <row r="616" ht="12.75" customHeight="1">
      <c r="A616" s="6" t="s">
        <v>2244</v>
      </c>
      <c r="B616" s="6" t="s">
        <v>2225</v>
      </c>
      <c r="C616" s="6" t="s">
        <v>871</v>
      </c>
      <c r="D616" s="15" t="s">
        <v>97</v>
      </c>
      <c r="E616" s="15" t="s">
        <v>35</v>
      </c>
      <c r="F616" s="16" t="s">
        <v>2245</v>
      </c>
      <c r="G616" s="6" t="s">
        <v>37</v>
      </c>
      <c r="H616" s="6" t="s">
        <v>2246</v>
      </c>
    </row>
    <row r="617" ht="12.75" customHeight="1">
      <c r="A617" s="6" t="s">
        <v>2247</v>
      </c>
      <c r="B617" s="6" t="s">
        <v>2225</v>
      </c>
      <c r="C617" s="6" t="s">
        <v>45</v>
      </c>
      <c r="D617" s="15" t="s">
        <v>1264</v>
      </c>
      <c r="E617" s="15" t="s">
        <v>35</v>
      </c>
      <c r="F617" s="16" t="s">
        <v>2248</v>
      </c>
      <c r="G617" s="6" t="s">
        <v>37</v>
      </c>
      <c r="H617" s="6" t="s">
        <v>2249</v>
      </c>
    </row>
    <row r="618" ht="12.75" customHeight="1">
      <c r="A618" s="6" t="s">
        <v>2250</v>
      </c>
      <c r="B618" s="6" t="s">
        <v>2251</v>
      </c>
      <c r="C618" s="6" t="s">
        <v>434</v>
      </c>
      <c r="D618" s="15" t="s">
        <v>189</v>
      </c>
      <c r="E618" s="15" t="s">
        <v>35</v>
      </c>
      <c r="F618" s="16" t="s">
        <v>2252</v>
      </c>
      <c r="G618" s="6" t="s">
        <v>37</v>
      </c>
      <c r="H618" s="6" t="s">
        <v>2253</v>
      </c>
    </row>
    <row r="619" ht="12.75" customHeight="1">
      <c r="A619" s="6" t="s">
        <v>2254</v>
      </c>
      <c r="B619" s="6" t="s">
        <v>2251</v>
      </c>
      <c r="C619" s="6" t="s">
        <v>70</v>
      </c>
      <c r="D619" s="15" t="s">
        <v>855</v>
      </c>
      <c r="E619" s="15" t="s">
        <v>35</v>
      </c>
      <c r="F619" s="16" t="s">
        <v>2255</v>
      </c>
      <c r="G619" s="6" t="s">
        <v>37</v>
      </c>
      <c r="H619" s="6" t="s">
        <v>2256</v>
      </c>
    </row>
    <row r="620" ht="12.75" customHeight="1">
      <c r="A620" s="6" t="s">
        <v>2257</v>
      </c>
      <c r="B620" s="6" t="s">
        <v>2251</v>
      </c>
      <c r="C620" s="6" t="s">
        <v>45</v>
      </c>
      <c r="D620" s="15" t="s">
        <v>971</v>
      </c>
      <c r="E620" s="15" t="s">
        <v>35</v>
      </c>
      <c r="F620" s="16" t="s">
        <v>2258</v>
      </c>
      <c r="G620" s="6" t="s">
        <v>37</v>
      </c>
      <c r="H620" s="6" t="s">
        <v>2259</v>
      </c>
    </row>
    <row r="621" ht="12.75" customHeight="1">
      <c r="A621" s="6" t="s">
        <v>2260</v>
      </c>
      <c r="B621" s="6" t="s">
        <v>2251</v>
      </c>
      <c r="C621" s="6" t="s">
        <v>397</v>
      </c>
      <c r="D621" s="15" t="s">
        <v>97</v>
      </c>
      <c r="E621" s="15" t="s">
        <v>35</v>
      </c>
      <c r="F621" s="16" t="s">
        <v>2261</v>
      </c>
      <c r="G621" s="6" t="s">
        <v>37</v>
      </c>
      <c r="H621" s="6" t="s">
        <v>2262</v>
      </c>
    </row>
    <row r="622" ht="12.75" customHeight="1">
      <c r="A622" s="6" t="s">
        <v>2263</v>
      </c>
      <c r="B622" s="6" t="s">
        <v>2264</v>
      </c>
      <c r="C622" s="6" t="s">
        <v>106</v>
      </c>
      <c r="D622" s="15" t="s">
        <v>685</v>
      </c>
      <c r="E622" s="15" t="s">
        <v>35</v>
      </c>
      <c r="F622" s="16" t="s">
        <v>2265</v>
      </c>
      <c r="G622" s="6" t="s">
        <v>37</v>
      </c>
      <c r="H622" s="6" t="s">
        <v>2266</v>
      </c>
    </row>
    <row r="623" ht="12.75" customHeight="1">
      <c r="A623" s="6" t="s">
        <v>2267</v>
      </c>
      <c r="B623" s="6" t="s">
        <v>2264</v>
      </c>
      <c r="C623" s="6" t="s">
        <v>360</v>
      </c>
      <c r="D623" s="15" t="s">
        <v>34</v>
      </c>
      <c r="E623" s="15" t="s">
        <v>35</v>
      </c>
      <c r="F623" s="16" t="s">
        <v>2268</v>
      </c>
      <c r="G623" s="6" t="s">
        <v>37</v>
      </c>
      <c r="H623" s="6" t="s">
        <v>2269</v>
      </c>
    </row>
    <row r="624" ht="12.75" customHeight="1">
      <c r="A624" s="6" t="s">
        <v>2270</v>
      </c>
      <c r="B624" s="6" t="s">
        <v>2264</v>
      </c>
      <c r="C624" s="6" t="s">
        <v>2271</v>
      </c>
      <c r="D624" s="15" t="s">
        <v>35</v>
      </c>
      <c r="E624" s="15" t="s">
        <v>2272</v>
      </c>
      <c r="F624" s="16" t="s">
        <v>2273</v>
      </c>
      <c r="G624" s="6" t="s">
        <v>37</v>
      </c>
      <c r="H624" s="6" t="s">
        <v>2274</v>
      </c>
    </row>
    <row r="625" ht="12.75" customHeight="1">
      <c r="A625" s="6" t="s">
        <v>2275</v>
      </c>
      <c r="B625" s="6" t="s">
        <v>2264</v>
      </c>
      <c r="C625" s="6" t="s">
        <v>221</v>
      </c>
      <c r="D625" s="15" t="s">
        <v>222</v>
      </c>
      <c r="E625" s="15" t="s">
        <v>35</v>
      </c>
      <c r="F625" s="16" t="s">
        <v>2276</v>
      </c>
      <c r="G625" s="6" t="s">
        <v>37</v>
      </c>
      <c r="H625" s="6" t="s">
        <v>2277</v>
      </c>
    </row>
    <row r="626" ht="12.75" customHeight="1">
      <c r="A626" s="6" t="s">
        <v>2278</v>
      </c>
      <c r="B626" s="6" t="s">
        <v>2264</v>
      </c>
      <c r="C626" s="6" t="s">
        <v>397</v>
      </c>
      <c r="D626" s="15" t="s">
        <v>2279</v>
      </c>
      <c r="E626" s="15" t="s">
        <v>35</v>
      </c>
      <c r="F626" s="16" t="s">
        <v>2280</v>
      </c>
      <c r="G626" s="6" t="s">
        <v>37</v>
      </c>
      <c r="H626" s="6" t="s">
        <v>2281</v>
      </c>
    </row>
    <row r="627" ht="12.75" customHeight="1">
      <c r="A627" s="6" t="s">
        <v>2282</v>
      </c>
      <c r="B627" s="6" t="s">
        <v>2264</v>
      </c>
      <c r="C627" s="6" t="s">
        <v>106</v>
      </c>
      <c r="D627" s="15" t="s">
        <v>515</v>
      </c>
      <c r="E627" s="15" t="s">
        <v>35</v>
      </c>
      <c r="F627" s="16" t="s">
        <v>2283</v>
      </c>
      <c r="G627" s="6" t="s">
        <v>37</v>
      </c>
      <c r="H627" s="6" t="s">
        <v>2284</v>
      </c>
    </row>
    <row r="628" ht="12.75" customHeight="1">
      <c r="A628" s="6" t="s">
        <v>2285</v>
      </c>
      <c r="B628" s="6" t="s">
        <v>2264</v>
      </c>
      <c r="C628" s="6" t="s">
        <v>70</v>
      </c>
      <c r="D628" s="15" t="s">
        <v>183</v>
      </c>
      <c r="E628" s="15" t="s">
        <v>35</v>
      </c>
      <c r="F628" s="16" t="s">
        <v>2286</v>
      </c>
      <c r="G628" s="6" t="s">
        <v>37</v>
      </c>
      <c r="H628" s="6" t="s">
        <v>2287</v>
      </c>
    </row>
    <row r="629" ht="12.75" customHeight="1">
      <c r="A629" s="6" t="s">
        <v>2288</v>
      </c>
      <c r="B629" s="6" t="s">
        <v>2289</v>
      </c>
      <c r="C629" s="6" t="s">
        <v>2290</v>
      </c>
      <c r="D629" s="15" t="s">
        <v>35</v>
      </c>
      <c r="E629" s="15" t="s">
        <v>623</v>
      </c>
      <c r="F629" s="16" t="s">
        <v>2291</v>
      </c>
      <c r="G629" s="6" t="s">
        <v>37</v>
      </c>
      <c r="H629" s="6" t="s">
        <v>2292</v>
      </c>
    </row>
    <row r="630" ht="12.75" customHeight="1">
      <c r="A630" s="6" t="s">
        <v>2293</v>
      </c>
      <c r="B630" s="6" t="s">
        <v>2289</v>
      </c>
      <c r="C630" s="6" t="s">
        <v>221</v>
      </c>
      <c r="D630" s="15" t="s">
        <v>222</v>
      </c>
      <c r="E630" s="15" t="s">
        <v>35</v>
      </c>
      <c r="F630" s="16" t="s">
        <v>2294</v>
      </c>
      <c r="G630" s="6" t="s">
        <v>37</v>
      </c>
      <c r="H630" s="6" t="s">
        <v>2295</v>
      </c>
    </row>
    <row r="631" ht="12.75" customHeight="1">
      <c r="A631" s="6" t="s">
        <v>2296</v>
      </c>
      <c r="B631" s="6" t="s">
        <v>2289</v>
      </c>
      <c r="C631" s="6" t="s">
        <v>426</v>
      </c>
      <c r="D631" s="15" t="s">
        <v>2297</v>
      </c>
      <c r="E631" s="15" t="s">
        <v>35</v>
      </c>
      <c r="F631" s="16" t="s">
        <v>2298</v>
      </c>
      <c r="G631" s="6" t="s">
        <v>37</v>
      </c>
      <c r="H631" s="6" t="s">
        <v>2299</v>
      </c>
    </row>
    <row r="632" ht="12.75" customHeight="1">
      <c r="A632" s="6" t="s">
        <v>2300</v>
      </c>
      <c r="B632" s="6" t="s">
        <v>2289</v>
      </c>
      <c r="C632" s="6" t="s">
        <v>33</v>
      </c>
      <c r="D632" s="15" t="s">
        <v>50</v>
      </c>
      <c r="E632" s="15" t="s">
        <v>35</v>
      </c>
      <c r="F632" s="16" t="s">
        <v>2301</v>
      </c>
      <c r="G632" s="6" t="s">
        <v>37</v>
      </c>
      <c r="H632" s="6" t="s">
        <v>2302</v>
      </c>
    </row>
    <row r="633" ht="12.75" customHeight="1">
      <c r="A633" s="6" t="s">
        <v>2303</v>
      </c>
      <c r="B633" s="6" t="s">
        <v>2289</v>
      </c>
      <c r="C633" s="6" t="s">
        <v>70</v>
      </c>
      <c r="D633" s="15" t="s">
        <v>189</v>
      </c>
      <c r="E633" s="15" t="s">
        <v>35</v>
      </c>
      <c r="F633" s="16" t="s">
        <v>2304</v>
      </c>
      <c r="G633" s="6" t="s">
        <v>37</v>
      </c>
      <c r="H633" s="6" t="s">
        <v>2305</v>
      </c>
    </row>
    <row r="634" ht="12.75" customHeight="1">
      <c r="A634" s="6" t="s">
        <v>2306</v>
      </c>
      <c r="B634" s="6" t="s">
        <v>2289</v>
      </c>
      <c r="C634" s="6" t="s">
        <v>45</v>
      </c>
      <c r="D634" s="15" t="s">
        <v>1412</v>
      </c>
      <c r="E634" s="15" t="s">
        <v>35</v>
      </c>
      <c r="F634" s="16" t="s">
        <v>2307</v>
      </c>
      <c r="G634" s="6" t="s">
        <v>37</v>
      </c>
      <c r="H634" s="6" t="s">
        <v>2308</v>
      </c>
    </row>
    <row r="635" ht="12.75" customHeight="1">
      <c r="A635" s="6" t="s">
        <v>2309</v>
      </c>
      <c r="B635" s="6" t="s">
        <v>2289</v>
      </c>
      <c r="C635" s="6" t="s">
        <v>871</v>
      </c>
      <c r="D635" s="15" t="s">
        <v>65</v>
      </c>
      <c r="E635" s="15" t="s">
        <v>35</v>
      </c>
      <c r="F635" s="16" t="s">
        <v>2310</v>
      </c>
      <c r="G635" s="6" t="s">
        <v>37</v>
      </c>
      <c r="H635" s="6" t="s">
        <v>2311</v>
      </c>
    </row>
    <row r="636" ht="12.75" customHeight="1">
      <c r="A636" s="6" t="s">
        <v>2312</v>
      </c>
      <c r="B636" s="6" t="s">
        <v>2313</v>
      </c>
      <c r="C636" s="6" t="s">
        <v>426</v>
      </c>
      <c r="D636" s="15" t="s">
        <v>97</v>
      </c>
      <c r="E636" s="15" t="s">
        <v>35</v>
      </c>
      <c r="F636" s="16" t="s">
        <v>2314</v>
      </c>
      <c r="G636" s="6" t="s">
        <v>37</v>
      </c>
      <c r="H636" s="6" t="s">
        <v>2315</v>
      </c>
    </row>
    <row r="637" ht="12.75" customHeight="1">
      <c r="A637" s="6" t="s">
        <v>2316</v>
      </c>
      <c r="B637" s="6" t="s">
        <v>2313</v>
      </c>
      <c r="C637" s="6" t="s">
        <v>2317</v>
      </c>
      <c r="D637" s="15" t="s">
        <v>97</v>
      </c>
      <c r="E637" s="15" t="s">
        <v>35</v>
      </c>
      <c r="F637" s="16" t="s">
        <v>2318</v>
      </c>
      <c r="G637" s="6" t="s">
        <v>37</v>
      </c>
      <c r="H637" s="6" t="s">
        <v>2319</v>
      </c>
    </row>
    <row r="638" ht="12.75" customHeight="1">
      <c r="A638" s="6" t="s">
        <v>2320</v>
      </c>
      <c r="B638" s="6" t="s">
        <v>2313</v>
      </c>
      <c r="C638" s="6" t="s">
        <v>172</v>
      </c>
      <c r="D638" s="15" t="s">
        <v>50</v>
      </c>
      <c r="E638" s="15" t="s">
        <v>35</v>
      </c>
      <c r="F638" s="16" t="s">
        <v>2321</v>
      </c>
      <c r="G638" s="6" t="s">
        <v>37</v>
      </c>
      <c r="H638" s="6" t="s">
        <v>2322</v>
      </c>
    </row>
    <row r="639" ht="12.75" customHeight="1">
      <c r="A639" s="6" t="s">
        <v>2323</v>
      </c>
      <c r="B639" s="6" t="s">
        <v>2313</v>
      </c>
      <c r="C639" s="6" t="s">
        <v>92</v>
      </c>
      <c r="D639" s="15" t="s">
        <v>34</v>
      </c>
      <c r="E639" s="15" t="s">
        <v>35</v>
      </c>
      <c r="F639" s="16" t="s">
        <v>2324</v>
      </c>
      <c r="G639" s="6" t="s">
        <v>37</v>
      </c>
      <c r="H639" s="6" t="s">
        <v>2325</v>
      </c>
    </row>
    <row r="640" ht="12.75" customHeight="1">
      <c r="A640" s="6" t="s">
        <v>2326</v>
      </c>
      <c r="B640" s="6" t="s">
        <v>2313</v>
      </c>
      <c r="C640" s="6" t="s">
        <v>2327</v>
      </c>
      <c r="D640" s="15" t="s">
        <v>97</v>
      </c>
      <c r="E640" s="15" t="s">
        <v>35</v>
      </c>
      <c r="F640" s="16" t="s">
        <v>2328</v>
      </c>
      <c r="G640" s="6" t="s">
        <v>37</v>
      </c>
      <c r="H640" s="6" t="s">
        <v>2329</v>
      </c>
    </row>
    <row r="641" ht="12.75" customHeight="1">
      <c r="A641" s="6" t="s">
        <v>2330</v>
      </c>
      <c r="B641" s="6" t="s">
        <v>2313</v>
      </c>
      <c r="C641" s="6" t="s">
        <v>2331</v>
      </c>
      <c r="D641" s="15" t="s">
        <v>35</v>
      </c>
      <c r="E641" s="15" t="s">
        <v>71</v>
      </c>
      <c r="F641" s="16" t="s">
        <v>2332</v>
      </c>
      <c r="G641" s="6" t="s">
        <v>37</v>
      </c>
      <c r="H641" s="6" t="s">
        <v>2333</v>
      </c>
    </row>
    <row r="642" ht="12.75" customHeight="1">
      <c r="A642" s="6" t="s">
        <v>2334</v>
      </c>
      <c r="B642" s="6" t="s">
        <v>2335</v>
      </c>
      <c r="C642" s="6" t="s">
        <v>33</v>
      </c>
      <c r="D642" s="15" t="s">
        <v>50</v>
      </c>
      <c r="E642" s="15" t="s">
        <v>35</v>
      </c>
      <c r="F642" s="16" t="s">
        <v>2336</v>
      </c>
      <c r="G642" s="6" t="s">
        <v>37</v>
      </c>
      <c r="H642" s="6" t="s">
        <v>2337</v>
      </c>
    </row>
    <row r="643" ht="12.75" customHeight="1">
      <c r="A643" s="6" t="s">
        <v>2338</v>
      </c>
      <c r="B643" s="6" t="s">
        <v>2335</v>
      </c>
      <c r="C643" s="6" t="s">
        <v>2339</v>
      </c>
      <c r="D643" s="15" t="s">
        <v>50</v>
      </c>
      <c r="E643" s="15" t="s">
        <v>35</v>
      </c>
      <c r="F643" s="16" t="s">
        <v>2324</v>
      </c>
      <c r="G643" s="6" t="s">
        <v>37</v>
      </c>
      <c r="H643" s="6" t="s">
        <v>2340</v>
      </c>
    </row>
    <row r="644" ht="12.75" customHeight="1">
      <c r="A644" s="6" t="s">
        <v>2341</v>
      </c>
      <c r="B644" s="6" t="s">
        <v>2335</v>
      </c>
      <c r="C644" s="6" t="s">
        <v>1518</v>
      </c>
      <c r="D644" s="15" t="s">
        <v>50</v>
      </c>
      <c r="E644" s="15" t="s">
        <v>35</v>
      </c>
      <c r="F644" s="16" t="s">
        <v>2342</v>
      </c>
      <c r="G644" s="6" t="s">
        <v>37</v>
      </c>
      <c r="H644" s="6" t="s">
        <v>2343</v>
      </c>
    </row>
    <row r="645" ht="12.75" customHeight="1">
      <c r="A645" s="6" t="s">
        <v>2344</v>
      </c>
      <c r="B645" s="6" t="s">
        <v>2335</v>
      </c>
      <c r="C645" s="6" t="s">
        <v>70</v>
      </c>
      <c r="D645" s="15" t="s">
        <v>97</v>
      </c>
      <c r="E645" s="15" t="s">
        <v>35</v>
      </c>
      <c r="F645" s="16" t="s">
        <v>2345</v>
      </c>
      <c r="G645" s="6" t="s">
        <v>37</v>
      </c>
      <c r="H645" s="6" t="s">
        <v>2346</v>
      </c>
    </row>
    <row r="646" ht="12.75" customHeight="1">
      <c r="A646" s="6" t="s">
        <v>2347</v>
      </c>
      <c r="B646" s="6" t="s">
        <v>2335</v>
      </c>
      <c r="C646" s="6" t="s">
        <v>1345</v>
      </c>
      <c r="D646" s="15" t="s">
        <v>515</v>
      </c>
      <c r="E646" s="15" t="s">
        <v>35</v>
      </c>
      <c r="F646" s="16" t="s">
        <v>2348</v>
      </c>
      <c r="G646" s="6" t="s">
        <v>37</v>
      </c>
      <c r="H646" s="6" t="s">
        <v>2349</v>
      </c>
    </row>
    <row r="647" ht="12.75" customHeight="1">
      <c r="A647" s="6" t="s">
        <v>2350</v>
      </c>
      <c r="B647" s="6" t="s">
        <v>2351</v>
      </c>
      <c r="C647" s="6" t="s">
        <v>2352</v>
      </c>
      <c r="D647" s="15" t="s">
        <v>35</v>
      </c>
      <c r="E647" s="15" t="s">
        <v>335</v>
      </c>
      <c r="F647" s="16" t="s">
        <v>2353</v>
      </c>
      <c r="G647" s="6" t="s">
        <v>37</v>
      </c>
      <c r="H647" s="6" t="s">
        <v>2354</v>
      </c>
    </row>
    <row r="648" ht="12.75" customHeight="1">
      <c r="A648" s="6" t="s">
        <v>2355</v>
      </c>
      <c r="B648" s="6" t="s">
        <v>2351</v>
      </c>
      <c r="C648" s="6" t="s">
        <v>208</v>
      </c>
      <c r="D648" s="15" t="s">
        <v>35</v>
      </c>
      <c r="E648" s="15" t="s">
        <v>2356</v>
      </c>
      <c r="F648" s="16" t="s">
        <v>2357</v>
      </c>
      <c r="G648" s="6" t="s">
        <v>37</v>
      </c>
      <c r="H648" s="6" t="s">
        <v>2358</v>
      </c>
    </row>
    <row r="649" ht="12.75" customHeight="1">
      <c r="A649" s="6" t="s">
        <v>2359</v>
      </c>
      <c r="B649" s="6" t="s">
        <v>2351</v>
      </c>
      <c r="C649" s="6" t="s">
        <v>221</v>
      </c>
      <c r="D649" s="15" t="s">
        <v>222</v>
      </c>
      <c r="E649" s="15" t="s">
        <v>35</v>
      </c>
      <c r="F649" s="16" t="s">
        <v>2360</v>
      </c>
      <c r="G649" s="6" t="s">
        <v>37</v>
      </c>
      <c r="H649" s="6" t="s">
        <v>2361</v>
      </c>
    </row>
    <row r="650" ht="12.75" customHeight="1">
      <c r="A650" s="6" t="s">
        <v>2362</v>
      </c>
      <c r="B650" s="6" t="s">
        <v>2351</v>
      </c>
      <c r="C650" s="6" t="s">
        <v>2363</v>
      </c>
      <c r="D650" s="15" t="s">
        <v>256</v>
      </c>
      <c r="E650" s="15" t="s">
        <v>35</v>
      </c>
      <c r="F650" s="16" t="s">
        <v>2364</v>
      </c>
      <c r="G650" s="6" t="s">
        <v>37</v>
      </c>
      <c r="H650" s="6" t="s">
        <v>2365</v>
      </c>
    </row>
    <row r="651" ht="12.75" customHeight="1">
      <c r="A651" s="6" t="s">
        <v>2366</v>
      </c>
      <c r="B651" s="6" t="s">
        <v>2351</v>
      </c>
      <c r="C651" s="6" t="s">
        <v>912</v>
      </c>
      <c r="D651" s="15" t="s">
        <v>35</v>
      </c>
      <c r="E651" s="15" t="s">
        <v>50</v>
      </c>
      <c r="F651" s="16" t="s">
        <v>2367</v>
      </c>
      <c r="G651" s="6" t="s">
        <v>37</v>
      </c>
      <c r="H651" s="6" t="s">
        <v>2368</v>
      </c>
    </row>
    <row r="652" ht="12.75" customHeight="1">
      <c r="A652" s="6" t="s">
        <v>2369</v>
      </c>
      <c r="B652" s="6" t="s">
        <v>2351</v>
      </c>
      <c r="C652" s="6" t="s">
        <v>2370</v>
      </c>
      <c r="D652" s="15" t="s">
        <v>2371</v>
      </c>
      <c r="E652" s="15" t="s">
        <v>35</v>
      </c>
      <c r="F652" s="16" t="s">
        <v>2372</v>
      </c>
      <c r="G652" s="6" t="s">
        <v>37</v>
      </c>
      <c r="H652" s="6" t="s">
        <v>2373</v>
      </c>
    </row>
    <row r="653" ht="12.75" customHeight="1">
      <c r="A653" s="6" t="s">
        <v>2374</v>
      </c>
      <c r="B653" s="6" t="s">
        <v>2351</v>
      </c>
      <c r="C653" s="6" t="s">
        <v>397</v>
      </c>
      <c r="D653" s="15" t="s">
        <v>855</v>
      </c>
      <c r="E653" s="15" t="s">
        <v>35</v>
      </c>
      <c r="F653" s="16" t="s">
        <v>2375</v>
      </c>
      <c r="G653" s="6" t="s">
        <v>37</v>
      </c>
      <c r="H653" s="6" t="s">
        <v>2376</v>
      </c>
    </row>
    <row r="654" ht="12.75" customHeight="1">
      <c r="A654" s="6" t="s">
        <v>2377</v>
      </c>
      <c r="B654" s="6" t="s">
        <v>2378</v>
      </c>
      <c r="C654" s="6" t="s">
        <v>70</v>
      </c>
      <c r="D654" s="15" t="s">
        <v>251</v>
      </c>
      <c r="E654" s="15" t="s">
        <v>35</v>
      </c>
      <c r="F654" s="16" t="s">
        <v>2328</v>
      </c>
      <c r="G654" s="6" t="s">
        <v>37</v>
      </c>
      <c r="H654" s="6" t="s">
        <v>2379</v>
      </c>
    </row>
    <row r="655" ht="12.75" customHeight="1">
      <c r="A655" s="6" t="s">
        <v>2380</v>
      </c>
      <c r="B655" s="6" t="s">
        <v>2378</v>
      </c>
      <c r="C655" s="6" t="s">
        <v>1816</v>
      </c>
      <c r="D655" s="15" t="s">
        <v>34</v>
      </c>
      <c r="E655" s="15" t="s">
        <v>35</v>
      </c>
      <c r="F655" s="16" t="s">
        <v>2381</v>
      </c>
      <c r="G655" s="6" t="s">
        <v>37</v>
      </c>
      <c r="H655" s="6" t="s">
        <v>2382</v>
      </c>
    </row>
    <row r="656" ht="12.75" customHeight="1">
      <c r="A656" s="6" t="s">
        <v>2383</v>
      </c>
      <c r="B656" s="6" t="s">
        <v>2378</v>
      </c>
      <c r="C656" s="6" t="s">
        <v>2384</v>
      </c>
      <c r="D656" s="15" t="s">
        <v>183</v>
      </c>
      <c r="E656" s="15" t="s">
        <v>35</v>
      </c>
      <c r="F656" s="16" t="s">
        <v>2385</v>
      </c>
      <c r="G656" s="6" t="s">
        <v>37</v>
      </c>
      <c r="H656" s="6" t="s">
        <v>2386</v>
      </c>
    </row>
    <row r="657" ht="12.75" customHeight="1">
      <c r="A657" s="6" t="s">
        <v>2387</v>
      </c>
      <c r="B657" s="6" t="s">
        <v>2378</v>
      </c>
      <c r="C657" s="6" t="s">
        <v>2388</v>
      </c>
      <c r="D657" s="15" t="s">
        <v>35</v>
      </c>
      <c r="E657" s="15" t="s">
        <v>443</v>
      </c>
      <c r="F657" s="16" t="s">
        <v>2389</v>
      </c>
      <c r="G657" s="6" t="s">
        <v>37</v>
      </c>
      <c r="H657" s="6" t="s">
        <v>2390</v>
      </c>
    </row>
    <row r="658" ht="12.75" customHeight="1">
      <c r="A658" s="6" t="s">
        <v>2391</v>
      </c>
      <c r="B658" s="6" t="s">
        <v>2392</v>
      </c>
      <c r="C658" s="6" t="s">
        <v>33</v>
      </c>
      <c r="D658" s="15" t="s">
        <v>50</v>
      </c>
      <c r="E658" s="15" t="s">
        <v>35</v>
      </c>
      <c r="F658" s="16" t="s">
        <v>2393</v>
      </c>
      <c r="G658" s="6" t="s">
        <v>37</v>
      </c>
      <c r="H658" s="6" t="s">
        <v>2394</v>
      </c>
    </row>
    <row r="659" ht="12.75" customHeight="1">
      <c r="A659" s="6" t="s">
        <v>2395</v>
      </c>
      <c r="B659" s="6" t="s">
        <v>2392</v>
      </c>
      <c r="C659" s="6" t="s">
        <v>2384</v>
      </c>
      <c r="D659" s="15" t="s">
        <v>65</v>
      </c>
      <c r="E659" s="15" t="s">
        <v>35</v>
      </c>
      <c r="F659" s="16" t="s">
        <v>2396</v>
      </c>
      <c r="G659" s="6" t="s">
        <v>37</v>
      </c>
      <c r="H659" s="6" t="s">
        <v>2397</v>
      </c>
    </row>
    <row r="660" ht="12.75" customHeight="1">
      <c r="A660" s="6" t="s">
        <v>2398</v>
      </c>
      <c r="B660" s="6" t="s">
        <v>2392</v>
      </c>
      <c r="C660" s="6" t="s">
        <v>1236</v>
      </c>
      <c r="D660" s="15" t="s">
        <v>35</v>
      </c>
      <c r="E660" s="15" t="s">
        <v>65</v>
      </c>
      <c r="F660" s="16" t="s">
        <v>2393</v>
      </c>
      <c r="G660" s="6" t="s">
        <v>37</v>
      </c>
      <c r="H660" s="6" t="s">
        <v>2399</v>
      </c>
    </row>
    <row r="661" ht="12.75" customHeight="1">
      <c r="A661" s="6" t="s">
        <v>2400</v>
      </c>
      <c r="B661" s="6" t="s">
        <v>2401</v>
      </c>
      <c r="C661" s="6" t="s">
        <v>2402</v>
      </c>
      <c r="D661" s="15" t="s">
        <v>2403</v>
      </c>
      <c r="E661" s="15" t="s">
        <v>35</v>
      </c>
      <c r="F661" s="16" t="s">
        <v>2404</v>
      </c>
      <c r="G661" s="6" t="s">
        <v>37</v>
      </c>
      <c r="H661" s="6" t="s">
        <v>2405</v>
      </c>
    </row>
    <row r="662" ht="12.75" customHeight="1">
      <c r="A662" s="6" t="s">
        <v>2406</v>
      </c>
      <c r="B662" s="6" t="s">
        <v>2401</v>
      </c>
      <c r="C662" s="6" t="s">
        <v>2407</v>
      </c>
      <c r="D662" s="15" t="s">
        <v>665</v>
      </c>
      <c r="E662" s="15" t="s">
        <v>35</v>
      </c>
      <c r="F662" s="16" t="s">
        <v>2408</v>
      </c>
      <c r="G662" s="6" t="s">
        <v>37</v>
      </c>
      <c r="H662" s="6" t="s">
        <v>2409</v>
      </c>
    </row>
    <row r="663" ht="12.75" customHeight="1">
      <c r="A663" s="6" t="s">
        <v>2410</v>
      </c>
      <c r="B663" s="6" t="s">
        <v>2411</v>
      </c>
      <c r="C663" s="6" t="s">
        <v>2412</v>
      </c>
      <c r="D663" s="15" t="s">
        <v>183</v>
      </c>
      <c r="E663" s="15" t="s">
        <v>35</v>
      </c>
      <c r="F663" s="16" t="s">
        <v>2413</v>
      </c>
      <c r="G663" s="6" t="s">
        <v>37</v>
      </c>
      <c r="H663" s="6" t="s">
        <v>2414</v>
      </c>
    </row>
    <row r="664" ht="12.75" customHeight="1">
      <c r="A664" s="6" t="s">
        <v>2415</v>
      </c>
      <c r="B664" s="6" t="s">
        <v>2411</v>
      </c>
      <c r="C664" s="6" t="s">
        <v>2412</v>
      </c>
      <c r="D664" s="15" t="s">
        <v>50</v>
      </c>
      <c r="E664" s="15" t="s">
        <v>35</v>
      </c>
      <c r="F664" s="16" t="s">
        <v>2416</v>
      </c>
      <c r="G664" s="6" t="s">
        <v>37</v>
      </c>
      <c r="H664" s="6" t="s">
        <v>2417</v>
      </c>
    </row>
    <row r="665" ht="12.75" customHeight="1">
      <c r="A665" s="6" t="s">
        <v>2418</v>
      </c>
      <c r="B665" s="6" t="s">
        <v>2419</v>
      </c>
      <c r="C665" s="6" t="s">
        <v>2412</v>
      </c>
      <c r="D665" s="15" t="s">
        <v>189</v>
      </c>
      <c r="E665" s="15" t="s">
        <v>35</v>
      </c>
      <c r="F665" s="16" t="s">
        <v>2420</v>
      </c>
      <c r="G665" s="6" t="s">
        <v>37</v>
      </c>
      <c r="H665" s="6" t="s">
        <v>2421</v>
      </c>
    </row>
    <row r="666" ht="12.75" customHeight="1">
      <c r="A666" s="6" t="s">
        <v>2422</v>
      </c>
      <c r="B666" s="6" t="s">
        <v>2419</v>
      </c>
      <c r="C666" s="6" t="s">
        <v>2423</v>
      </c>
      <c r="D666" s="15" t="s">
        <v>97</v>
      </c>
      <c r="E666" s="15" t="s">
        <v>35</v>
      </c>
      <c r="F666" s="16" t="s">
        <v>2424</v>
      </c>
      <c r="G666" s="6" t="s">
        <v>37</v>
      </c>
      <c r="H666" s="6" t="s">
        <v>2425</v>
      </c>
    </row>
    <row r="667" ht="12.75" customHeight="1">
      <c r="A667" s="6" t="s">
        <v>2426</v>
      </c>
      <c r="B667" s="6" t="s">
        <v>2419</v>
      </c>
      <c r="C667" s="6" t="s">
        <v>70</v>
      </c>
      <c r="D667" s="15" t="s">
        <v>97</v>
      </c>
      <c r="E667" s="15" t="s">
        <v>35</v>
      </c>
      <c r="F667" s="16" t="s">
        <v>2427</v>
      </c>
      <c r="G667" s="6" t="s">
        <v>37</v>
      </c>
      <c r="H667" s="6" t="s">
        <v>2428</v>
      </c>
    </row>
    <row r="668" ht="12.75" customHeight="1">
      <c r="A668" s="6" t="s">
        <v>2429</v>
      </c>
      <c r="B668" s="6" t="s">
        <v>2430</v>
      </c>
      <c r="C668" s="6" t="s">
        <v>40</v>
      </c>
      <c r="D668" s="15" t="s">
        <v>35</v>
      </c>
      <c r="E668" s="15" t="s">
        <v>97</v>
      </c>
      <c r="F668" s="16" t="s">
        <v>2424</v>
      </c>
      <c r="G668" s="6" t="s">
        <v>2431</v>
      </c>
      <c r="H668" s="6" t="s">
        <v>2432</v>
      </c>
    </row>
    <row r="669" ht="12.75" customHeight="1">
      <c r="A669" s="6" t="s">
        <v>2433</v>
      </c>
      <c r="B669" s="6" t="s">
        <v>2430</v>
      </c>
      <c r="C669" s="6" t="s">
        <v>2384</v>
      </c>
      <c r="D669" s="15" t="s">
        <v>97</v>
      </c>
      <c r="E669" s="15" t="s">
        <v>35</v>
      </c>
      <c r="F669" s="16" t="s">
        <v>2427</v>
      </c>
      <c r="G669" s="6" t="s">
        <v>37</v>
      </c>
      <c r="H669" s="6" t="s">
        <v>2434</v>
      </c>
    </row>
    <row r="670" ht="12.75" customHeight="1">
      <c r="A670" s="6" t="s">
        <v>2435</v>
      </c>
      <c r="B670" s="6" t="s">
        <v>2436</v>
      </c>
      <c r="C670" s="6" t="s">
        <v>168</v>
      </c>
      <c r="D670" s="15" t="s">
        <v>35</v>
      </c>
      <c r="E670" s="15" t="s">
        <v>65</v>
      </c>
      <c r="F670" s="16" t="s">
        <v>2437</v>
      </c>
      <c r="G670" s="6" t="s">
        <v>37</v>
      </c>
      <c r="H670" s="6" t="s">
        <v>2438</v>
      </c>
    </row>
    <row r="671" ht="12.75" customHeight="1">
      <c r="A671" s="6" t="s">
        <v>2439</v>
      </c>
      <c r="B671" s="6" t="s">
        <v>2436</v>
      </c>
      <c r="C671" s="6" t="s">
        <v>40</v>
      </c>
      <c r="D671" s="15" t="s">
        <v>35</v>
      </c>
      <c r="E671" s="15" t="s">
        <v>855</v>
      </c>
      <c r="F671" s="16" t="s">
        <v>2440</v>
      </c>
      <c r="G671" s="6" t="s">
        <v>2431</v>
      </c>
      <c r="H671" s="6" t="s">
        <v>2441</v>
      </c>
    </row>
    <row r="672" ht="12.75" customHeight="1">
      <c r="A672" s="6" t="s">
        <v>2442</v>
      </c>
      <c r="B672" s="6" t="s">
        <v>2436</v>
      </c>
      <c r="C672" s="6" t="s">
        <v>2384</v>
      </c>
      <c r="D672" s="15" t="s">
        <v>855</v>
      </c>
      <c r="E672" s="15" t="s">
        <v>35</v>
      </c>
      <c r="F672" s="16" t="s">
        <v>2437</v>
      </c>
      <c r="G672" s="6" t="s">
        <v>37</v>
      </c>
      <c r="H672" s="6" t="s">
        <v>2443</v>
      </c>
    </row>
    <row r="673" ht="12.75" customHeight="1">
      <c r="A673" s="6" t="s">
        <v>2444</v>
      </c>
      <c r="B673" s="6" t="s">
        <v>2436</v>
      </c>
      <c r="C673" s="6" t="s">
        <v>2445</v>
      </c>
      <c r="D673" s="15" t="s">
        <v>35</v>
      </c>
      <c r="E673" s="15" t="s">
        <v>335</v>
      </c>
      <c r="F673" s="16" t="s">
        <v>2446</v>
      </c>
      <c r="G673" s="6" t="s">
        <v>37</v>
      </c>
      <c r="H673" s="6" t="s">
        <v>2447</v>
      </c>
    </row>
    <row r="674" ht="12.75" customHeight="1">
      <c r="A674" s="6" t="s">
        <v>2448</v>
      </c>
      <c r="B674" s="6" t="s">
        <v>2436</v>
      </c>
      <c r="C674" s="6" t="s">
        <v>2449</v>
      </c>
      <c r="D674" s="15" t="s">
        <v>2371</v>
      </c>
      <c r="E674" s="15" t="s">
        <v>35</v>
      </c>
      <c r="F674" s="16" t="s">
        <v>2450</v>
      </c>
      <c r="G674" s="6" t="s">
        <v>37</v>
      </c>
      <c r="H674" s="6" t="s">
        <v>2451</v>
      </c>
    </row>
    <row r="675" ht="12.75" customHeight="1">
      <c r="A675" s="6" t="s">
        <v>2452</v>
      </c>
      <c r="B675" s="6" t="s">
        <v>2453</v>
      </c>
      <c r="C675" s="6" t="s">
        <v>33</v>
      </c>
      <c r="D675" s="15" t="s">
        <v>50</v>
      </c>
      <c r="E675" s="15" t="s">
        <v>35</v>
      </c>
      <c r="F675" s="16" t="s">
        <v>2454</v>
      </c>
      <c r="G675" s="6" t="s">
        <v>37</v>
      </c>
      <c r="H675" s="6" t="s">
        <v>2455</v>
      </c>
    </row>
    <row r="676" ht="12.75" customHeight="1">
      <c r="A676" s="6" t="s">
        <v>2456</v>
      </c>
      <c r="B676" s="6" t="s">
        <v>2453</v>
      </c>
      <c r="C676" s="6" t="s">
        <v>148</v>
      </c>
      <c r="D676" s="15" t="s">
        <v>890</v>
      </c>
      <c r="E676" s="15" t="s">
        <v>35</v>
      </c>
      <c r="F676" s="16" t="s">
        <v>2457</v>
      </c>
      <c r="G676" s="6" t="s">
        <v>37</v>
      </c>
      <c r="H676" s="6" t="s">
        <v>2458</v>
      </c>
    </row>
    <row r="677" ht="12.75" customHeight="1">
      <c r="A677" s="6" t="s">
        <v>2459</v>
      </c>
      <c r="B677" s="6" t="s">
        <v>2453</v>
      </c>
      <c r="C677" s="6" t="s">
        <v>2460</v>
      </c>
      <c r="D677" s="15" t="s">
        <v>35</v>
      </c>
      <c r="E677" s="15" t="s">
        <v>251</v>
      </c>
      <c r="F677" s="16" t="s">
        <v>2461</v>
      </c>
      <c r="G677" s="6" t="s">
        <v>37</v>
      </c>
      <c r="H677" s="6" t="s">
        <v>2462</v>
      </c>
    </row>
    <row r="678" ht="12.75" customHeight="1">
      <c r="A678" s="6" t="s">
        <v>2463</v>
      </c>
      <c r="B678" s="6" t="s">
        <v>2453</v>
      </c>
      <c r="C678" s="6" t="s">
        <v>33</v>
      </c>
      <c r="D678" s="15" t="s">
        <v>50</v>
      </c>
      <c r="E678" s="15" t="s">
        <v>35</v>
      </c>
      <c r="F678" s="16" t="s">
        <v>2464</v>
      </c>
      <c r="G678" s="6" t="s">
        <v>37</v>
      </c>
      <c r="H678" s="6" t="s">
        <v>2465</v>
      </c>
    </row>
    <row r="679" ht="12.75" customHeight="1">
      <c r="A679" s="6" t="s">
        <v>2466</v>
      </c>
      <c r="B679" s="6" t="s">
        <v>2453</v>
      </c>
      <c r="C679" s="6" t="s">
        <v>127</v>
      </c>
      <c r="D679" s="15" t="s">
        <v>35</v>
      </c>
      <c r="E679" s="15" t="s">
        <v>2467</v>
      </c>
      <c r="F679" s="16" t="s">
        <v>2468</v>
      </c>
      <c r="G679" s="6" t="s">
        <v>37</v>
      </c>
      <c r="H679" s="6" t="s">
        <v>2469</v>
      </c>
    </row>
    <row r="680" ht="12.75" customHeight="1">
      <c r="A680" s="6" t="s">
        <v>2470</v>
      </c>
      <c r="B680" s="6" t="s">
        <v>2453</v>
      </c>
      <c r="C680" s="6" t="s">
        <v>221</v>
      </c>
      <c r="D680" s="15" t="s">
        <v>222</v>
      </c>
      <c r="E680" s="15" t="s">
        <v>35</v>
      </c>
      <c r="F680" s="16" t="s">
        <v>2471</v>
      </c>
      <c r="G680" s="6" t="s">
        <v>37</v>
      </c>
      <c r="H680" s="6" t="s">
        <v>2472</v>
      </c>
    </row>
    <row r="681" ht="12.75" customHeight="1">
      <c r="A681" s="6" t="s">
        <v>2473</v>
      </c>
      <c r="B681" s="6" t="s">
        <v>2453</v>
      </c>
      <c r="C681" s="6" t="s">
        <v>127</v>
      </c>
      <c r="D681" s="15" t="s">
        <v>35</v>
      </c>
      <c r="E681" s="15" t="s">
        <v>264</v>
      </c>
      <c r="F681" s="16" t="s">
        <v>2474</v>
      </c>
      <c r="G681" s="6" t="s">
        <v>37</v>
      </c>
      <c r="H681" s="6" t="s">
        <v>2475</v>
      </c>
    </row>
    <row r="682" ht="12.75" customHeight="1">
      <c r="A682" s="6" t="s">
        <v>2476</v>
      </c>
      <c r="B682" s="6" t="s">
        <v>2453</v>
      </c>
      <c r="C682" s="6" t="s">
        <v>136</v>
      </c>
      <c r="D682" s="15" t="s">
        <v>2030</v>
      </c>
      <c r="E682" s="15" t="s">
        <v>35</v>
      </c>
      <c r="F682" s="16" t="s">
        <v>2477</v>
      </c>
      <c r="G682" s="6" t="s">
        <v>37</v>
      </c>
      <c r="H682" s="6" t="s">
        <v>2478</v>
      </c>
    </row>
    <row r="683" ht="12.75" customHeight="1">
      <c r="A683" s="6" t="s">
        <v>2479</v>
      </c>
      <c r="B683" s="6" t="s">
        <v>2453</v>
      </c>
      <c r="C683" s="6" t="s">
        <v>421</v>
      </c>
      <c r="D683" s="15" t="s">
        <v>665</v>
      </c>
      <c r="E683" s="15" t="s">
        <v>35</v>
      </c>
      <c r="F683" s="16" t="s">
        <v>1676</v>
      </c>
      <c r="G683" s="6" t="s">
        <v>37</v>
      </c>
      <c r="H683" s="6" t="s">
        <v>2480</v>
      </c>
    </row>
    <row r="684" ht="12.75" customHeight="1">
      <c r="A684" s="6" t="s">
        <v>2481</v>
      </c>
      <c r="B684" s="6" t="s">
        <v>2453</v>
      </c>
      <c r="C684" s="6" t="s">
        <v>45</v>
      </c>
      <c r="D684" s="15" t="s">
        <v>50</v>
      </c>
      <c r="E684" s="15" t="s">
        <v>35</v>
      </c>
      <c r="F684" s="16" t="s">
        <v>2482</v>
      </c>
      <c r="G684" s="6" t="s">
        <v>37</v>
      </c>
      <c r="H684" s="6" t="s">
        <v>2483</v>
      </c>
    </row>
    <row r="685" ht="12.75" customHeight="1">
      <c r="A685" s="6" t="s">
        <v>2484</v>
      </c>
      <c r="B685" s="6" t="s">
        <v>2453</v>
      </c>
      <c r="C685" s="6" t="s">
        <v>426</v>
      </c>
      <c r="D685" s="15" t="s">
        <v>50</v>
      </c>
      <c r="E685" s="15" t="s">
        <v>35</v>
      </c>
      <c r="F685" s="16" t="s">
        <v>2485</v>
      </c>
      <c r="G685" s="6" t="s">
        <v>37</v>
      </c>
      <c r="H685" s="6" t="s">
        <v>2486</v>
      </c>
    </row>
    <row r="686" ht="12.75" customHeight="1">
      <c r="A686" s="6" t="s">
        <v>2487</v>
      </c>
      <c r="B686" s="6" t="s">
        <v>2488</v>
      </c>
      <c r="C686" s="6" t="s">
        <v>40</v>
      </c>
      <c r="D686" s="15" t="s">
        <v>35</v>
      </c>
      <c r="E686" s="15" t="s">
        <v>97</v>
      </c>
      <c r="F686" s="16" t="s">
        <v>1676</v>
      </c>
      <c r="G686" s="6" t="s">
        <v>2431</v>
      </c>
      <c r="H686" s="6" t="s">
        <v>2489</v>
      </c>
    </row>
    <row r="687" ht="12.75" customHeight="1">
      <c r="A687" s="6" t="s">
        <v>2490</v>
      </c>
      <c r="B687" s="6" t="s">
        <v>2488</v>
      </c>
      <c r="C687" s="6" t="s">
        <v>2384</v>
      </c>
      <c r="D687" s="15" t="s">
        <v>97</v>
      </c>
      <c r="E687" s="15" t="s">
        <v>35</v>
      </c>
      <c r="F687" s="16" t="s">
        <v>2485</v>
      </c>
      <c r="G687" s="6" t="s">
        <v>37</v>
      </c>
      <c r="H687" s="6" t="s">
        <v>2491</v>
      </c>
    </row>
    <row r="688" ht="12.75" customHeight="1">
      <c r="A688" s="6" t="s">
        <v>2492</v>
      </c>
      <c r="B688" s="6" t="s">
        <v>2488</v>
      </c>
      <c r="C688" s="6" t="s">
        <v>2384</v>
      </c>
      <c r="D688" s="15" t="s">
        <v>34</v>
      </c>
      <c r="E688" s="15" t="s">
        <v>35</v>
      </c>
      <c r="F688" s="16" t="s">
        <v>2493</v>
      </c>
      <c r="G688" s="6" t="s">
        <v>37</v>
      </c>
      <c r="H688" s="6" t="s">
        <v>2494</v>
      </c>
    </row>
    <row r="689" ht="12.75" customHeight="1">
      <c r="A689" s="6" t="s">
        <v>2495</v>
      </c>
      <c r="B689" s="6" t="s">
        <v>2488</v>
      </c>
      <c r="C689" s="6" t="s">
        <v>2496</v>
      </c>
      <c r="D689" s="15" t="s">
        <v>41</v>
      </c>
      <c r="E689" s="15" t="s">
        <v>35</v>
      </c>
      <c r="F689" s="16" t="s">
        <v>2497</v>
      </c>
      <c r="G689" s="6" t="s">
        <v>37</v>
      </c>
      <c r="H689" s="6" t="s">
        <v>2498</v>
      </c>
    </row>
    <row r="690" ht="12.75" customHeight="1">
      <c r="A690" s="6" t="s">
        <v>2499</v>
      </c>
      <c r="B690" s="6" t="s">
        <v>2488</v>
      </c>
      <c r="C690" s="6" t="s">
        <v>2500</v>
      </c>
      <c r="D690" s="15" t="s">
        <v>685</v>
      </c>
      <c r="E690" s="15" t="s">
        <v>35</v>
      </c>
      <c r="F690" s="16" t="s">
        <v>2501</v>
      </c>
      <c r="G690" s="6" t="s">
        <v>37</v>
      </c>
      <c r="H690" s="6" t="s">
        <v>2502</v>
      </c>
    </row>
    <row r="691" ht="12.75" customHeight="1">
      <c r="A691" s="6" t="s">
        <v>2503</v>
      </c>
      <c r="B691" s="6" t="s">
        <v>2488</v>
      </c>
      <c r="C691" s="6" t="s">
        <v>45</v>
      </c>
      <c r="D691" s="15" t="s">
        <v>576</v>
      </c>
      <c r="E691" s="15" t="s">
        <v>35</v>
      </c>
      <c r="F691" s="16" t="s">
        <v>2504</v>
      </c>
      <c r="G691" s="6" t="s">
        <v>37</v>
      </c>
      <c r="H691" s="6" t="s">
        <v>2505</v>
      </c>
    </row>
    <row r="692" ht="12.75" customHeight="1">
      <c r="A692" s="6" t="s">
        <v>2506</v>
      </c>
      <c r="B692" s="6" t="s">
        <v>2488</v>
      </c>
      <c r="C692" s="6" t="s">
        <v>45</v>
      </c>
      <c r="D692" s="15" t="s">
        <v>572</v>
      </c>
      <c r="E692" s="15" t="s">
        <v>35</v>
      </c>
      <c r="F692" s="16" t="s">
        <v>2507</v>
      </c>
      <c r="G692" s="6" t="s">
        <v>37</v>
      </c>
      <c r="H692" s="6" t="s">
        <v>2508</v>
      </c>
    </row>
    <row r="693" ht="12.75" customHeight="1">
      <c r="A693" s="6" t="s">
        <v>2509</v>
      </c>
      <c r="B693" s="6" t="s">
        <v>2488</v>
      </c>
      <c r="C693" s="6" t="s">
        <v>33</v>
      </c>
      <c r="D693" s="15" t="s">
        <v>34</v>
      </c>
      <c r="E693" s="15" t="s">
        <v>35</v>
      </c>
      <c r="F693" s="16" t="s">
        <v>1801</v>
      </c>
      <c r="G693" s="6" t="s">
        <v>37</v>
      </c>
      <c r="H693" s="6" t="s">
        <v>2510</v>
      </c>
    </row>
    <row r="694" ht="12.75" customHeight="1">
      <c r="A694" s="6" t="s">
        <v>2511</v>
      </c>
      <c r="B694" s="6" t="s">
        <v>2488</v>
      </c>
      <c r="C694" s="6" t="s">
        <v>33</v>
      </c>
      <c r="D694" s="15" t="s">
        <v>34</v>
      </c>
      <c r="E694" s="15" t="s">
        <v>35</v>
      </c>
      <c r="F694" s="16" t="s">
        <v>2512</v>
      </c>
      <c r="G694" s="6" t="s">
        <v>37</v>
      </c>
      <c r="H694" s="6" t="s">
        <v>2513</v>
      </c>
    </row>
    <row r="695" ht="12.75" customHeight="1">
      <c r="A695" s="6" t="s">
        <v>2514</v>
      </c>
      <c r="B695" s="6" t="s">
        <v>2515</v>
      </c>
      <c r="C695" s="6" t="s">
        <v>33</v>
      </c>
      <c r="D695" s="15" t="s">
        <v>34</v>
      </c>
      <c r="E695" s="15" t="s">
        <v>35</v>
      </c>
      <c r="F695" s="16" t="s">
        <v>1780</v>
      </c>
      <c r="G695" s="6" t="s">
        <v>37</v>
      </c>
      <c r="H695" s="6" t="s">
        <v>2516</v>
      </c>
    </row>
    <row r="696" ht="12.75" customHeight="1">
      <c r="A696" s="6" t="s">
        <v>2517</v>
      </c>
      <c r="B696" s="6" t="s">
        <v>2515</v>
      </c>
      <c r="C696" s="6" t="s">
        <v>2518</v>
      </c>
      <c r="D696" s="15" t="s">
        <v>35</v>
      </c>
      <c r="E696" s="15" t="s">
        <v>2519</v>
      </c>
      <c r="F696" s="16" t="s">
        <v>2520</v>
      </c>
      <c r="G696" s="6" t="s">
        <v>37</v>
      </c>
      <c r="H696" s="6" t="s">
        <v>2521</v>
      </c>
    </row>
    <row r="697" ht="12.75" customHeight="1">
      <c r="A697" s="6" t="s">
        <v>2522</v>
      </c>
      <c r="B697" s="6" t="s">
        <v>2515</v>
      </c>
      <c r="C697" s="6" t="s">
        <v>221</v>
      </c>
      <c r="D697" s="15" t="s">
        <v>222</v>
      </c>
      <c r="E697" s="15" t="s">
        <v>35</v>
      </c>
      <c r="F697" s="16" t="s">
        <v>2523</v>
      </c>
      <c r="G697" s="6" t="s">
        <v>37</v>
      </c>
      <c r="H697" s="6" t="s">
        <v>2524</v>
      </c>
    </row>
    <row r="698" ht="12.75" customHeight="1">
      <c r="A698" s="6" t="s">
        <v>2525</v>
      </c>
      <c r="B698" s="6" t="s">
        <v>2515</v>
      </c>
      <c r="C698" s="6" t="s">
        <v>397</v>
      </c>
      <c r="D698" s="15" t="s">
        <v>2526</v>
      </c>
      <c r="E698" s="15" t="s">
        <v>35</v>
      </c>
      <c r="F698" s="16" t="s">
        <v>2527</v>
      </c>
      <c r="G698" s="6" t="s">
        <v>37</v>
      </c>
      <c r="H698" s="6" t="s">
        <v>2528</v>
      </c>
    </row>
    <row r="699" ht="12.75" customHeight="1">
      <c r="A699" s="6" t="s">
        <v>2529</v>
      </c>
      <c r="B699" s="6" t="s">
        <v>2515</v>
      </c>
      <c r="C699" s="6" t="s">
        <v>511</v>
      </c>
      <c r="D699" s="15" t="s">
        <v>568</v>
      </c>
      <c r="E699" s="15" t="s">
        <v>35</v>
      </c>
      <c r="F699" s="16" t="s">
        <v>2530</v>
      </c>
      <c r="G699" s="6" t="s">
        <v>37</v>
      </c>
      <c r="H699" s="6" t="s">
        <v>2531</v>
      </c>
    </row>
    <row r="700" ht="12.75" customHeight="1">
      <c r="A700" s="6" t="s">
        <v>2532</v>
      </c>
      <c r="B700" s="6" t="s">
        <v>2515</v>
      </c>
      <c r="C700" s="6" t="s">
        <v>33</v>
      </c>
      <c r="D700" s="15" t="s">
        <v>55</v>
      </c>
      <c r="E700" s="15" t="s">
        <v>35</v>
      </c>
      <c r="F700" s="16" t="s">
        <v>2533</v>
      </c>
      <c r="G700" s="6" t="s">
        <v>37</v>
      </c>
      <c r="H700" s="6" t="s">
        <v>2534</v>
      </c>
    </row>
    <row r="701" ht="12.75" customHeight="1">
      <c r="A701" s="6" t="s">
        <v>2535</v>
      </c>
      <c r="B701" s="6" t="s">
        <v>2536</v>
      </c>
      <c r="C701" s="6" t="s">
        <v>2537</v>
      </c>
      <c r="D701" s="15" t="s">
        <v>35</v>
      </c>
      <c r="E701" s="15" t="s">
        <v>623</v>
      </c>
      <c r="F701" s="16" t="s">
        <v>2538</v>
      </c>
      <c r="G701" s="6" t="s">
        <v>37</v>
      </c>
      <c r="H701" s="6" t="s">
        <v>2539</v>
      </c>
    </row>
    <row r="702" ht="12.75" customHeight="1">
      <c r="A702" s="6" t="s">
        <v>2540</v>
      </c>
      <c r="B702" s="6" t="s">
        <v>2536</v>
      </c>
      <c r="C702" s="6" t="s">
        <v>221</v>
      </c>
      <c r="D702" s="15" t="s">
        <v>222</v>
      </c>
      <c r="E702" s="15" t="s">
        <v>35</v>
      </c>
      <c r="F702" s="16" t="s">
        <v>2541</v>
      </c>
      <c r="G702" s="6" t="s">
        <v>37</v>
      </c>
      <c r="H702" s="6" t="s">
        <v>2542</v>
      </c>
    </row>
    <row r="703" ht="12.75" customHeight="1">
      <c r="A703" s="6" t="s">
        <v>2543</v>
      </c>
      <c r="B703" s="6" t="s">
        <v>2536</v>
      </c>
      <c r="C703" s="6" t="s">
        <v>33</v>
      </c>
      <c r="D703" s="15" t="s">
        <v>137</v>
      </c>
      <c r="E703" s="15" t="s">
        <v>35</v>
      </c>
      <c r="F703" s="16" t="s">
        <v>2544</v>
      </c>
      <c r="G703" s="6" t="s">
        <v>37</v>
      </c>
      <c r="H703" s="6" t="s">
        <v>2545</v>
      </c>
    </row>
    <row r="704" ht="12.75" customHeight="1">
      <c r="A704" s="6" t="s">
        <v>2546</v>
      </c>
      <c r="B704" s="6" t="s">
        <v>2536</v>
      </c>
      <c r="C704" s="6" t="s">
        <v>33</v>
      </c>
      <c r="D704" s="15" t="s">
        <v>50</v>
      </c>
      <c r="E704" s="15" t="s">
        <v>35</v>
      </c>
      <c r="F704" s="16" t="s">
        <v>2547</v>
      </c>
      <c r="G704" s="6" t="s">
        <v>37</v>
      </c>
      <c r="H704" s="6" t="s">
        <v>2548</v>
      </c>
    </row>
    <row r="705" ht="12.75" customHeight="1">
      <c r="A705" s="6" t="s">
        <v>2549</v>
      </c>
      <c r="B705" s="6" t="s">
        <v>2550</v>
      </c>
      <c r="C705" s="6" t="s">
        <v>168</v>
      </c>
      <c r="D705" s="15" t="s">
        <v>35</v>
      </c>
      <c r="E705" s="15" t="s">
        <v>2551</v>
      </c>
      <c r="F705" s="16" t="s">
        <v>2552</v>
      </c>
      <c r="G705" s="6" t="s">
        <v>37</v>
      </c>
      <c r="H705" s="6" t="s">
        <v>2553</v>
      </c>
    </row>
    <row r="706" ht="12.75" customHeight="1">
      <c r="A706" s="6" t="s">
        <v>2554</v>
      </c>
      <c r="B706" s="6" t="s">
        <v>2550</v>
      </c>
      <c r="C706" s="6" t="s">
        <v>221</v>
      </c>
      <c r="D706" s="15" t="s">
        <v>222</v>
      </c>
      <c r="E706" s="15" t="s">
        <v>35</v>
      </c>
      <c r="F706" s="16" t="s">
        <v>2555</v>
      </c>
      <c r="G706" s="6" t="s">
        <v>37</v>
      </c>
      <c r="H706" s="6" t="s">
        <v>2556</v>
      </c>
    </row>
    <row r="707" ht="12.75" customHeight="1">
      <c r="A707" s="6" t="s">
        <v>2557</v>
      </c>
      <c r="B707" s="6" t="s">
        <v>2550</v>
      </c>
      <c r="C707" s="6" t="s">
        <v>2558</v>
      </c>
      <c r="D707" s="15" t="s">
        <v>243</v>
      </c>
      <c r="E707" s="15" t="s">
        <v>35</v>
      </c>
      <c r="F707" s="16" t="s">
        <v>2559</v>
      </c>
      <c r="G707" s="6" t="s">
        <v>37</v>
      </c>
      <c r="H707" s="6" t="s">
        <v>2560</v>
      </c>
    </row>
    <row r="708" ht="12.75" customHeight="1">
      <c r="A708" s="6" t="s">
        <v>2561</v>
      </c>
      <c r="B708" s="6" t="s">
        <v>2550</v>
      </c>
      <c r="C708" s="6" t="s">
        <v>2562</v>
      </c>
      <c r="D708" s="15" t="s">
        <v>2563</v>
      </c>
      <c r="E708" s="15" t="s">
        <v>35</v>
      </c>
      <c r="F708" s="16" t="s">
        <v>2564</v>
      </c>
      <c r="G708" s="6" t="s">
        <v>37</v>
      </c>
      <c r="H708" s="6" t="s">
        <v>2565</v>
      </c>
    </row>
    <row r="709" ht="12.75" customHeight="1">
      <c r="A709" s="6" t="s">
        <v>2566</v>
      </c>
      <c r="B709" s="6" t="s">
        <v>2550</v>
      </c>
      <c r="C709" s="6" t="s">
        <v>230</v>
      </c>
      <c r="D709" s="15" t="s">
        <v>490</v>
      </c>
      <c r="E709" s="15" t="s">
        <v>35</v>
      </c>
      <c r="F709" s="16" t="s">
        <v>2567</v>
      </c>
      <c r="G709" s="6" t="s">
        <v>37</v>
      </c>
      <c r="H709" s="6" t="s">
        <v>2568</v>
      </c>
    </row>
    <row r="710" ht="12.75" customHeight="1">
      <c r="A710" s="6" t="s">
        <v>2569</v>
      </c>
      <c r="B710" s="6" t="s">
        <v>2550</v>
      </c>
      <c r="C710" s="6" t="s">
        <v>2570</v>
      </c>
      <c r="D710" s="15" t="s">
        <v>256</v>
      </c>
      <c r="E710" s="15" t="s">
        <v>35</v>
      </c>
      <c r="F710" s="16" t="s">
        <v>2571</v>
      </c>
      <c r="G710" s="6" t="s">
        <v>37</v>
      </c>
      <c r="H710" s="6" t="s">
        <v>2572</v>
      </c>
    </row>
    <row r="711" ht="12.75" customHeight="1">
      <c r="A711" s="6" t="s">
        <v>2573</v>
      </c>
      <c r="B711" s="6" t="s">
        <v>2550</v>
      </c>
      <c r="C711" s="6" t="s">
        <v>2574</v>
      </c>
      <c r="D711" s="15" t="s">
        <v>189</v>
      </c>
      <c r="E711" s="15" t="s">
        <v>35</v>
      </c>
      <c r="F711" s="16" t="s">
        <v>2575</v>
      </c>
      <c r="G711" s="6" t="s">
        <v>37</v>
      </c>
      <c r="H711" s="6" t="s">
        <v>2576</v>
      </c>
    </row>
    <row r="712" ht="12.75" customHeight="1">
      <c r="A712" s="6" t="s">
        <v>2577</v>
      </c>
      <c r="B712" s="6" t="s">
        <v>2578</v>
      </c>
      <c r="C712" s="6" t="s">
        <v>506</v>
      </c>
      <c r="D712" s="15" t="s">
        <v>123</v>
      </c>
      <c r="E712" s="15" t="s">
        <v>35</v>
      </c>
      <c r="F712" s="16" t="s">
        <v>2579</v>
      </c>
      <c r="G712" s="6" t="s">
        <v>37</v>
      </c>
      <c r="H712" s="6" t="s">
        <v>2580</v>
      </c>
    </row>
    <row r="713" ht="12.75" customHeight="1">
      <c r="A713" s="6" t="s">
        <v>2581</v>
      </c>
      <c r="B713" s="6" t="s">
        <v>2578</v>
      </c>
      <c r="C713" s="6" t="s">
        <v>263</v>
      </c>
      <c r="D713" s="15" t="s">
        <v>946</v>
      </c>
      <c r="E713" s="15" t="s">
        <v>35</v>
      </c>
      <c r="F713" s="16" t="s">
        <v>2582</v>
      </c>
      <c r="G713" s="6" t="s">
        <v>37</v>
      </c>
      <c r="H713" s="6" t="s">
        <v>2583</v>
      </c>
    </row>
    <row r="714" ht="12.75" customHeight="1">
      <c r="A714" s="6" t="s">
        <v>2584</v>
      </c>
      <c r="B714" s="6" t="s">
        <v>2578</v>
      </c>
      <c r="C714" s="6" t="s">
        <v>2585</v>
      </c>
      <c r="D714" s="15" t="s">
        <v>1920</v>
      </c>
      <c r="E714" s="15" t="s">
        <v>35</v>
      </c>
      <c r="F714" s="16" t="s">
        <v>2586</v>
      </c>
      <c r="G714" s="6" t="s">
        <v>37</v>
      </c>
      <c r="H714" s="6" t="s">
        <v>2587</v>
      </c>
    </row>
    <row r="715" ht="12.75" customHeight="1">
      <c r="A715" s="6" t="s">
        <v>2588</v>
      </c>
      <c r="B715" s="6" t="s">
        <v>2589</v>
      </c>
      <c r="C715" s="6" t="s">
        <v>188</v>
      </c>
      <c r="D715" s="15" t="s">
        <v>35</v>
      </c>
      <c r="E715" s="15" t="s">
        <v>71</v>
      </c>
      <c r="F715" s="16" t="s">
        <v>2590</v>
      </c>
      <c r="G715" s="6" t="s">
        <v>37</v>
      </c>
      <c r="H715" s="6" t="s">
        <v>2591</v>
      </c>
    </row>
    <row r="716" ht="12.75" customHeight="1">
      <c r="A716" s="6" t="s">
        <v>2592</v>
      </c>
      <c r="B716" s="6" t="s">
        <v>2589</v>
      </c>
      <c r="C716" s="6" t="s">
        <v>45</v>
      </c>
      <c r="D716" s="15" t="s">
        <v>123</v>
      </c>
      <c r="E716" s="15" t="s">
        <v>35</v>
      </c>
      <c r="F716" s="16" t="s">
        <v>2593</v>
      </c>
      <c r="G716" s="6" t="s">
        <v>37</v>
      </c>
      <c r="H716" s="6" t="s">
        <v>2594</v>
      </c>
    </row>
    <row r="717" ht="12.75" customHeight="1">
      <c r="A717" s="6" t="s">
        <v>2595</v>
      </c>
      <c r="B717" s="6" t="s">
        <v>2589</v>
      </c>
      <c r="C717" s="6" t="s">
        <v>2596</v>
      </c>
      <c r="D717" s="15" t="s">
        <v>35</v>
      </c>
      <c r="E717" s="15" t="s">
        <v>2597</v>
      </c>
      <c r="F717" s="16" t="s">
        <v>2598</v>
      </c>
      <c r="G717" s="6" t="s">
        <v>37</v>
      </c>
      <c r="H717" s="6" t="s">
        <v>2599</v>
      </c>
    </row>
    <row r="718" ht="12.75" customHeight="1">
      <c r="A718" s="6" t="s">
        <v>2600</v>
      </c>
      <c r="B718" s="6" t="s">
        <v>2589</v>
      </c>
      <c r="C718" s="6" t="s">
        <v>221</v>
      </c>
      <c r="D718" s="15" t="s">
        <v>222</v>
      </c>
      <c r="E718" s="15" t="s">
        <v>35</v>
      </c>
      <c r="F718" s="16" t="s">
        <v>2601</v>
      </c>
      <c r="G718" s="6" t="s">
        <v>37</v>
      </c>
      <c r="H718" s="6" t="s">
        <v>2602</v>
      </c>
    </row>
    <row r="719" ht="12.75" customHeight="1">
      <c r="A719" s="6" t="s">
        <v>2603</v>
      </c>
      <c r="B719" s="6" t="s">
        <v>2589</v>
      </c>
      <c r="C719" s="6" t="s">
        <v>397</v>
      </c>
      <c r="D719" s="15" t="s">
        <v>2604</v>
      </c>
      <c r="E719" s="15" t="s">
        <v>35</v>
      </c>
      <c r="F719" s="16" t="s">
        <v>2605</v>
      </c>
      <c r="G719" s="6" t="s">
        <v>37</v>
      </c>
      <c r="H719" s="6" t="s">
        <v>2606</v>
      </c>
    </row>
    <row r="720" ht="12.75" customHeight="1">
      <c r="A720" s="6" t="s">
        <v>2607</v>
      </c>
      <c r="B720" s="6" t="s">
        <v>2589</v>
      </c>
      <c r="C720" s="6" t="s">
        <v>70</v>
      </c>
      <c r="D720" s="15" t="s">
        <v>335</v>
      </c>
      <c r="E720" s="15" t="s">
        <v>35</v>
      </c>
      <c r="F720" s="16" t="s">
        <v>2608</v>
      </c>
      <c r="G720" s="6" t="s">
        <v>37</v>
      </c>
      <c r="H720" s="6" t="s">
        <v>2609</v>
      </c>
    </row>
    <row r="721" ht="12.75" customHeight="1">
      <c r="A721" s="6" t="s">
        <v>2610</v>
      </c>
      <c r="B721" s="6" t="s">
        <v>2589</v>
      </c>
      <c r="C721" s="6" t="s">
        <v>438</v>
      </c>
      <c r="D721" s="15" t="s">
        <v>515</v>
      </c>
      <c r="E721" s="15" t="s">
        <v>35</v>
      </c>
      <c r="F721" s="16" t="s">
        <v>2611</v>
      </c>
      <c r="G721" s="6" t="s">
        <v>37</v>
      </c>
      <c r="H721" s="6" t="s">
        <v>2612</v>
      </c>
    </row>
    <row r="722" ht="12.75" customHeight="1">
      <c r="A722" s="6" t="s">
        <v>2613</v>
      </c>
      <c r="B722" s="6" t="s">
        <v>2589</v>
      </c>
      <c r="C722" s="6" t="s">
        <v>33</v>
      </c>
      <c r="D722" s="15" t="s">
        <v>50</v>
      </c>
      <c r="E722" s="15" t="s">
        <v>35</v>
      </c>
      <c r="F722" s="16" t="s">
        <v>2614</v>
      </c>
      <c r="G722" s="6" t="s">
        <v>37</v>
      </c>
      <c r="H722" s="6" t="s">
        <v>2615</v>
      </c>
    </row>
    <row r="723" ht="12.75" customHeight="1">
      <c r="A723" s="6" t="s">
        <v>2616</v>
      </c>
      <c r="B723" s="6" t="s">
        <v>2589</v>
      </c>
      <c r="C723" s="6" t="s">
        <v>2617</v>
      </c>
      <c r="D723" s="15" t="s">
        <v>770</v>
      </c>
      <c r="E723" s="15" t="s">
        <v>35</v>
      </c>
      <c r="F723" s="16" t="s">
        <v>2618</v>
      </c>
      <c r="G723" s="6" t="s">
        <v>37</v>
      </c>
      <c r="H723" s="6" t="s">
        <v>2619</v>
      </c>
    </row>
    <row r="724" ht="12.75" customHeight="1">
      <c r="A724" s="6" t="s">
        <v>2620</v>
      </c>
      <c r="B724" s="6" t="s">
        <v>2589</v>
      </c>
      <c r="C724" s="6" t="s">
        <v>1961</v>
      </c>
      <c r="D724" s="15" t="s">
        <v>2621</v>
      </c>
      <c r="E724" s="15" t="s">
        <v>35</v>
      </c>
      <c r="F724" s="16" t="s">
        <v>2622</v>
      </c>
      <c r="G724" s="6" t="s">
        <v>37</v>
      </c>
      <c r="H724" s="6" t="s">
        <v>2623</v>
      </c>
    </row>
    <row r="725" ht="12.75" customHeight="1">
      <c r="A725" s="6" t="s">
        <v>2624</v>
      </c>
      <c r="B725" s="6" t="s">
        <v>2589</v>
      </c>
      <c r="C725" s="6" t="s">
        <v>535</v>
      </c>
      <c r="D725" s="15" t="s">
        <v>536</v>
      </c>
      <c r="E725" s="15" t="s">
        <v>35</v>
      </c>
      <c r="F725" s="16" t="s">
        <v>2625</v>
      </c>
      <c r="G725" s="6" t="s">
        <v>37</v>
      </c>
      <c r="H725" s="6" t="s">
        <v>2626</v>
      </c>
    </row>
    <row r="726" ht="12.75" customHeight="1">
      <c r="A726" s="6" t="s">
        <v>2627</v>
      </c>
      <c r="B726" s="6" t="s">
        <v>2589</v>
      </c>
      <c r="C726" s="6" t="s">
        <v>45</v>
      </c>
      <c r="D726" s="15" t="s">
        <v>572</v>
      </c>
      <c r="E726" s="15" t="s">
        <v>35</v>
      </c>
      <c r="F726" s="16" t="s">
        <v>2628</v>
      </c>
      <c r="G726" s="6" t="s">
        <v>37</v>
      </c>
      <c r="H726" s="6" t="s">
        <v>2629</v>
      </c>
    </row>
    <row r="727" ht="12.75" customHeight="1">
      <c r="A727" s="6" t="s">
        <v>2630</v>
      </c>
      <c r="B727" s="6" t="s">
        <v>2631</v>
      </c>
      <c r="C727" s="6" t="s">
        <v>45</v>
      </c>
      <c r="D727" s="15" t="s">
        <v>2632</v>
      </c>
      <c r="E727" s="15" t="s">
        <v>35</v>
      </c>
      <c r="F727" s="16" t="s">
        <v>2633</v>
      </c>
      <c r="G727" s="6" t="s">
        <v>37</v>
      </c>
      <c r="H727" s="6" t="s">
        <v>2634</v>
      </c>
    </row>
    <row r="728" ht="12.75" customHeight="1">
      <c r="A728" s="6" t="s">
        <v>2635</v>
      </c>
      <c r="B728" s="6" t="s">
        <v>2631</v>
      </c>
      <c r="C728" s="6" t="s">
        <v>397</v>
      </c>
      <c r="D728" s="15" t="s">
        <v>256</v>
      </c>
      <c r="E728" s="15" t="s">
        <v>35</v>
      </c>
      <c r="F728" s="16" t="s">
        <v>2636</v>
      </c>
      <c r="G728" s="6" t="s">
        <v>37</v>
      </c>
      <c r="H728" s="6" t="s">
        <v>2637</v>
      </c>
    </row>
    <row r="729" ht="12.75" customHeight="1">
      <c r="A729" s="6" t="s">
        <v>2638</v>
      </c>
      <c r="B729" s="6" t="s">
        <v>2631</v>
      </c>
      <c r="C729" s="6" t="s">
        <v>2574</v>
      </c>
      <c r="D729" s="15" t="s">
        <v>97</v>
      </c>
      <c r="E729" s="15" t="s">
        <v>35</v>
      </c>
      <c r="F729" s="16" t="s">
        <v>2639</v>
      </c>
      <c r="G729" s="6" t="s">
        <v>37</v>
      </c>
      <c r="H729" s="6" t="s">
        <v>2640</v>
      </c>
    </row>
    <row r="730" ht="12.75" customHeight="1">
      <c r="A730" s="6" t="s">
        <v>2641</v>
      </c>
      <c r="B730" s="6" t="s">
        <v>2631</v>
      </c>
      <c r="C730" s="6" t="s">
        <v>230</v>
      </c>
      <c r="D730" s="15" t="s">
        <v>97</v>
      </c>
      <c r="E730" s="15" t="s">
        <v>35</v>
      </c>
      <c r="F730" s="16" t="s">
        <v>2642</v>
      </c>
      <c r="G730" s="6" t="s">
        <v>37</v>
      </c>
      <c r="H730" s="6" t="s">
        <v>2643</v>
      </c>
    </row>
    <row r="731" ht="12.75" customHeight="1">
      <c r="A731" s="6" t="s">
        <v>2644</v>
      </c>
      <c r="B731" s="6" t="s">
        <v>2631</v>
      </c>
      <c r="C731" s="6" t="s">
        <v>45</v>
      </c>
      <c r="D731" s="15" t="s">
        <v>502</v>
      </c>
      <c r="E731" s="15" t="s">
        <v>35</v>
      </c>
      <c r="F731" s="16" t="s">
        <v>2645</v>
      </c>
      <c r="G731" s="6" t="s">
        <v>37</v>
      </c>
      <c r="H731" s="6" t="s">
        <v>2646</v>
      </c>
    </row>
    <row r="732" ht="12.75" customHeight="1">
      <c r="A732" s="6" t="s">
        <v>2647</v>
      </c>
      <c r="B732" s="6" t="s">
        <v>2648</v>
      </c>
      <c r="C732" s="6" t="s">
        <v>96</v>
      </c>
      <c r="D732" s="15" t="s">
        <v>35</v>
      </c>
      <c r="E732" s="15" t="s">
        <v>65</v>
      </c>
      <c r="F732" s="16" t="s">
        <v>2649</v>
      </c>
      <c r="G732" s="6" t="s">
        <v>37</v>
      </c>
      <c r="H732" s="6" t="s">
        <v>2650</v>
      </c>
    </row>
    <row r="733" ht="12.75" customHeight="1">
      <c r="A733" s="6" t="s">
        <v>2651</v>
      </c>
      <c r="B733" s="6" t="s">
        <v>2648</v>
      </c>
      <c r="C733" s="6" t="s">
        <v>230</v>
      </c>
      <c r="D733" s="15" t="s">
        <v>71</v>
      </c>
      <c r="E733" s="15" t="s">
        <v>35</v>
      </c>
      <c r="F733" s="16" t="s">
        <v>2652</v>
      </c>
      <c r="G733" s="6" t="s">
        <v>37</v>
      </c>
      <c r="H733" s="6" t="s">
        <v>2653</v>
      </c>
    </row>
    <row r="734" ht="12.75" customHeight="1">
      <c r="A734" s="6" t="s">
        <v>2654</v>
      </c>
      <c r="B734" s="6" t="s">
        <v>2648</v>
      </c>
      <c r="C734" s="6" t="s">
        <v>33</v>
      </c>
      <c r="D734" s="15" t="s">
        <v>50</v>
      </c>
      <c r="E734" s="15" t="s">
        <v>35</v>
      </c>
      <c r="F734" s="16" t="s">
        <v>2655</v>
      </c>
      <c r="G734" s="6" t="s">
        <v>37</v>
      </c>
      <c r="H734" s="6" t="s">
        <v>2656</v>
      </c>
    </row>
    <row r="735" ht="12.75" customHeight="1">
      <c r="A735" s="6" t="s">
        <v>2657</v>
      </c>
      <c r="B735" s="6" t="s">
        <v>2648</v>
      </c>
      <c r="C735" s="6" t="s">
        <v>2562</v>
      </c>
      <c r="D735" s="15" t="s">
        <v>1412</v>
      </c>
      <c r="E735" s="15" t="s">
        <v>35</v>
      </c>
      <c r="F735" s="16" t="s">
        <v>2658</v>
      </c>
      <c r="G735" s="6" t="s">
        <v>37</v>
      </c>
      <c r="H735" s="6" t="s">
        <v>2659</v>
      </c>
    </row>
    <row r="736" ht="12.75" customHeight="1">
      <c r="A736" s="6" t="s">
        <v>2660</v>
      </c>
      <c r="B736" s="6" t="s">
        <v>2648</v>
      </c>
      <c r="C736" s="6" t="s">
        <v>1442</v>
      </c>
      <c r="D736" s="15" t="s">
        <v>2661</v>
      </c>
      <c r="E736" s="15" t="s">
        <v>35</v>
      </c>
      <c r="F736" s="16" t="s">
        <v>2662</v>
      </c>
      <c r="G736" s="6" t="s">
        <v>37</v>
      </c>
      <c r="H736" s="6" t="s">
        <v>2663</v>
      </c>
    </row>
    <row r="737" ht="12.75" customHeight="1">
      <c r="A737" s="6" t="s">
        <v>2664</v>
      </c>
      <c r="B737" s="6" t="s">
        <v>2648</v>
      </c>
      <c r="C737" s="6" t="s">
        <v>204</v>
      </c>
      <c r="D737" s="15" t="s">
        <v>335</v>
      </c>
      <c r="E737" s="15" t="s">
        <v>35</v>
      </c>
      <c r="F737" s="16" t="s">
        <v>2665</v>
      </c>
      <c r="G737" s="6" t="s">
        <v>37</v>
      </c>
      <c r="H737" s="6" t="s">
        <v>2666</v>
      </c>
    </row>
    <row r="738" ht="12.75" customHeight="1">
      <c r="A738" s="6" t="s">
        <v>2667</v>
      </c>
      <c r="B738" s="6" t="s">
        <v>2648</v>
      </c>
      <c r="C738" s="6" t="s">
        <v>2574</v>
      </c>
      <c r="D738" s="15" t="s">
        <v>97</v>
      </c>
      <c r="E738" s="15" t="s">
        <v>35</v>
      </c>
      <c r="F738" s="16" t="s">
        <v>2668</v>
      </c>
      <c r="G738" s="6" t="s">
        <v>37</v>
      </c>
      <c r="H738" s="6" t="s">
        <v>2669</v>
      </c>
    </row>
    <row r="739" ht="12.75" customHeight="1">
      <c r="A739" s="6" t="s">
        <v>2670</v>
      </c>
      <c r="B739" s="6" t="s">
        <v>2648</v>
      </c>
      <c r="C739" s="6" t="s">
        <v>208</v>
      </c>
      <c r="D739" s="15" t="s">
        <v>35</v>
      </c>
      <c r="E739" s="15" t="s">
        <v>335</v>
      </c>
      <c r="F739" s="16" t="s">
        <v>2671</v>
      </c>
      <c r="G739" s="6" t="s">
        <v>37</v>
      </c>
      <c r="H739" s="6" t="s">
        <v>2672</v>
      </c>
    </row>
    <row r="740" ht="12.75" customHeight="1">
      <c r="A740" s="6" t="s">
        <v>2673</v>
      </c>
      <c r="B740" s="6" t="s">
        <v>2648</v>
      </c>
      <c r="C740" s="6" t="s">
        <v>1429</v>
      </c>
      <c r="D740" s="15" t="s">
        <v>35</v>
      </c>
      <c r="E740" s="15" t="s">
        <v>2674</v>
      </c>
      <c r="F740" s="16" t="s">
        <v>2675</v>
      </c>
      <c r="G740" s="6" t="s">
        <v>37</v>
      </c>
      <c r="H740" s="6" t="s">
        <v>2676</v>
      </c>
    </row>
    <row r="741" ht="12.75" customHeight="1">
      <c r="A741" s="6" t="s">
        <v>2677</v>
      </c>
      <c r="B741" s="6" t="s">
        <v>2648</v>
      </c>
      <c r="C741" s="6" t="s">
        <v>45</v>
      </c>
      <c r="D741" s="15" t="s">
        <v>183</v>
      </c>
      <c r="E741" s="15" t="s">
        <v>35</v>
      </c>
      <c r="F741" s="16" t="s">
        <v>2678</v>
      </c>
      <c r="G741" s="6" t="s">
        <v>37</v>
      </c>
      <c r="H741" s="6" t="s">
        <v>2679</v>
      </c>
    </row>
    <row r="742" ht="12.75" customHeight="1">
      <c r="A742" s="6" t="s">
        <v>2680</v>
      </c>
      <c r="B742" s="6" t="s">
        <v>2648</v>
      </c>
      <c r="C742" s="6" t="s">
        <v>438</v>
      </c>
      <c r="D742" s="15" t="s">
        <v>2681</v>
      </c>
      <c r="E742" s="15" t="s">
        <v>35</v>
      </c>
      <c r="F742" s="16" t="s">
        <v>2682</v>
      </c>
      <c r="G742" s="6" t="s">
        <v>37</v>
      </c>
      <c r="H742" s="6" t="s">
        <v>2683</v>
      </c>
    </row>
    <row r="743" ht="12.75" customHeight="1">
      <c r="A743" s="6" t="s">
        <v>2684</v>
      </c>
      <c r="B743" s="6" t="s">
        <v>2648</v>
      </c>
      <c r="C743" s="6" t="s">
        <v>2685</v>
      </c>
      <c r="D743" s="15" t="s">
        <v>34</v>
      </c>
      <c r="E743" s="15" t="s">
        <v>35</v>
      </c>
      <c r="F743" s="16" t="s">
        <v>2686</v>
      </c>
      <c r="G743" s="6" t="s">
        <v>37</v>
      </c>
      <c r="H743" s="6" t="s">
        <v>2687</v>
      </c>
    </row>
    <row r="744" ht="12.75" customHeight="1">
      <c r="A744" s="6" t="s">
        <v>2688</v>
      </c>
      <c r="B744" s="6" t="s">
        <v>2689</v>
      </c>
      <c r="C744" s="6" t="s">
        <v>45</v>
      </c>
      <c r="D744" s="15" t="s">
        <v>1920</v>
      </c>
      <c r="E744" s="15" t="s">
        <v>35</v>
      </c>
      <c r="F744" s="16" t="s">
        <v>2690</v>
      </c>
      <c r="G744" s="6" t="s">
        <v>37</v>
      </c>
      <c r="H744" s="6" t="s">
        <v>2691</v>
      </c>
    </row>
    <row r="745" ht="12.75" customHeight="1">
      <c r="A745" s="6" t="s">
        <v>2692</v>
      </c>
      <c r="B745" s="6" t="s">
        <v>2689</v>
      </c>
      <c r="C745" s="6" t="s">
        <v>434</v>
      </c>
      <c r="D745" s="15" t="s">
        <v>41</v>
      </c>
      <c r="E745" s="15" t="s">
        <v>35</v>
      </c>
      <c r="F745" s="16" t="s">
        <v>2693</v>
      </c>
      <c r="G745" s="6" t="s">
        <v>37</v>
      </c>
      <c r="H745" s="6" t="s">
        <v>2694</v>
      </c>
    </row>
    <row r="746" ht="12.75" customHeight="1">
      <c r="A746" s="6" t="s">
        <v>2695</v>
      </c>
      <c r="B746" s="6" t="s">
        <v>2689</v>
      </c>
      <c r="C746" s="6" t="s">
        <v>1215</v>
      </c>
      <c r="D746" s="15" t="s">
        <v>50</v>
      </c>
      <c r="E746" s="15" t="s">
        <v>35</v>
      </c>
      <c r="F746" s="16" t="s">
        <v>2696</v>
      </c>
      <c r="G746" s="6" t="s">
        <v>37</v>
      </c>
      <c r="H746" s="6" t="s">
        <v>2697</v>
      </c>
    </row>
    <row r="747" ht="12.75" customHeight="1">
      <c r="A747" s="6" t="s">
        <v>2698</v>
      </c>
      <c r="B747" s="6" t="s">
        <v>2689</v>
      </c>
      <c r="C747" s="6" t="s">
        <v>230</v>
      </c>
      <c r="D747" s="15" t="s">
        <v>50</v>
      </c>
      <c r="E747" s="15" t="s">
        <v>35</v>
      </c>
      <c r="F747" s="16" t="s">
        <v>913</v>
      </c>
      <c r="G747" s="6" t="s">
        <v>37</v>
      </c>
      <c r="H747" s="6" t="s">
        <v>2699</v>
      </c>
    </row>
    <row r="748" ht="12.75" customHeight="1">
      <c r="A748" s="6" t="s">
        <v>2700</v>
      </c>
      <c r="B748" s="6" t="s">
        <v>2701</v>
      </c>
      <c r="C748" s="6" t="s">
        <v>434</v>
      </c>
      <c r="D748" s="15" t="s">
        <v>34</v>
      </c>
      <c r="E748" s="15" t="s">
        <v>35</v>
      </c>
      <c r="F748" s="16" t="s">
        <v>2702</v>
      </c>
      <c r="G748" s="6" t="s">
        <v>37</v>
      </c>
      <c r="H748" s="6" t="s">
        <v>2703</v>
      </c>
    </row>
    <row r="749" ht="12.75" customHeight="1">
      <c r="A749" s="6" t="s">
        <v>2704</v>
      </c>
      <c r="B749" s="6" t="s">
        <v>2701</v>
      </c>
      <c r="C749" s="6" t="s">
        <v>148</v>
      </c>
      <c r="D749" s="15" t="s">
        <v>855</v>
      </c>
      <c r="E749" s="15" t="s">
        <v>35</v>
      </c>
      <c r="F749" s="16" t="s">
        <v>2705</v>
      </c>
      <c r="G749" s="6" t="s">
        <v>37</v>
      </c>
      <c r="H749" s="6" t="s">
        <v>2706</v>
      </c>
    </row>
    <row r="750" ht="12.75" customHeight="1">
      <c r="A750" s="6" t="s">
        <v>2707</v>
      </c>
      <c r="B750" s="6" t="s">
        <v>2701</v>
      </c>
      <c r="C750" s="6" t="s">
        <v>33</v>
      </c>
      <c r="D750" s="15" t="s">
        <v>34</v>
      </c>
      <c r="E750" s="15" t="s">
        <v>35</v>
      </c>
      <c r="F750" s="16" t="s">
        <v>2708</v>
      </c>
      <c r="G750" s="6" t="s">
        <v>37</v>
      </c>
      <c r="H750" s="6" t="s">
        <v>2709</v>
      </c>
    </row>
    <row r="751" ht="12.75" customHeight="1">
      <c r="A751" s="6" t="s">
        <v>2710</v>
      </c>
      <c r="B751" s="6" t="s">
        <v>2701</v>
      </c>
      <c r="C751" s="6" t="s">
        <v>2711</v>
      </c>
      <c r="D751" s="15" t="s">
        <v>34</v>
      </c>
      <c r="E751" s="15" t="s">
        <v>35</v>
      </c>
      <c r="F751" s="16" t="s">
        <v>2712</v>
      </c>
      <c r="G751" s="6" t="s">
        <v>37</v>
      </c>
      <c r="H751" s="6" t="s">
        <v>2713</v>
      </c>
    </row>
    <row r="752" ht="12.75" customHeight="1">
      <c r="A752" s="6" t="s">
        <v>2714</v>
      </c>
      <c r="B752" s="6" t="s">
        <v>2701</v>
      </c>
      <c r="C752" s="6" t="s">
        <v>2715</v>
      </c>
      <c r="D752" s="15" t="s">
        <v>189</v>
      </c>
      <c r="E752" s="15" t="s">
        <v>35</v>
      </c>
      <c r="F752" s="16" t="s">
        <v>2716</v>
      </c>
      <c r="G752" s="6" t="s">
        <v>37</v>
      </c>
      <c r="H752" s="6" t="s">
        <v>2717</v>
      </c>
    </row>
    <row r="753" ht="12.75" customHeight="1">
      <c r="A753" s="6" t="s">
        <v>2718</v>
      </c>
      <c r="B753" s="6" t="s">
        <v>2701</v>
      </c>
      <c r="C753" s="6" t="s">
        <v>1263</v>
      </c>
      <c r="D753" s="15" t="s">
        <v>443</v>
      </c>
      <c r="E753" s="15" t="s">
        <v>35</v>
      </c>
      <c r="F753" s="16" t="s">
        <v>2719</v>
      </c>
      <c r="G753" s="6" t="s">
        <v>37</v>
      </c>
      <c r="H753" s="6" t="s">
        <v>2720</v>
      </c>
    </row>
    <row r="754" ht="12.75" customHeight="1">
      <c r="A754" s="6" t="s">
        <v>2721</v>
      </c>
      <c r="B754" s="6" t="s">
        <v>2701</v>
      </c>
      <c r="C754" s="6" t="s">
        <v>45</v>
      </c>
      <c r="D754" s="15" t="s">
        <v>55</v>
      </c>
      <c r="E754" s="15" t="s">
        <v>35</v>
      </c>
      <c r="F754" s="16" t="s">
        <v>2722</v>
      </c>
      <c r="G754" s="6" t="s">
        <v>37</v>
      </c>
      <c r="H754" s="6" t="s">
        <v>2723</v>
      </c>
    </row>
    <row r="755" ht="12.75" customHeight="1">
      <c r="A755" s="6" t="s">
        <v>2724</v>
      </c>
      <c r="B755" s="6" t="s">
        <v>2701</v>
      </c>
      <c r="C755" s="6" t="s">
        <v>535</v>
      </c>
      <c r="D755" s="15" t="s">
        <v>2725</v>
      </c>
      <c r="E755" s="15" t="s">
        <v>35</v>
      </c>
      <c r="F755" s="16" t="s">
        <v>2726</v>
      </c>
      <c r="G755" s="6" t="s">
        <v>37</v>
      </c>
      <c r="H755" s="6" t="s">
        <v>2727</v>
      </c>
    </row>
    <row r="756" ht="12.75" customHeight="1">
      <c r="A756" s="6" t="s">
        <v>2728</v>
      </c>
      <c r="B756" s="6" t="s">
        <v>2729</v>
      </c>
      <c r="C756" s="6" t="s">
        <v>2730</v>
      </c>
      <c r="D756" s="15" t="s">
        <v>35</v>
      </c>
      <c r="E756" s="15" t="s">
        <v>2731</v>
      </c>
      <c r="F756" s="16" t="s">
        <v>2732</v>
      </c>
      <c r="G756" s="6" t="s">
        <v>37</v>
      </c>
      <c r="H756" s="6" t="s">
        <v>2733</v>
      </c>
    </row>
    <row r="757" ht="12.75" customHeight="1">
      <c r="A757" s="6" t="s">
        <v>2734</v>
      </c>
      <c r="B757" s="6" t="s">
        <v>2729</v>
      </c>
      <c r="C757" s="6" t="s">
        <v>221</v>
      </c>
      <c r="D757" s="15" t="s">
        <v>222</v>
      </c>
      <c r="E757" s="15" t="s">
        <v>35</v>
      </c>
      <c r="F757" s="16" t="s">
        <v>2735</v>
      </c>
      <c r="G757" s="6" t="s">
        <v>37</v>
      </c>
      <c r="H757" s="6" t="s">
        <v>2736</v>
      </c>
    </row>
    <row r="758" ht="12.75" customHeight="1">
      <c r="A758" s="6" t="s">
        <v>2737</v>
      </c>
      <c r="B758" s="6" t="s">
        <v>2729</v>
      </c>
      <c r="C758" s="6" t="s">
        <v>70</v>
      </c>
      <c r="D758" s="15" t="s">
        <v>71</v>
      </c>
      <c r="E758" s="15" t="s">
        <v>35</v>
      </c>
      <c r="F758" s="16" t="s">
        <v>2738</v>
      </c>
      <c r="G758" s="6" t="s">
        <v>37</v>
      </c>
      <c r="H758" s="6" t="s">
        <v>2739</v>
      </c>
    </row>
    <row r="759" ht="12.75" customHeight="1">
      <c r="A759" s="6" t="s">
        <v>2740</v>
      </c>
      <c r="B759" s="6" t="s">
        <v>2729</v>
      </c>
      <c r="C759" s="6" t="s">
        <v>33</v>
      </c>
      <c r="D759" s="15" t="s">
        <v>50</v>
      </c>
      <c r="E759" s="15" t="s">
        <v>35</v>
      </c>
      <c r="F759" s="16" t="s">
        <v>2741</v>
      </c>
      <c r="G759" s="6" t="s">
        <v>37</v>
      </c>
      <c r="H759" s="6" t="s">
        <v>2742</v>
      </c>
    </row>
    <row r="760" ht="12.75" customHeight="1">
      <c r="A760" s="6" t="s">
        <v>2743</v>
      </c>
      <c r="B760" s="6" t="s">
        <v>2729</v>
      </c>
      <c r="C760" s="6" t="s">
        <v>2744</v>
      </c>
      <c r="D760" s="15" t="s">
        <v>582</v>
      </c>
      <c r="E760" s="15" t="s">
        <v>35</v>
      </c>
      <c r="F760" s="16" t="s">
        <v>2745</v>
      </c>
      <c r="G760" s="6" t="s">
        <v>37</v>
      </c>
      <c r="H760" s="6" t="s">
        <v>2746</v>
      </c>
    </row>
    <row r="761" ht="12.75" customHeight="1">
      <c r="A761" s="6" t="s">
        <v>2747</v>
      </c>
      <c r="B761" s="6" t="s">
        <v>2729</v>
      </c>
      <c r="C761" s="6" t="s">
        <v>2574</v>
      </c>
      <c r="D761" s="15" t="s">
        <v>97</v>
      </c>
      <c r="E761" s="15" t="s">
        <v>35</v>
      </c>
      <c r="F761" s="16" t="s">
        <v>2748</v>
      </c>
      <c r="G761" s="6" t="s">
        <v>37</v>
      </c>
      <c r="H761" s="6" t="s">
        <v>2749</v>
      </c>
    </row>
    <row r="762" ht="12.75" customHeight="1">
      <c r="A762" s="6" t="s">
        <v>2750</v>
      </c>
      <c r="B762" s="6" t="s">
        <v>2729</v>
      </c>
      <c r="C762" s="6" t="s">
        <v>45</v>
      </c>
      <c r="D762" s="15" t="s">
        <v>55</v>
      </c>
      <c r="E762" s="15" t="s">
        <v>35</v>
      </c>
      <c r="F762" s="16" t="s">
        <v>2751</v>
      </c>
      <c r="G762" s="6" t="s">
        <v>37</v>
      </c>
      <c r="H762" s="6" t="s">
        <v>2752</v>
      </c>
    </row>
    <row r="763" ht="12.75" customHeight="1">
      <c r="A763" s="6" t="s">
        <v>2753</v>
      </c>
      <c r="B763" s="6" t="s">
        <v>2729</v>
      </c>
      <c r="C763" s="6" t="s">
        <v>230</v>
      </c>
      <c r="D763" s="15" t="s">
        <v>335</v>
      </c>
      <c r="E763" s="15" t="s">
        <v>35</v>
      </c>
      <c r="F763" s="16" t="s">
        <v>2754</v>
      </c>
      <c r="G763" s="6" t="s">
        <v>37</v>
      </c>
      <c r="H763" s="6" t="s">
        <v>2755</v>
      </c>
    </row>
    <row r="764" ht="12.75" customHeight="1">
      <c r="A764" s="6" t="s">
        <v>2756</v>
      </c>
      <c r="B764" s="6" t="s">
        <v>2729</v>
      </c>
      <c r="C764" s="6" t="s">
        <v>426</v>
      </c>
      <c r="D764" s="15" t="s">
        <v>97</v>
      </c>
      <c r="E764" s="15" t="s">
        <v>35</v>
      </c>
      <c r="F764" s="16" t="s">
        <v>2757</v>
      </c>
      <c r="G764" s="6" t="s">
        <v>37</v>
      </c>
      <c r="H764" s="6" t="s">
        <v>2758</v>
      </c>
    </row>
    <row r="765" ht="12.75" customHeight="1">
      <c r="A765" s="6" t="s">
        <v>2759</v>
      </c>
      <c r="B765" s="6" t="s">
        <v>2729</v>
      </c>
      <c r="C765" s="6" t="s">
        <v>45</v>
      </c>
      <c r="D765" s="15" t="s">
        <v>502</v>
      </c>
      <c r="E765" s="15" t="s">
        <v>35</v>
      </c>
      <c r="F765" s="16" t="s">
        <v>2760</v>
      </c>
      <c r="G765" s="6" t="s">
        <v>37</v>
      </c>
      <c r="H765" s="6" t="s">
        <v>2761</v>
      </c>
    </row>
    <row r="766" ht="12.75" customHeight="1">
      <c r="A766" s="6" t="s">
        <v>2762</v>
      </c>
      <c r="B766" s="6" t="s">
        <v>2763</v>
      </c>
      <c r="C766" s="6" t="s">
        <v>45</v>
      </c>
      <c r="D766" s="15" t="s">
        <v>568</v>
      </c>
      <c r="E766" s="15" t="s">
        <v>35</v>
      </c>
      <c r="F766" s="16" t="s">
        <v>2764</v>
      </c>
      <c r="G766" s="6" t="s">
        <v>37</v>
      </c>
      <c r="H766" s="6" t="s">
        <v>2765</v>
      </c>
    </row>
    <row r="767" ht="12.75" customHeight="1">
      <c r="A767" s="6" t="s">
        <v>2766</v>
      </c>
      <c r="B767" s="6" t="s">
        <v>2767</v>
      </c>
      <c r="C767" s="6" t="s">
        <v>230</v>
      </c>
      <c r="D767" s="15" t="s">
        <v>855</v>
      </c>
      <c r="E767" s="15" t="s">
        <v>35</v>
      </c>
      <c r="F767" s="16" t="s">
        <v>2768</v>
      </c>
      <c r="G767" s="6" t="s">
        <v>37</v>
      </c>
      <c r="H767" s="6" t="s">
        <v>2769</v>
      </c>
    </row>
    <row r="768" ht="12.75" customHeight="1">
      <c r="A768" s="6" t="s">
        <v>2770</v>
      </c>
      <c r="B768" s="6" t="s">
        <v>2767</v>
      </c>
      <c r="C768" s="6" t="s">
        <v>33</v>
      </c>
      <c r="D768" s="15" t="s">
        <v>34</v>
      </c>
      <c r="E768" s="15" t="s">
        <v>35</v>
      </c>
      <c r="F768" s="16" t="s">
        <v>2771</v>
      </c>
      <c r="G768" s="6" t="s">
        <v>37</v>
      </c>
      <c r="H768" s="6" t="s">
        <v>2772</v>
      </c>
    </row>
    <row r="769" ht="12.75" customHeight="1">
      <c r="A769" s="6" t="s">
        <v>2773</v>
      </c>
      <c r="B769" s="6" t="s">
        <v>2774</v>
      </c>
      <c r="C769" s="6" t="s">
        <v>33</v>
      </c>
      <c r="D769" s="15" t="s">
        <v>50</v>
      </c>
      <c r="E769" s="15" t="s">
        <v>35</v>
      </c>
      <c r="F769" s="16" t="s">
        <v>2775</v>
      </c>
      <c r="G769" s="6" t="s">
        <v>37</v>
      </c>
      <c r="H769" s="6" t="s">
        <v>2776</v>
      </c>
    </row>
    <row r="770" ht="12.75" customHeight="1">
      <c r="A770" s="6" t="s">
        <v>2777</v>
      </c>
      <c r="B770" s="6" t="s">
        <v>2774</v>
      </c>
      <c r="C770" s="6" t="s">
        <v>45</v>
      </c>
      <c r="D770" s="15" t="s">
        <v>123</v>
      </c>
      <c r="E770" s="15" t="s">
        <v>35</v>
      </c>
      <c r="F770" s="16" t="s">
        <v>2778</v>
      </c>
      <c r="G770" s="6" t="s">
        <v>37</v>
      </c>
      <c r="H770" s="6" t="s">
        <v>2779</v>
      </c>
    </row>
    <row r="771" ht="12.75" customHeight="1">
      <c r="A771" s="6" t="s">
        <v>2780</v>
      </c>
      <c r="B771" s="6" t="s">
        <v>2781</v>
      </c>
      <c r="C771" s="6" t="s">
        <v>2782</v>
      </c>
      <c r="D771" s="15" t="s">
        <v>97</v>
      </c>
      <c r="E771" s="15" t="s">
        <v>35</v>
      </c>
      <c r="F771" s="16" t="s">
        <v>2783</v>
      </c>
      <c r="G771" s="6" t="s">
        <v>37</v>
      </c>
      <c r="H771" s="6" t="s">
        <v>2784</v>
      </c>
    </row>
    <row r="772" ht="12.75" customHeight="1">
      <c r="A772" s="6" t="s">
        <v>2785</v>
      </c>
      <c r="B772" s="6" t="s">
        <v>2786</v>
      </c>
      <c r="C772" s="6" t="s">
        <v>127</v>
      </c>
      <c r="D772" s="15" t="s">
        <v>35</v>
      </c>
      <c r="E772" s="15" t="s">
        <v>239</v>
      </c>
      <c r="F772" s="16" t="s">
        <v>2787</v>
      </c>
      <c r="G772" s="6" t="s">
        <v>37</v>
      </c>
      <c r="H772" s="6" t="s">
        <v>2788</v>
      </c>
    </row>
    <row r="773" ht="12.75" customHeight="1">
      <c r="A773" s="6" t="s">
        <v>2789</v>
      </c>
      <c r="B773" s="6" t="s">
        <v>2786</v>
      </c>
      <c r="C773" s="6" t="s">
        <v>221</v>
      </c>
      <c r="D773" s="15" t="s">
        <v>222</v>
      </c>
      <c r="E773" s="15" t="s">
        <v>35</v>
      </c>
      <c r="F773" s="16" t="s">
        <v>2790</v>
      </c>
      <c r="G773" s="6" t="s">
        <v>37</v>
      </c>
      <c r="H773" s="6" t="s">
        <v>2791</v>
      </c>
    </row>
    <row r="774" ht="12.75" customHeight="1">
      <c r="A774" s="6" t="s">
        <v>2792</v>
      </c>
      <c r="B774" s="6" t="s">
        <v>2786</v>
      </c>
      <c r="C774" s="6" t="s">
        <v>127</v>
      </c>
      <c r="D774" s="15" t="s">
        <v>35</v>
      </c>
      <c r="E774" s="15" t="s">
        <v>665</v>
      </c>
      <c r="F774" s="16" t="s">
        <v>2793</v>
      </c>
      <c r="G774" s="6" t="s">
        <v>37</v>
      </c>
      <c r="H774" s="6" t="s">
        <v>2794</v>
      </c>
    </row>
    <row r="775" ht="12.75" customHeight="1">
      <c r="A775" s="6" t="s">
        <v>2795</v>
      </c>
      <c r="B775" s="6" t="s">
        <v>2786</v>
      </c>
      <c r="C775" s="6" t="s">
        <v>136</v>
      </c>
      <c r="D775" s="15" t="s">
        <v>313</v>
      </c>
      <c r="E775" s="15" t="s">
        <v>35</v>
      </c>
      <c r="F775" s="16" t="s">
        <v>2796</v>
      </c>
      <c r="G775" s="6" t="s">
        <v>37</v>
      </c>
      <c r="H775" s="6" t="s">
        <v>2797</v>
      </c>
    </row>
    <row r="776" ht="12.75" customHeight="1">
      <c r="A776" s="6" t="s">
        <v>2798</v>
      </c>
      <c r="B776" s="6" t="s">
        <v>2786</v>
      </c>
      <c r="C776" s="6" t="s">
        <v>2799</v>
      </c>
      <c r="D776" s="15" t="s">
        <v>35</v>
      </c>
      <c r="E776" s="15" t="s">
        <v>71</v>
      </c>
      <c r="F776" s="16" t="s">
        <v>2800</v>
      </c>
      <c r="G776" s="6" t="s">
        <v>37</v>
      </c>
      <c r="H776" s="6" t="s">
        <v>2801</v>
      </c>
    </row>
    <row r="777" ht="12.75" customHeight="1">
      <c r="A777" s="6" t="s">
        <v>2802</v>
      </c>
      <c r="B777" s="6" t="s">
        <v>2786</v>
      </c>
      <c r="C777" s="6" t="s">
        <v>33</v>
      </c>
      <c r="D777" s="15" t="s">
        <v>50</v>
      </c>
      <c r="E777" s="15" t="s">
        <v>35</v>
      </c>
      <c r="F777" s="16" t="s">
        <v>2803</v>
      </c>
      <c r="G777" s="6" t="s">
        <v>37</v>
      </c>
      <c r="H777" s="6" t="s">
        <v>2804</v>
      </c>
    </row>
    <row r="778" ht="12.75" customHeight="1">
      <c r="A778" s="6" t="s">
        <v>2805</v>
      </c>
      <c r="B778" s="6" t="s">
        <v>2786</v>
      </c>
      <c r="C778" s="6" t="s">
        <v>2384</v>
      </c>
      <c r="D778" s="15" t="s">
        <v>189</v>
      </c>
      <c r="E778" s="15" t="s">
        <v>35</v>
      </c>
      <c r="F778" s="16" t="s">
        <v>2796</v>
      </c>
      <c r="G778" s="6" t="s">
        <v>37</v>
      </c>
      <c r="H778" s="6" t="s">
        <v>2806</v>
      </c>
    </row>
    <row r="779" ht="12.75" customHeight="1">
      <c r="A779" s="6" t="s">
        <v>2807</v>
      </c>
      <c r="B779" s="6" t="s">
        <v>2786</v>
      </c>
      <c r="C779" s="6" t="s">
        <v>2384</v>
      </c>
      <c r="D779" s="15" t="s">
        <v>46</v>
      </c>
      <c r="E779" s="15" t="s">
        <v>35</v>
      </c>
      <c r="F779" s="16" t="s">
        <v>2808</v>
      </c>
      <c r="G779" s="6" t="s">
        <v>37</v>
      </c>
      <c r="H779" s="6" t="s">
        <v>2809</v>
      </c>
    </row>
    <row r="780" ht="12.75" customHeight="1">
      <c r="A780" s="6" t="s">
        <v>2810</v>
      </c>
      <c r="B780" s="6" t="s">
        <v>2786</v>
      </c>
      <c r="C780" s="6" t="s">
        <v>106</v>
      </c>
      <c r="D780" s="15" t="s">
        <v>744</v>
      </c>
      <c r="E780" s="15" t="s">
        <v>35</v>
      </c>
      <c r="F780" s="16" t="s">
        <v>2811</v>
      </c>
      <c r="G780" s="6" t="s">
        <v>37</v>
      </c>
      <c r="H780" s="6" t="s">
        <v>2812</v>
      </c>
    </row>
    <row r="781" ht="12.75" customHeight="1">
      <c r="A781" s="6" t="s">
        <v>2813</v>
      </c>
      <c r="B781" s="6" t="s">
        <v>2786</v>
      </c>
      <c r="C781" s="6" t="s">
        <v>397</v>
      </c>
      <c r="D781" s="15" t="s">
        <v>335</v>
      </c>
      <c r="E781" s="15" t="s">
        <v>35</v>
      </c>
      <c r="F781" s="16" t="s">
        <v>2778</v>
      </c>
      <c r="G781" s="6" t="s">
        <v>37</v>
      </c>
      <c r="H781" s="6" t="s">
        <v>2814</v>
      </c>
    </row>
    <row r="782" ht="12.75" customHeight="1">
      <c r="A782" s="6" t="s">
        <v>2815</v>
      </c>
      <c r="B782" s="6" t="s">
        <v>2786</v>
      </c>
      <c r="C782" s="6" t="s">
        <v>397</v>
      </c>
      <c r="D782" s="15" t="s">
        <v>50</v>
      </c>
      <c r="E782" s="15" t="s">
        <v>35</v>
      </c>
      <c r="F782" s="16" t="s">
        <v>2816</v>
      </c>
      <c r="G782" s="6" t="s">
        <v>37</v>
      </c>
      <c r="H782" s="6" t="s">
        <v>2817</v>
      </c>
    </row>
    <row r="783" ht="12.75" customHeight="1">
      <c r="A783" s="6" t="s">
        <v>2818</v>
      </c>
      <c r="B783" s="6" t="s">
        <v>2786</v>
      </c>
      <c r="C783" s="6" t="s">
        <v>2819</v>
      </c>
      <c r="D783" s="15" t="s">
        <v>1968</v>
      </c>
      <c r="E783" s="15" t="s">
        <v>35</v>
      </c>
      <c r="F783" s="16" t="s">
        <v>2820</v>
      </c>
      <c r="G783" s="6" t="s">
        <v>37</v>
      </c>
      <c r="H783" s="6" t="s">
        <v>2821</v>
      </c>
    </row>
    <row r="784" ht="12.75" customHeight="1">
      <c r="A784" s="6" t="s">
        <v>2822</v>
      </c>
      <c r="B784" s="6" t="s">
        <v>2786</v>
      </c>
      <c r="C784" s="6" t="s">
        <v>45</v>
      </c>
      <c r="D784" s="15" t="s">
        <v>572</v>
      </c>
      <c r="E784" s="15" t="s">
        <v>35</v>
      </c>
      <c r="F784" s="16" t="s">
        <v>2823</v>
      </c>
      <c r="G784" s="6" t="s">
        <v>37</v>
      </c>
      <c r="H784" s="6" t="s">
        <v>2824</v>
      </c>
    </row>
    <row r="785" ht="12.75" customHeight="1">
      <c r="A785" s="6" t="s">
        <v>2825</v>
      </c>
      <c r="B785" s="6" t="s">
        <v>2826</v>
      </c>
      <c r="C785" s="6" t="s">
        <v>2827</v>
      </c>
      <c r="D785" s="15" t="s">
        <v>35</v>
      </c>
      <c r="E785" s="15" t="s">
        <v>374</v>
      </c>
      <c r="F785" s="16" t="s">
        <v>2828</v>
      </c>
      <c r="G785" s="6" t="s">
        <v>37</v>
      </c>
      <c r="H785" s="6" t="s">
        <v>2829</v>
      </c>
    </row>
    <row r="786" ht="12.75" customHeight="1">
      <c r="A786" s="6" t="s">
        <v>2830</v>
      </c>
      <c r="B786" s="6" t="s">
        <v>2826</v>
      </c>
      <c r="C786" s="6" t="s">
        <v>221</v>
      </c>
      <c r="D786" s="15" t="s">
        <v>222</v>
      </c>
      <c r="E786" s="15" t="s">
        <v>35</v>
      </c>
      <c r="F786" s="16" t="s">
        <v>2831</v>
      </c>
      <c r="G786" s="6" t="s">
        <v>37</v>
      </c>
      <c r="H786" s="6" t="s">
        <v>2832</v>
      </c>
    </row>
    <row r="787" ht="12.75" customHeight="1">
      <c r="A787" s="6" t="s">
        <v>2833</v>
      </c>
      <c r="B787" s="6" t="s">
        <v>2826</v>
      </c>
      <c r="C787" s="6" t="s">
        <v>2558</v>
      </c>
      <c r="D787" s="15" t="s">
        <v>490</v>
      </c>
      <c r="E787" s="15" t="s">
        <v>35</v>
      </c>
      <c r="F787" s="16" t="s">
        <v>2834</v>
      </c>
      <c r="G787" s="6" t="s">
        <v>37</v>
      </c>
      <c r="H787" s="6" t="s">
        <v>2835</v>
      </c>
    </row>
    <row r="788" ht="12.75" customHeight="1">
      <c r="A788" s="6" t="s">
        <v>2836</v>
      </c>
      <c r="B788" s="6" t="s">
        <v>2826</v>
      </c>
      <c r="C788" s="6" t="s">
        <v>70</v>
      </c>
      <c r="D788" s="15" t="s">
        <v>335</v>
      </c>
      <c r="E788" s="15" t="s">
        <v>35</v>
      </c>
      <c r="F788" s="16" t="s">
        <v>2837</v>
      </c>
      <c r="G788" s="6" t="s">
        <v>37</v>
      </c>
      <c r="H788" s="6" t="s">
        <v>2838</v>
      </c>
    </row>
    <row r="789" ht="12.75" customHeight="1">
      <c r="A789" s="6" t="s">
        <v>2839</v>
      </c>
      <c r="B789" s="6" t="s">
        <v>2826</v>
      </c>
      <c r="C789" s="6" t="s">
        <v>33</v>
      </c>
      <c r="D789" s="15" t="s">
        <v>50</v>
      </c>
      <c r="E789" s="15" t="s">
        <v>35</v>
      </c>
      <c r="F789" s="16" t="s">
        <v>2840</v>
      </c>
      <c r="G789" s="6" t="s">
        <v>37</v>
      </c>
      <c r="H789" s="6" t="s">
        <v>2841</v>
      </c>
    </row>
    <row r="790" ht="12.75" customHeight="1">
      <c r="A790" s="6" t="s">
        <v>2842</v>
      </c>
      <c r="B790" s="6" t="s">
        <v>2826</v>
      </c>
      <c r="C790" s="6" t="s">
        <v>360</v>
      </c>
      <c r="D790" s="15" t="s">
        <v>50</v>
      </c>
      <c r="E790" s="15" t="s">
        <v>35</v>
      </c>
      <c r="F790" s="16" t="s">
        <v>2843</v>
      </c>
      <c r="G790" s="6" t="s">
        <v>37</v>
      </c>
      <c r="H790" s="6" t="s">
        <v>2844</v>
      </c>
    </row>
    <row r="791" ht="12.75" customHeight="1">
      <c r="A791" s="6" t="s">
        <v>2845</v>
      </c>
      <c r="B791" s="6" t="s">
        <v>2826</v>
      </c>
      <c r="C791" s="6" t="s">
        <v>2574</v>
      </c>
      <c r="D791" s="15" t="s">
        <v>97</v>
      </c>
      <c r="E791" s="15" t="s">
        <v>35</v>
      </c>
      <c r="F791" s="16" t="s">
        <v>2846</v>
      </c>
      <c r="G791" s="6" t="s">
        <v>37</v>
      </c>
      <c r="H791" s="6" t="s">
        <v>2847</v>
      </c>
    </row>
    <row r="792" ht="12.75" customHeight="1">
      <c r="A792" s="6" t="s">
        <v>2848</v>
      </c>
      <c r="B792" s="6" t="s">
        <v>2826</v>
      </c>
      <c r="C792" s="6" t="s">
        <v>2849</v>
      </c>
      <c r="D792" s="15" t="s">
        <v>335</v>
      </c>
      <c r="E792" s="15" t="s">
        <v>35</v>
      </c>
      <c r="F792" s="16" t="s">
        <v>2850</v>
      </c>
      <c r="G792" s="6" t="s">
        <v>37</v>
      </c>
      <c r="H792" s="6" t="s">
        <v>2851</v>
      </c>
    </row>
    <row r="793" ht="12.75" customHeight="1">
      <c r="A793" s="6" t="s">
        <v>2852</v>
      </c>
      <c r="B793" s="6" t="s">
        <v>2826</v>
      </c>
      <c r="C793" s="6" t="s">
        <v>506</v>
      </c>
      <c r="D793" s="15" t="s">
        <v>71</v>
      </c>
      <c r="E793" s="15" t="s">
        <v>35</v>
      </c>
      <c r="F793" s="16" t="s">
        <v>2853</v>
      </c>
      <c r="G793" s="6" t="s">
        <v>37</v>
      </c>
      <c r="H793" s="6" t="s">
        <v>2854</v>
      </c>
    </row>
    <row r="794" ht="12.75" customHeight="1">
      <c r="A794" s="6" t="s">
        <v>2855</v>
      </c>
      <c r="B794" s="6" t="s">
        <v>2826</v>
      </c>
      <c r="C794" s="6" t="s">
        <v>2856</v>
      </c>
      <c r="D794" s="15" t="s">
        <v>1097</v>
      </c>
      <c r="E794" s="15" t="s">
        <v>35</v>
      </c>
      <c r="F794" s="16" t="s">
        <v>2857</v>
      </c>
      <c r="G794" s="6" t="s">
        <v>37</v>
      </c>
      <c r="H794" s="6" t="s">
        <v>2858</v>
      </c>
    </row>
    <row r="795" ht="12.75" customHeight="1">
      <c r="A795" s="6" t="s">
        <v>2859</v>
      </c>
      <c r="B795" s="6" t="s">
        <v>2826</v>
      </c>
      <c r="C795" s="6" t="s">
        <v>92</v>
      </c>
      <c r="D795" s="15" t="s">
        <v>34</v>
      </c>
      <c r="E795" s="15" t="s">
        <v>35</v>
      </c>
      <c r="F795" s="16" t="s">
        <v>2860</v>
      </c>
      <c r="G795" s="6" t="s">
        <v>37</v>
      </c>
      <c r="H795" s="6" t="s">
        <v>2861</v>
      </c>
    </row>
    <row r="796" ht="12.75" customHeight="1">
      <c r="A796" s="6" t="s">
        <v>2862</v>
      </c>
      <c r="B796" s="6" t="s">
        <v>2826</v>
      </c>
      <c r="C796" s="6" t="s">
        <v>230</v>
      </c>
      <c r="D796" s="15" t="s">
        <v>189</v>
      </c>
      <c r="E796" s="15" t="s">
        <v>35</v>
      </c>
      <c r="F796" s="16" t="s">
        <v>2863</v>
      </c>
      <c r="G796" s="6" t="s">
        <v>37</v>
      </c>
      <c r="H796" s="6" t="s">
        <v>2864</v>
      </c>
    </row>
    <row r="797" ht="12.75" customHeight="1">
      <c r="A797" s="6" t="s">
        <v>2865</v>
      </c>
      <c r="B797" s="6" t="s">
        <v>2826</v>
      </c>
      <c r="C797" s="6" t="s">
        <v>2866</v>
      </c>
      <c r="D797" s="15" t="s">
        <v>35</v>
      </c>
      <c r="E797" s="15" t="s">
        <v>2867</v>
      </c>
      <c r="F797" s="16" t="s">
        <v>2868</v>
      </c>
      <c r="G797" s="6" t="s">
        <v>37</v>
      </c>
      <c r="H797" s="6" t="s">
        <v>2869</v>
      </c>
    </row>
    <row r="798" ht="12.75" customHeight="1">
      <c r="A798" s="6" t="s">
        <v>2870</v>
      </c>
      <c r="B798" s="6" t="s">
        <v>2826</v>
      </c>
      <c r="C798" s="6" t="s">
        <v>221</v>
      </c>
      <c r="D798" s="15" t="s">
        <v>222</v>
      </c>
      <c r="E798" s="15" t="s">
        <v>35</v>
      </c>
      <c r="F798" s="16" t="s">
        <v>2871</v>
      </c>
      <c r="G798" s="6" t="s">
        <v>37</v>
      </c>
      <c r="H798" s="6" t="s">
        <v>2872</v>
      </c>
    </row>
    <row r="799" ht="12.75" customHeight="1">
      <c r="A799" s="6" t="s">
        <v>2873</v>
      </c>
      <c r="B799" s="6" t="s">
        <v>2826</v>
      </c>
      <c r="C799" s="6" t="s">
        <v>2874</v>
      </c>
      <c r="D799" s="15" t="s">
        <v>2875</v>
      </c>
      <c r="E799" s="15" t="s">
        <v>35</v>
      </c>
      <c r="F799" s="16" t="s">
        <v>2876</v>
      </c>
      <c r="G799" s="6" t="s">
        <v>37</v>
      </c>
      <c r="H799" s="6" t="s">
        <v>2877</v>
      </c>
    </row>
    <row r="800" ht="12.75" customHeight="1">
      <c r="A800" s="6" t="s">
        <v>2878</v>
      </c>
      <c r="B800" s="6" t="s">
        <v>2826</v>
      </c>
      <c r="C800" s="6" t="s">
        <v>45</v>
      </c>
      <c r="D800" s="15" t="s">
        <v>211</v>
      </c>
      <c r="E800" s="15" t="s">
        <v>35</v>
      </c>
      <c r="F800" s="16" t="s">
        <v>2879</v>
      </c>
      <c r="G800" s="6" t="s">
        <v>37</v>
      </c>
      <c r="H800" s="6" t="s">
        <v>2880</v>
      </c>
    </row>
    <row r="801" ht="12.75" customHeight="1">
      <c r="A801" s="6" t="s">
        <v>2881</v>
      </c>
      <c r="B801" s="6" t="s">
        <v>2826</v>
      </c>
      <c r="C801" s="6" t="s">
        <v>2882</v>
      </c>
      <c r="D801" s="15" t="s">
        <v>35</v>
      </c>
      <c r="E801" s="15" t="s">
        <v>335</v>
      </c>
      <c r="F801" s="16" t="s">
        <v>2883</v>
      </c>
      <c r="G801" s="6" t="s">
        <v>37</v>
      </c>
      <c r="H801" s="6" t="s">
        <v>2884</v>
      </c>
    </row>
    <row r="802" ht="12.75" customHeight="1">
      <c r="A802" s="6" t="s">
        <v>2885</v>
      </c>
      <c r="B802" s="6" t="s">
        <v>2886</v>
      </c>
      <c r="C802" s="6" t="s">
        <v>434</v>
      </c>
      <c r="D802" s="15" t="s">
        <v>34</v>
      </c>
      <c r="E802" s="15" t="s">
        <v>35</v>
      </c>
      <c r="F802" s="16" t="s">
        <v>2887</v>
      </c>
      <c r="G802" s="6" t="s">
        <v>37</v>
      </c>
      <c r="H802" s="6" t="s">
        <v>2888</v>
      </c>
    </row>
    <row r="803" ht="12.75" customHeight="1">
      <c r="A803" s="6" t="s">
        <v>2889</v>
      </c>
      <c r="B803" s="6" t="s">
        <v>2886</v>
      </c>
      <c r="C803" s="6" t="s">
        <v>2890</v>
      </c>
      <c r="D803" s="15" t="s">
        <v>50</v>
      </c>
      <c r="E803" s="15" t="s">
        <v>35</v>
      </c>
      <c r="F803" s="16" t="s">
        <v>2891</v>
      </c>
      <c r="G803" s="6" t="s">
        <v>37</v>
      </c>
      <c r="H803" s="6" t="s">
        <v>2892</v>
      </c>
    </row>
    <row r="804" ht="12.75" customHeight="1">
      <c r="A804" s="6" t="s">
        <v>2893</v>
      </c>
      <c r="B804" s="6" t="s">
        <v>2886</v>
      </c>
      <c r="C804" s="6" t="s">
        <v>2894</v>
      </c>
      <c r="D804" s="15" t="s">
        <v>71</v>
      </c>
      <c r="E804" s="15" t="s">
        <v>35</v>
      </c>
      <c r="F804" s="16" t="s">
        <v>2895</v>
      </c>
      <c r="G804" s="6" t="s">
        <v>37</v>
      </c>
      <c r="H804" s="6" t="s">
        <v>2896</v>
      </c>
    </row>
    <row r="805" ht="12.75" customHeight="1">
      <c r="A805" s="6" t="s">
        <v>2897</v>
      </c>
      <c r="B805" s="6" t="s">
        <v>2886</v>
      </c>
      <c r="C805" s="6" t="s">
        <v>2898</v>
      </c>
      <c r="D805" s="15" t="s">
        <v>50</v>
      </c>
      <c r="E805" s="15" t="s">
        <v>35</v>
      </c>
      <c r="F805" s="16" t="s">
        <v>2899</v>
      </c>
      <c r="G805" s="6" t="s">
        <v>37</v>
      </c>
      <c r="H805" s="6" t="s">
        <v>2900</v>
      </c>
    </row>
    <row r="806" ht="12.75" customHeight="1">
      <c r="A806" s="6" t="s">
        <v>2901</v>
      </c>
      <c r="B806" s="6" t="s">
        <v>2886</v>
      </c>
      <c r="C806" s="6" t="s">
        <v>506</v>
      </c>
      <c r="D806" s="15" t="s">
        <v>971</v>
      </c>
      <c r="E806" s="15" t="s">
        <v>35</v>
      </c>
      <c r="F806" s="16" t="s">
        <v>2902</v>
      </c>
      <c r="G806" s="6" t="s">
        <v>37</v>
      </c>
      <c r="H806" s="6" t="s">
        <v>2903</v>
      </c>
    </row>
    <row r="807" ht="12.75" customHeight="1">
      <c r="A807" s="6" t="s">
        <v>2904</v>
      </c>
      <c r="B807" s="6" t="s">
        <v>2886</v>
      </c>
      <c r="C807" s="6" t="s">
        <v>2905</v>
      </c>
      <c r="D807" s="15" t="s">
        <v>41</v>
      </c>
      <c r="E807" s="15" t="s">
        <v>35</v>
      </c>
      <c r="F807" s="16" t="s">
        <v>2906</v>
      </c>
      <c r="G807" s="6" t="s">
        <v>37</v>
      </c>
      <c r="H807" s="6" t="s">
        <v>2907</v>
      </c>
    </row>
    <row r="808" ht="12.75" customHeight="1">
      <c r="A808" s="6" t="s">
        <v>2908</v>
      </c>
      <c r="B808" s="6" t="s">
        <v>2886</v>
      </c>
      <c r="C808" s="6" t="s">
        <v>45</v>
      </c>
      <c r="D808" s="15" t="s">
        <v>502</v>
      </c>
      <c r="E808" s="15" t="s">
        <v>35</v>
      </c>
      <c r="F808" s="16" t="s">
        <v>2909</v>
      </c>
      <c r="G808" s="6" t="s">
        <v>37</v>
      </c>
      <c r="H808" s="6" t="s">
        <v>2910</v>
      </c>
    </row>
    <row r="809" ht="12.75" customHeight="1">
      <c r="A809" s="6" t="s">
        <v>2911</v>
      </c>
      <c r="B809" s="6" t="s">
        <v>2886</v>
      </c>
      <c r="C809" s="6" t="s">
        <v>758</v>
      </c>
      <c r="D809" s="15" t="s">
        <v>50</v>
      </c>
      <c r="E809" s="15" t="s">
        <v>35</v>
      </c>
      <c r="F809" s="16" t="s">
        <v>2912</v>
      </c>
      <c r="G809" s="6" t="s">
        <v>37</v>
      </c>
      <c r="H809" s="6" t="s">
        <v>2913</v>
      </c>
    </row>
    <row r="810" ht="12.75" customHeight="1">
      <c r="A810" s="6" t="s">
        <v>2914</v>
      </c>
      <c r="B810" s="6" t="s">
        <v>2915</v>
      </c>
      <c r="C810" s="6" t="s">
        <v>45</v>
      </c>
      <c r="D810" s="15" t="s">
        <v>502</v>
      </c>
      <c r="E810" s="15" t="s">
        <v>35</v>
      </c>
      <c r="F810" s="16" t="s">
        <v>2916</v>
      </c>
      <c r="G810" s="6" t="s">
        <v>37</v>
      </c>
      <c r="H810" s="6" t="s">
        <v>2917</v>
      </c>
    </row>
    <row r="811" ht="12.75" customHeight="1">
      <c r="A811" s="6" t="s">
        <v>2918</v>
      </c>
      <c r="B811" s="6" t="s">
        <v>2915</v>
      </c>
      <c r="C811" s="6" t="s">
        <v>2919</v>
      </c>
      <c r="D811" s="15" t="s">
        <v>665</v>
      </c>
      <c r="E811" s="15" t="s">
        <v>35</v>
      </c>
      <c r="F811" s="16" t="s">
        <v>2920</v>
      </c>
      <c r="G811" s="6" t="s">
        <v>37</v>
      </c>
      <c r="H811" s="6" t="s">
        <v>2921</v>
      </c>
    </row>
    <row r="812" ht="12.75" customHeight="1">
      <c r="A812" s="6" t="s">
        <v>2922</v>
      </c>
      <c r="B812" s="6" t="s">
        <v>2915</v>
      </c>
      <c r="C812" s="6" t="s">
        <v>1259</v>
      </c>
      <c r="D812" s="15" t="s">
        <v>50</v>
      </c>
      <c r="E812" s="15" t="s">
        <v>35</v>
      </c>
      <c r="F812" s="16" t="s">
        <v>2923</v>
      </c>
      <c r="G812" s="6" t="s">
        <v>37</v>
      </c>
      <c r="H812" s="6" t="s">
        <v>2924</v>
      </c>
    </row>
    <row r="813" ht="12.75" customHeight="1">
      <c r="A813" s="6" t="s">
        <v>2925</v>
      </c>
      <c r="B813" s="6" t="s">
        <v>2915</v>
      </c>
      <c r="C813" s="6" t="s">
        <v>263</v>
      </c>
      <c r="D813" s="15" t="s">
        <v>946</v>
      </c>
      <c r="E813" s="15" t="s">
        <v>35</v>
      </c>
      <c r="F813" s="16" t="s">
        <v>2926</v>
      </c>
      <c r="G813" s="6" t="s">
        <v>37</v>
      </c>
      <c r="H813" s="6" t="s">
        <v>2927</v>
      </c>
    </row>
    <row r="814" ht="12.75" customHeight="1">
      <c r="A814" s="6" t="s">
        <v>2928</v>
      </c>
      <c r="B814" s="6" t="s">
        <v>2915</v>
      </c>
      <c r="C814" s="6" t="s">
        <v>45</v>
      </c>
      <c r="D814" s="15" t="s">
        <v>855</v>
      </c>
      <c r="E814" s="15" t="s">
        <v>35</v>
      </c>
      <c r="F814" s="16" t="s">
        <v>2929</v>
      </c>
      <c r="G814" s="6" t="s">
        <v>37</v>
      </c>
      <c r="H814" s="6" t="s">
        <v>2930</v>
      </c>
    </row>
    <row r="815" ht="12.75" customHeight="1">
      <c r="A815" s="6" t="s">
        <v>2931</v>
      </c>
      <c r="B815" s="6" t="s">
        <v>2932</v>
      </c>
      <c r="C815" s="6" t="s">
        <v>230</v>
      </c>
      <c r="D815" s="15" t="s">
        <v>97</v>
      </c>
      <c r="E815" s="15" t="s">
        <v>35</v>
      </c>
      <c r="F815" s="16" t="s">
        <v>2933</v>
      </c>
      <c r="G815" s="6" t="s">
        <v>37</v>
      </c>
      <c r="H815" s="6" t="s">
        <v>2934</v>
      </c>
    </row>
    <row r="816" ht="12.75" customHeight="1">
      <c r="A816" s="6" t="s">
        <v>2935</v>
      </c>
      <c r="B816" s="6" t="s">
        <v>2932</v>
      </c>
      <c r="C816" s="6" t="s">
        <v>2936</v>
      </c>
      <c r="D816" s="15" t="s">
        <v>183</v>
      </c>
      <c r="E816" s="15" t="s">
        <v>35</v>
      </c>
      <c r="F816" s="16" t="s">
        <v>2937</v>
      </c>
      <c r="G816" s="6" t="s">
        <v>37</v>
      </c>
      <c r="H816" s="6" t="s">
        <v>2938</v>
      </c>
    </row>
    <row r="817" ht="12.75" customHeight="1">
      <c r="A817" s="6" t="s">
        <v>2939</v>
      </c>
      <c r="B817" s="6" t="s">
        <v>2932</v>
      </c>
      <c r="C817" s="6" t="s">
        <v>45</v>
      </c>
      <c r="D817" s="15" t="s">
        <v>568</v>
      </c>
      <c r="E817" s="15" t="s">
        <v>35</v>
      </c>
      <c r="F817" s="16" t="s">
        <v>2940</v>
      </c>
      <c r="G817" s="6" t="s">
        <v>37</v>
      </c>
      <c r="H817" s="6" t="s">
        <v>2941</v>
      </c>
    </row>
    <row r="818" ht="12.75" customHeight="1">
      <c r="A818" s="6" t="s">
        <v>2942</v>
      </c>
      <c r="B818" s="6" t="s">
        <v>2932</v>
      </c>
      <c r="C818" s="6" t="s">
        <v>127</v>
      </c>
      <c r="D818" s="15" t="s">
        <v>35</v>
      </c>
      <c r="E818" s="15" t="s">
        <v>239</v>
      </c>
      <c r="F818" s="16" t="s">
        <v>2943</v>
      </c>
      <c r="G818" s="6" t="s">
        <v>37</v>
      </c>
      <c r="H818" s="6" t="s">
        <v>2944</v>
      </c>
    </row>
    <row r="819" ht="12.75" customHeight="1">
      <c r="A819" s="6" t="s">
        <v>2945</v>
      </c>
      <c r="B819" s="6" t="s">
        <v>2932</v>
      </c>
      <c r="C819" s="6" t="s">
        <v>221</v>
      </c>
      <c r="D819" s="15" t="s">
        <v>222</v>
      </c>
      <c r="E819" s="15" t="s">
        <v>35</v>
      </c>
      <c r="F819" s="16" t="s">
        <v>2946</v>
      </c>
      <c r="G819" s="6" t="s">
        <v>37</v>
      </c>
      <c r="H819" s="6" t="s">
        <v>2947</v>
      </c>
    </row>
    <row r="820" ht="12.75" customHeight="1">
      <c r="A820" s="6" t="s">
        <v>2948</v>
      </c>
      <c r="B820" s="6" t="s">
        <v>2932</v>
      </c>
      <c r="C820" s="6" t="s">
        <v>2949</v>
      </c>
      <c r="D820" s="15" t="s">
        <v>2950</v>
      </c>
      <c r="E820" s="15" t="s">
        <v>35</v>
      </c>
      <c r="F820" s="16" t="s">
        <v>2951</v>
      </c>
      <c r="G820" s="6" t="s">
        <v>37</v>
      </c>
      <c r="H820" s="6" t="s">
        <v>2952</v>
      </c>
    </row>
    <row r="821" ht="12.75" customHeight="1">
      <c r="A821" s="6" t="s">
        <v>2953</v>
      </c>
      <c r="B821" s="6" t="s">
        <v>2932</v>
      </c>
      <c r="C821" s="6" t="s">
        <v>2919</v>
      </c>
      <c r="D821" s="15" t="s">
        <v>189</v>
      </c>
      <c r="E821" s="15" t="s">
        <v>35</v>
      </c>
      <c r="F821" s="16" t="s">
        <v>2954</v>
      </c>
      <c r="G821" s="6" t="s">
        <v>37</v>
      </c>
      <c r="H821" s="6" t="s">
        <v>2955</v>
      </c>
    </row>
    <row r="822" ht="12.75" customHeight="1">
      <c r="A822" s="6" t="s">
        <v>2956</v>
      </c>
      <c r="B822" s="6" t="s">
        <v>2932</v>
      </c>
      <c r="C822" s="6" t="s">
        <v>2957</v>
      </c>
      <c r="D822" s="15" t="s">
        <v>183</v>
      </c>
      <c r="E822" s="15" t="s">
        <v>35</v>
      </c>
      <c r="F822" s="16" t="s">
        <v>2958</v>
      </c>
      <c r="G822" s="6" t="s">
        <v>37</v>
      </c>
      <c r="H822" s="6" t="s">
        <v>2959</v>
      </c>
    </row>
    <row r="823" ht="12.75" customHeight="1">
      <c r="A823" s="6" t="s">
        <v>2960</v>
      </c>
      <c r="B823" s="6" t="s">
        <v>2961</v>
      </c>
      <c r="C823" s="6" t="s">
        <v>2799</v>
      </c>
      <c r="D823" s="15" t="s">
        <v>35</v>
      </c>
      <c r="E823" s="15" t="s">
        <v>335</v>
      </c>
      <c r="F823" s="16" t="s">
        <v>2962</v>
      </c>
      <c r="G823" s="6" t="s">
        <v>37</v>
      </c>
      <c r="H823" s="6" t="s">
        <v>2963</v>
      </c>
    </row>
    <row r="824" ht="12.75" customHeight="1">
      <c r="A824" s="6" t="s">
        <v>2964</v>
      </c>
      <c r="B824" s="6" t="s">
        <v>2961</v>
      </c>
      <c r="C824" s="6" t="s">
        <v>230</v>
      </c>
      <c r="D824" s="15" t="s">
        <v>335</v>
      </c>
      <c r="E824" s="15" t="s">
        <v>35</v>
      </c>
      <c r="F824" s="16" t="s">
        <v>2958</v>
      </c>
      <c r="G824" s="6" t="s">
        <v>37</v>
      </c>
      <c r="H824" s="6" t="s">
        <v>2965</v>
      </c>
    </row>
    <row r="825" ht="12.75" customHeight="1">
      <c r="A825" s="6" t="s">
        <v>2966</v>
      </c>
      <c r="B825" s="6" t="s">
        <v>2961</v>
      </c>
      <c r="C825" s="6" t="s">
        <v>45</v>
      </c>
      <c r="D825" s="15" t="s">
        <v>119</v>
      </c>
      <c r="E825" s="15" t="s">
        <v>35</v>
      </c>
      <c r="F825" s="16" t="s">
        <v>2967</v>
      </c>
      <c r="G825" s="6" t="s">
        <v>37</v>
      </c>
      <c r="H825" s="6" t="s">
        <v>2968</v>
      </c>
    </row>
    <row r="826" ht="12.75" customHeight="1">
      <c r="A826" s="6" t="s">
        <v>2969</v>
      </c>
      <c r="B826" s="6" t="s">
        <v>2961</v>
      </c>
      <c r="C826" s="6" t="s">
        <v>106</v>
      </c>
      <c r="D826" s="15" t="s">
        <v>41</v>
      </c>
      <c r="E826" s="15" t="s">
        <v>35</v>
      </c>
      <c r="F826" s="16" t="s">
        <v>2970</v>
      </c>
      <c r="G826" s="6" t="s">
        <v>37</v>
      </c>
      <c r="H826" s="6" t="s">
        <v>2971</v>
      </c>
    </row>
    <row r="827" ht="12.75" customHeight="1">
      <c r="A827" s="6" t="s">
        <v>2972</v>
      </c>
      <c r="B827" s="6" t="s">
        <v>2961</v>
      </c>
      <c r="C827" s="6" t="s">
        <v>1192</v>
      </c>
      <c r="D827" s="15" t="s">
        <v>97</v>
      </c>
      <c r="E827" s="15" t="s">
        <v>35</v>
      </c>
      <c r="F827" s="16" t="s">
        <v>2973</v>
      </c>
      <c r="G827" s="6" t="s">
        <v>37</v>
      </c>
      <c r="H827" s="6" t="s">
        <v>2974</v>
      </c>
    </row>
    <row r="828" ht="12.75" customHeight="1">
      <c r="A828" s="6" t="s">
        <v>2975</v>
      </c>
      <c r="B828" s="6" t="s">
        <v>2961</v>
      </c>
      <c r="C828" s="6" t="s">
        <v>92</v>
      </c>
      <c r="D828" s="15" t="s">
        <v>335</v>
      </c>
      <c r="E828" s="15" t="s">
        <v>35</v>
      </c>
      <c r="F828" s="16" t="s">
        <v>2976</v>
      </c>
      <c r="G828" s="6" t="s">
        <v>37</v>
      </c>
      <c r="H828" s="6" t="s">
        <v>2977</v>
      </c>
    </row>
    <row r="829" ht="12.75" customHeight="1">
      <c r="A829" s="6" t="s">
        <v>2978</v>
      </c>
      <c r="B829" s="6" t="s">
        <v>2961</v>
      </c>
      <c r="C829" s="6" t="s">
        <v>45</v>
      </c>
      <c r="D829" s="15" t="s">
        <v>502</v>
      </c>
      <c r="E829" s="15" t="s">
        <v>35</v>
      </c>
      <c r="F829" s="16" t="s">
        <v>2979</v>
      </c>
      <c r="G829" s="6" t="s">
        <v>37</v>
      </c>
      <c r="H829" s="6" t="s">
        <v>2980</v>
      </c>
    </row>
    <row r="830" ht="12.75" customHeight="1">
      <c r="A830" s="6" t="s">
        <v>2981</v>
      </c>
      <c r="B830" s="6" t="s">
        <v>2982</v>
      </c>
      <c r="C830" s="6" t="s">
        <v>45</v>
      </c>
      <c r="D830" s="15" t="s">
        <v>502</v>
      </c>
      <c r="E830" s="15" t="s">
        <v>35</v>
      </c>
      <c r="F830" s="16" t="s">
        <v>2983</v>
      </c>
      <c r="G830" s="6" t="s">
        <v>37</v>
      </c>
      <c r="H830" s="6" t="s">
        <v>2984</v>
      </c>
    </row>
    <row r="831" ht="12.75" customHeight="1">
      <c r="A831" s="6" t="s">
        <v>2985</v>
      </c>
      <c r="B831" s="6" t="s">
        <v>2982</v>
      </c>
      <c r="C831" s="6" t="s">
        <v>70</v>
      </c>
      <c r="D831" s="15" t="s">
        <v>97</v>
      </c>
      <c r="E831" s="15" t="s">
        <v>35</v>
      </c>
      <c r="F831" s="16" t="s">
        <v>2983</v>
      </c>
      <c r="G831" s="6" t="s">
        <v>37</v>
      </c>
      <c r="H831" s="6" t="s">
        <v>2986</v>
      </c>
    </row>
    <row r="832" ht="12.75" customHeight="1">
      <c r="A832" s="6" t="s">
        <v>2987</v>
      </c>
      <c r="B832" s="6" t="s">
        <v>2982</v>
      </c>
      <c r="C832" s="6" t="s">
        <v>2988</v>
      </c>
      <c r="D832" s="15" t="s">
        <v>35</v>
      </c>
      <c r="E832" s="15" t="s">
        <v>97</v>
      </c>
      <c r="F832" s="16" t="s">
        <v>2989</v>
      </c>
      <c r="G832" s="6" t="s">
        <v>37</v>
      </c>
      <c r="H832" s="6" t="s">
        <v>2990</v>
      </c>
    </row>
    <row r="833" ht="12.75" customHeight="1">
      <c r="A833" s="6" t="s">
        <v>2991</v>
      </c>
      <c r="B833" s="6" t="s">
        <v>2982</v>
      </c>
      <c r="C833" s="6" t="s">
        <v>106</v>
      </c>
      <c r="D833" s="15" t="s">
        <v>685</v>
      </c>
      <c r="E833" s="15" t="s">
        <v>35</v>
      </c>
      <c r="F833" s="16" t="s">
        <v>2992</v>
      </c>
      <c r="G833" s="6" t="s">
        <v>37</v>
      </c>
      <c r="H833" s="6" t="s">
        <v>2993</v>
      </c>
    </row>
    <row r="834" ht="12.75" customHeight="1">
      <c r="A834" s="6" t="s">
        <v>2994</v>
      </c>
      <c r="B834" s="6" t="s">
        <v>2982</v>
      </c>
      <c r="C834" s="6" t="s">
        <v>106</v>
      </c>
      <c r="D834" s="15" t="s">
        <v>34</v>
      </c>
      <c r="E834" s="15" t="s">
        <v>35</v>
      </c>
      <c r="F834" s="16" t="s">
        <v>2995</v>
      </c>
      <c r="G834" s="6" t="s">
        <v>37</v>
      </c>
      <c r="H834" s="6" t="s">
        <v>2996</v>
      </c>
    </row>
    <row r="835" ht="12.75" customHeight="1">
      <c r="A835" s="6" t="s">
        <v>2997</v>
      </c>
      <c r="B835" s="6" t="s">
        <v>2982</v>
      </c>
      <c r="C835" s="6" t="s">
        <v>106</v>
      </c>
      <c r="D835" s="15" t="s">
        <v>572</v>
      </c>
      <c r="E835" s="15" t="s">
        <v>35</v>
      </c>
      <c r="F835" s="16" t="s">
        <v>2998</v>
      </c>
      <c r="G835" s="6" t="s">
        <v>37</v>
      </c>
      <c r="H835" s="6" t="s">
        <v>2999</v>
      </c>
    </row>
    <row r="836" ht="12.75" customHeight="1">
      <c r="A836" s="6" t="s">
        <v>3000</v>
      </c>
      <c r="B836" s="6" t="s">
        <v>2982</v>
      </c>
      <c r="C836" s="6" t="s">
        <v>45</v>
      </c>
      <c r="D836" s="15" t="s">
        <v>1434</v>
      </c>
      <c r="E836" s="15" t="s">
        <v>35</v>
      </c>
      <c r="F836" s="16" t="s">
        <v>3001</v>
      </c>
      <c r="G836" s="6" t="s">
        <v>37</v>
      </c>
      <c r="H836" s="6" t="s">
        <v>3002</v>
      </c>
    </row>
    <row r="837" ht="12.75" customHeight="1">
      <c r="A837" s="6" t="s">
        <v>3003</v>
      </c>
      <c r="B837" s="6" t="s">
        <v>3004</v>
      </c>
      <c r="C837" s="6" t="s">
        <v>168</v>
      </c>
      <c r="D837" s="15" t="s">
        <v>35</v>
      </c>
      <c r="E837" s="15" t="s">
        <v>71</v>
      </c>
      <c r="F837" s="16" t="s">
        <v>3005</v>
      </c>
      <c r="G837" s="6" t="s">
        <v>37</v>
      </c>
      <c r="H837" s="6" t="s">
        <v>3006</v>
      </c>
    </row>
    <row r="838" ht="12.75" customHeight="1">
      <c r="A838" s="6" t="s">
        <v>3007</v>
      </c>
      <c r="B838" s="6" t="s">
        <v>3004</v>
      </c>
      <c r="C838" s="6" t="s">
        <v>106</v>
      </c>
      <c r="D838" s="15" t="s">
        <v>515</v>
      </c>
      <c r="E838" s="15" t="s">
        <v>35</v>
      </c>
      <c r="F838" s="16" t="s">
        <v>3008</v>
      </c>
      <c r="G838" s="6" t="s">
        <v>37</v>
      </c>
      <c r="H838" s="6" t="s">
        <v>3009</v>
      </c>
    </row>
    <row r="839" ht="12.75" customHeight="1">
      <c r="A839" s="6" t="s">
        <v>3010</v>
      </c>
      <c r="B839" s="6" t="s">
        <v>3004</v>
      </c>
      <c r="C839" s="6" t="s">
        <v>45</v>
      </c>
      <c r="D839" s="15" t="s">
        <v>568</v>
      </c>
      <c r="E839" s="15" t="s">
        <v>35</v>
      </c>
      <c r="F839" s="16" t="s">
        <v>3008</v>
      </c>
      <c r="G839" s="6" t="s">
        <v>37</v>
      </c>
      <c r="H839" s="6" t="s">
        <v>3011</v>
      </c>
    </row>
    <row r="840" ht="12.75" customHeight="1">
      <c r="A840" s="6" t="s">
        <v>3012</v>
      </c>
      <c r="B840" s="6" t="s">
        <v>3004</v>
      </c>
      <c r="C840" s="6" t="s">
        <v>2988</v>
      </c>
      <c r="D840" s="15" t="s">
        <v>35</v>
      </c>
      <c r="E840" s="15" t="s">
        <v>568</v>
      </c>
      <c r="F840" s="16" t="s">
        <v>3013</v>
      </c>
      <c r="G840" s="6" t="s">
        <v>37</v>
      </c>
      <c r="H840" s="6" t="s">
        <v>3014</v>
      </c>
    </row>
    <row r="841" ht="12.75" customHeight="1">
      <c r="A841" s="6" t="s">
        <v>3015</v>
      </c>
      <c r="B841" s="6" t="s">
        <v>3004</v>
      </c>
      <c r="C841" s="6" t="s">
        <v>92</v>
      </c>
      <c r="D841" s="15" t="s">
        <v>443</v>
      </c>
      <c r="E841" s="15" t="s">
        <v>35</v>
      </c>
      <c r="F841" s="16" t="s">
        <v>3016</v>
      </c>
      <c r="G841" s="6" t="s">
        <v>37</v>
      </c>
      <c r="H841" s="6" t="s">
        <v>3017</v>
      </c>
    </row>
    <row r="842" ht="12.75" customHeight="1">
      <c r="A842" s="6" t="s">
        <v>3018</v>
      </c>
      <c r="B842" s="6" t="s">
        <v>3004</v>
      </c>
      <c r="C842" s="6" t="s">
        <v>45</v>
      </c>
      <c r="D842" s="15" t="s">
        <v>855</v>
      </c>
      <c r="E842" s="15" t="s">
        <v>35</v>
      </c>
      <c r="F842" s="16" t="s">
        <v>3016</v>
      </c>
      <c r="G842" s="6" t="s">
        <v>37</v>
      </c>
      <c r="H842" s="6" t="s">
        <v>3019</v>
      </c>
    </row>
    <row r="843" ht="12.75" customHeight="1">
      <c r="A843" s="6" t="s">
        <v>3020</v>
      </c>
      <c r="B843" s="6" t="s">
        <v>3004</v>
      </c>
      <c r="C843" s="6" t="s">
        <v>2988</v>
      </c>
      <c r="D843" s="15" t="s">
        <v>35</v>
      </c>
      <c r="E843" s="15" t="s">
        <v>855</v>
      </c>
      <c r="F843" s="16" t="s">
        <v>3021</v>
      </c>
      <c r="G843" s="6" t="s">
        <v>37</v>
      </c>
      <c r="H843" s="6" t="s">
        <v>3022</v>
      </c>
    </row>
    <row r="844" ht="12.75" customHeight="1">
      <c r="A844" s="6" t="s">
        <v>3023</v>
      </c>
      <c r="B844" s="6" t="s">
        <v>3004</v>
      </c>
      <c r="C844" s="6" t="s">
        <v>3024</v>
      </c>
      <c r="D844" s="15" t="s">
        <v>50</v>
      </c>
      <c r="E844" s="15" t="s">
        <v>35</v>
      </c>
      <c r="F844" s="16" t="s">
        <v>3016</v>
      </c>
      <c r="G844" s="6" t="s">
        <v>37</v>
      </c>
      <c r="H844" s="6" t="s">
        <v>3025</v>
      </c>
    </row>
    <row r="845" ht="12.75" customHeight="1">
      <c r="A845" s="6" t="s">
        <v>3026</v>
      </c>
      <c r="B845" s="6" t="s">
        <v>3004</v>
      </c>
      <c r="C845" s="6" t="s">
        <v>2988</v>
      </c>
      <c r="D845" s="15" t="s">
        <v>35</v>
      </c>
      <c r="E845" s="15" t="s">
        <v>50</v>
      </c>
      <c r="F845" s="16" t="s">
        <v>3001</v>
      </c>
      <c r="G845" s="6" t="s">
        <v>37</v>
      </c>
      <c r="H845" s="6" t="s">
        <v>3027</v>
      </c>
    </row>
    <row r="846" ht="12.75" customHeight="1">
      <c r="A846" s="6" t="s">
        <v>3028</v>
      </c>
      <c r="B846" s="6" t="s">
        <v>3004</v>
      </c>
      <c r="C846" s="6" t="s">
        <v>303</v>
      </c>
      <c r="D846" s="15" t="s">
        <v>71</v>
      </c>
      <c r="E846" s="15" t="s">
        <v>35</v>
      </c>
      <c r="F846" s="16" t="s">
        <v>3016</v>
      </c>
      <c r="G846" s="6" t="s">
        <v>37</v>
      </c>
      <c r="H846" s="6" t="s">
        <v>3029</v>
      </c>
    </row>
    <row r="847" ht="12.75" customHeight="1">
      <c r="A847" s="6" t="s">
        <v>3030</v>
      </c>
      <c r="B847" s="6" t="s">
        <v>3004</v>
      </c>
      <c r="C847" s="6" t="s">
        <v>2988</v>
      </c>
      <c r="D847" s="15" t="s">
        <v>35</v>
      </c>
      <c r="E847" s="15" t="s">
        <v>71</v>
      </c>
      <c r="F847" s="16" t="s">
        <v>3031</v>
      </c>
      <c r="G847" s="6" t="s">
        <v>37</v>
      </c>
      <c r="H847" s="6" t="s">
        <v>3032</v>
      </c>
    </row>
    <row r="848" ht="12.75" customHeight="1">
      <c r="A848" s="6" t="s">
        <v>3033</v>
      </c>
      <c r="B848" s="6" t="s">
        <v>3034</v>
      </c>
      <c r="C848" s="6" t="s">
        <v>3035</v>
      </c>
      <c r="D848" s="15" t="s">
        <v>35</v>
      </c>
      <c r="E848" s="15" t="s">
        <v>256</v>
      </c>
      <c r="F848" s="16" t="s">
        <v>3036</v>
      </c>
      <c r="G848" s="6" t="s">
        <v>37</v>
      </c>
      <c r="H848" s="6" t="s">
        <v>3037</v>
      </c>
    </row>
    <row r="849" ht="12.75" customHeight="1">
      <c r="A849" s="6" t="s">
        <v>3038</v>
      </c>
      <c r="B849" s="6" t="s">
        <v>3034</v>
      </c>
      <c r="C849" s="6" t="s">
        <v>221</v>
      </c>
      <c r="D849" s="15" t="s">
        <v>222</v>
      </c>
      <c r="E849" s="15" t="s">
        <v>35</v>
      </c>
      <c r="F849" s="16" t="s">
        <v>3039</v>
      </c>
      <c r="G849" s="6" t="s">
        <v>37</v>
      </c>
      <c r="H849" s="6" t="s">
        <v>3040</v>
      </c>
    </row>
    <row r="850" ht="12.75" customHeight="1">
      <c r="A850" s="6" t="s">
        <v>3041</v>
      </c>
      <c r="B850" s="6" t="s">
        <v>3034</v>
      </c>
      <c r="C850" s="6" t="s">
        <v>45</v>
      </c>
      <c r="D850" s="15" t="s">
        <v>46</v>
      </c>
      <c r="E850" s="15" t="s">
        <v>35</v>
      </c>
      <c r="F850" s="16" t="s">
        <v>3042</v>
      </c>
      <c r="G850" s="6" t="s">
        <v>37</v>
      </c>
      <c r="H850" s="6" t="s">
        <v>3043</v>
      </c>
    </row>
    <row r="851" ht="12.75" customHeight="1">
      <c r="A851" s="6" t="s">
        <v>3044</v>
      </c>
      <c r="B851" s="6" t="s">
        <v>3034</v>
      </c>
      <c r="C851" s="6" t="s">
        <v>3045</v>
      </c>
      <c r="D851" s="15" t="s">
        <v>1920</v>
      </c>
      <c r="E851" s="15" t="s">
        <v>35</v>
      </c>
      <c r="F851" s="16" t="s">
        <v>3046</v>
      </c>
      <c r="G851" s="6" t="s">
        <v>37</v>
      </c>
      <c r="H851" s="6" t="s">
        <v>3047</v>
      </c>
    </row>
    <row r="852" ht="12.75" customHeight="1">
      <c r="A852" s="6" t="s">
        <v>3048</v>
      </c>
      <c r="B852" s="6" t="s">
        <v>3034</v>
      </c>
      <c r="C852" s="6" t="s">
        <v>208</v>
      </c>
      <c r="D852" s="15" t="s">
        <v>35</v>
      </c>
      <c r="E852" s="15" t="s">
        <v>50</v>
      </c>
      <c r="F852" s="16" t="s">
        <v>3049</v>
      </c>
      <c r="G852" s="6" t="s">
        <v>37</v>
      </c>
      <c r="H852" s="6" t="s">
        <v>3050</v>
      </c>
    </row>
    <row r="853" ht="12.75" customHeight="1">
      <c r="A853" s="6" t="s">
        <v>3051</v>
      </c>
      <c r="B853" s="6" t="s">
        <v>3034</v>
      </c>
      <c r="C853" s="6" t="s">
        <v>96</v>
      </c>
      <c r="D853" s="15" t="s">
        <v>35</v>
      </c>
      <c r="E853" s="15" t="s">
        <v>50</v>
      </c>
      <c r="F853" s="16" t="s">
        <v>3052</v>
      </c>
      <c r="G853" s="6" t="s">
        <v>37</v>
      </c>
      <c r="H853" s="6" t="s">
        <v>3053</v>
      </c>
    </row>
    <row r="854" ht="12.75" customHeight="1">
      <c r="A854" s="6" t="s">
        <v>3054</v>
      </c>
      <c r="B854" s="6" t="s">
        <v>3034</v>
      </c>
      <c r="C854" s="6" t="s">
        <v>3055</v>
      </c>
      <c r="D854" s="15" t="s">
        <v>3056</v>
      </c>
      <c r="E854" s="15" t="s">
        <v>35</v>
      </c>
      <c r="F854" s="16" t="s">
        <v>3057</v>
      </c>
      <c r="G854" s="6" t="s">
        <v>37</v>
      </c>
      <c r="H854" s="6" t="s">
        <v>3058</v>
      </c>
    </row>
    <row r="855" ht="12.75" customHeight="1">
      <c r="A855" s="6" t="s">
        <v>3059</v>
      </c>
      <c r="B855" s="6" t="s">
        <v>3034</v>
      </c>
      <c r="C855" s="6" t="s">
        <v>33</v>
      </c>
      <c r="D855" s="15" t="s">
        <v>50</v>
      </c>
      <c r="E855" s="15" t="s">
        <v>35</v>
      </c>
      <c r="F855" s="16" t="s">
        <v>2958</v>
      </c>
      <c r="G855" s="6" t="s">
        <v>37</v>
      </c>
      <c r="H855" s="6" t="s">
        <v>3060</v>
      </c>
    </row>
    <row r="856" ht="12.75" customHeight="1">
      <c r="A856" s="6" t="s">
        <v>3061</v>
      </c>
      <c r="B856" s="6" t="s">
        <v>3034</v>
      </c>
      <c r="C856" s="6" t="s">
        <v>3062</v>
      </c>
      <c r="D856" s="15" t="s">
        <v>515</v>
      </c>
      <c r="E856" s="15" t="s">
        <v>35</v>
      </c>
      <c r="F856" s="16" t="s">
        <v>3063</v>
      </c>
      <c r="G856" s="6" t="s">
        <v>37</v>
      </c>
      <c r="H856" s="6" t="s">
        <v>3064</v>
      </c>
    </row>
    <row r="857" ht="12.75" customHeight="1">
      <c r="A857" s="6" t="s">
        <v>3065</v>
      </c>
      <c r="B857" s="6" t="s">
        <v>3034</v>
      </c>
      <c r="C857" s="6" t="s">
        <v>92</v>
      </c>
      <c r="D857" s="15" t="s">
        <v>34</v>
      </c>
      <c r="E857" s="15" t="s">
        <v>35</v>
      </c>
      <c r="F857" s="16" t="s">
        <v>3066</v>
      </c>
      <c r="G857" s="6" t="s">
        <v>37</v>
      </c>
      <c r="H857" s="6" t="s">
        <v>3067</v>
      </c>
    </row>
    <row r="858" ht="12.75" customHeight="1">
      <c r="A858" s="6" t="s">
        <v>3068</v>
      </c>
      <c r="B858" s="6" t="s">
        <v>3034</v>
      </c>
      <c r="C858" s="6" t="s">
        <v>3069</v>
      </c>
      <c r="D858" s="15" t="s">
        <v>189</v>
      </c>
      <c r="E858" s="15" t="s">
        <v>35</v>
      </c>
      <c r="F858" s="16" t="s">
        <v>3070</v>
      </c>
      <c r="G858" s="6" t="s">
        <v>37</v>
      </c>
      <c r="H858" s="6" t="s">
        <v>3071</v>
      </c>
    </row>
    <row r="859" ht="12.75" customHeight="1">
      <c r="A859" s="6" t="s">
        <v>3072</v>
      </c>
      <c r="B859" s="6" t="s">
        <v>3034</v>
      </c>
      <c r="C859" s="6" t="s">
        <v>3073</v>
      </c>
      <c r="D859" s="15" t="s">
        <v>844</v>
      </c>
      <c r="E859" s="15" t="s">
        <v>35</v>
      </c>
      <c r="F859" s="16" t="s">
        <v>3074</v>
      </c>
      <c r="G859" s="6" t="s">
        <v>37</v>
      </c>
      <c r="H859" s="6" t="s">
        <v>3075</v>
      </c>
    </row>
    <row r="860" ht="12.75" customHeight="1">
      <c r="A860" s="6" t="s">
        <v>3076</v>
      </c>
      <c r="B860" s="6" t="s">
        <v>3077</v>
      </c>
      <c r="C860" s="6" t="s">
        <v>45</v>
      </c>
      <c r="D860" s="15" t="s">
        <v>502</v>
      </c>
      <c r="E860" s="15" t="s">
        <v>35</v>
      </c>
      <c r="F860" s="16" t="s">
        <v>3078</v>
      </c>
      <c r="G860" s="6" t="s">
        <v>37</v>
      </c>
      <c r="H860" s="6" t="s">
        <v>3079</v>
      </c>
    </row>
    <row r="861" ht="12.75" customHeight="1">
      <c r="A861" s="6" t="s">
        <v>3080</v>
      </c>
      <c r="B861" s="6" t="s">
        <v>3077</v>
      </c>
      <c r="C861" s="6" t="s">
        <v>3081</v>
      </c>
      <c r="D861" s="15" t="s">
        <v>744</v>
      </c>
      <c r="E861" s="15" t="s">
        <v>35</v>
      </c>
      <c r="F861" s="16" t="s">
        <v>3082</v>
      </c>
      <c r="G861" s="6" t="s">
        <v>37</v>
      </c>
      <c r="H861" s="6" t="s">
        <v>3083</v>
      </c>
    </row>
    <row r="862" ht="12.75" customHeight="1">
      <c r="A862" s="6" t="s">
        <v>3084</v>
      </c>
      <c r="B862" s="6" t="s">
        <v>3077</v>
      </c>
      <c r="C862" s="6" t="s">
        <v>397</v>
      </c>
      <c r="D862" s="15" t="s">
        <v>65</v>
      </c>
      <c r="E862" s="15" t="s">
        <v>35</v>
      </c>
      <c r="F862" s="16" t="s">
        <v>3082</v>
      </c>
      <c r="G862" s="6" t="s">
        <v>37</v>
      </c>
      <c r="H862" s="6" t="s">
        <v>3085</v>
      </c>
    </row>
    <row r="863" ht="12.75" customHeight="1">
      <c r="A863" s="6" t="s">
        <v>3086</v>
      </c>
      <c r="B863" s="6" t="s">
        <v>3077</v>
      </c>
      <c r="C863" s="6" t="s">
        <v>2988</v>
      </c>
      <c r="D863" s="15" t="s">
        <v>35</v>
      </c>
      <c r="E863" s="15" t="s">
        <v>65</v>
      </c>
      <c r="F863" s="16" t="s">
        <v>3087</v>
      </c>
      <c r="G863" s="6" t="s">
        <v>37</v>
      </c>
      <c r="H863" s="6" t="s">
        <v>3088</v>
      </c>
    </row>
    <row r="864" ht="12.75" customHeight="1">
      <c r="A864" s="6" t="s">
        <v>3089</v>
      </c>
      <c r="B864" s="6" t="s">
        <v>3077</v>
      </c>
      <c r="C864" s="6" t="s">
        <v>3090</v>
      </c>
      <c r="D864" s="15" t="s">
        <v>35</v>
      </c>
      <c r="E864" s="15" t="s">
        <v>2043</v>
      </c>
      <c r="F864" s="16" t="s">
        <v>3091</v>
      </c>
      <c r="G864" s="6" t="s">
        <v>37</v>
      </c>
      <c r="H864" s="6" t="s">
        <v>3092</v>
      </c>
    </row>
    <row r="865" ht="12.75" customHeight="1">
      <c r="A865" s="6" t="s">
        <v>3093</v>
      </c>
      <c r="B865" s="6" t="s">
        <v>3077</v>
      </c>
      <c r="C865" s="6" t="s">
        <v>106</v>
      </c>
      <c r="D865" s="15" t="s">
        <v>685</v>
      </c>
      <c r="E865" s="15" t="s">
        <v>35</v>
      </c>
      <c r="F865" s="16" t="s">
        <v>3094</v>
      </c>
      <c r="G865" s="6" t="s">
        <v>37</v>
      </c>
      <c r="H865" s="6" t="s">
        <v>3095</v>
      </c>
    </row>
    <row r="866" ht="12.75" customHeight="1">
      <c r="A866" s="6" t="s">
        <v>3096</v>
      </c>
      <c r="B866" s="6" t="s">
        <v>3077</v>
      </c>
      <c r="C866" s="6" t="s">
        <v>45</v>
      </c>
      <c r="D866" s="15" t="s">
        <v>46</v>
      </c>
      <c r="E866" s="15" t="s">
        <v>35</v>
      </c>
      <c r="F866" s="16" t="s">
        <v>3097</v>
      </c>
      <c r="G866" s="6" t="s">
        <v>37</v>
      </c>
      <c r="H866" s="6" t="s">
        <v>3098</v>
      </c>
    </row>
    <row r="867" ht="12.75" customHeight="1">
      <c r="A867" s="6" t="s">
        <v>3099</v>
      </c>
      <c r="B867" s="6" t="s">
        <v>3100</v>
      </c>
      <c r="C867" s="6" t="s">
        <v>230</v>
      </c>
      <c r="D867" s="15" t="s">
        <v>97</v>
      </c>
      <c r="E867" s="15" t="s">
        <v>35</v>
      </c>
      <c r="F867" s="16" t="s">
        <v>3101</v>
      </c>
      <c r="G867" s="6" t="s">
        <v>37</v>
      </c>
      <c r="H867" s="6" t="s">
        <v>3102</v>
      </c>
    </row>
    <row r="868" ht="12.75" customHeight="1">
      <c r="A868" s="6" t="s">
        <v>3103</v>
      </c>
      <c r="B868" s="6" t="s">
        <v>3100</v>
      </c>
      <c r="C868" s="6" t="s">
        <v>33</v>
      </c>
      <c r="D868" s="15" t="s">
        <v>50</v>
      </c>
      <c r="E868" s="15" t="s">
        <v>35</v>
      </c>
      <c r="F868" s="16" t="s">
        <v>3104</v>
      </c>
      <c r="G868" s="6" t="s">
        <v>37</v>
      </c>
      <c r="H868" s="6" t="s">
        <v>3105</v>
      </c>
    </row>
    <row r="869" ht="12.75" customHeight="1">
      <c r="A869" s="6" t="s">
        <v>3106</v>
      </c>
      <c r="B869" s="6" t="s">
        <v>3100</v>
      </c>
      <c r="C869" s="6" t="s">
        <v>303</v>
      </c>
      <c r="D869" s="15" t="s">
        <v>55</v>
      </c>
      <c r="E869" s="15" t="s">
        <v>35</v>
      </c>
      <c r="F869" s="16" t="s">
        <v>3107</v>
      </c>
      <c r="G869" s="6" t="s">
        <v>37</v>
      </c>
      <c r="H869" s="6" t="s">
        <v>3108</v>
      </c>
    </row>
    <row r="870" ht="12.75" customHeight="1">
      <c r="A870" s="6" t="s">
        <v>3109</v>
      </c>
      <c r="B870" s="6" t="s">
        <v>3100</v>
      </c>
      <c r="C870" s="6" t="s">
        <v>434</v>
      </c>
      <c r="D870" s="15" t="s">
        <v>41</v>
      </c>
      <c r="E870" s="15" t="s">
        <v>35</v>
      </c>
      <c r="F870" s="16" t="s">
        <v>3110</v>
      </c>
      <c r="G870" s="6" t="s">
        <v>37</v>
      </c>
      <c r="H870" s="6" t="s">
        <v>3111</v>
      </c>
    </row>
    <row r="871" ht="12.75" customHeight="1">
      <c r="A871" s="6" t="s">
        <v>3112</v>
      </c>
      <c r="B871" s="6" t="s">
        <v>3100</v>
      </c>
      <c r="C871" s="6" t="s">
        <v>106</v>
      </c>
      <c r="D871" s="15" t="s">
        <v>685</v>
      </c>
      <c r="E871" s="15" t="s">
        <v>35</v>
      </c>
      <c r="F871" s="16" t="s">
        <v>3113</v>
      </c>
      <c r="G871" s="6" t="s">
        <v>37</v>
      </c>
      <c r="H871" s="6" t="s">
        <v>3114</v>
      </c>
    </row>
    <row r="872" ht="12.75" customHeight="1">
      <c r="A872" s="6" t="s">
        <v>3115</v>
      </c>
      <c r="B872" s="6" t="s">
        <v>3100</v>
      </c>
      <c r="C872" s="6" t="s">
        <v>106</v>
      </c>
      <c r="D872" s="15" t="s">
        <v>123</v>
      </c>
      <c r="E872" s="15" t="s">
        <v>35</v>
      </c>
      <c r="F872" s="16" t="s">
        <v>3116</v>
      </c>
      <c r="G872" s="6" t="s">
        <v>37</v>
      </c>
      <c r="H872" s="6" t="s">
        <v>3117</v>
      </c>
    </row>
    <row r="873" ht="12.75" customHeight="1">
      <c r="A873" s="6" t="s">
        <v>3118</v>
      </c>
      <c r="B873" s="6" t="s">
        <v>3100</v>
      </c>
      <c r="C873" s="6" t="s">
        <v>45</v>
      </c>
      <c r="D873" s="15" t="s">
        <v>502</v>
      </c>
      <c r="E873" s="15" t="s">
        <v>35</v>
      </c>
      <c r="F873" s="16" t="s">
        <v>3119</v>
      </c>
      <c r="G873" s="6" t="s">
        <v>37</v>
      </c>
      <c r="H873" s="6" t="s">
        <v>3120</v>
      </c>
    </row>
    <row r="874" ht="12.75" customHeight="1">
      <c r="A874" s="6" t="s">
        <v>3121</v>
      </c>
      <c r="B874" s="6" t="s">
        <v>3122</v>
      </c>
      <c r="C874" s="6" t="s">
        <v>106</v>
      </c>
      <c r="D874" s="15" t="s">
        <v>443</v>
      </c>
      <c r="E874" s="15" t="s">
        <v>35</v>
      </c>
      <c r="F874" s="16" t="s">
        <v>3123</v>
      </c>
      <c r="G874" s="6" t="s">
        <v>37</v>
      </c>
      <c r="H874" s="6" t="s">
        <v>3124</v>
      </c>
    </row>
    <row r="875" ht="12.75" customHeight="1">
      <c r="A875" s="6" t="s">
        <v>3125</v>
      </c>
      <c r="B875" s="6" t="s">
        <v>3122</v>
      </c>
      <c r="C875" s="6" t="s">
        <v>1263</v>
      </c>
      <c r="D875" s="15" t="s">
        <v>502</v>
      </c>
      <c r="E875" s="15" t="s">
        <v>35</v>
      </c>
      <c r="F875" s="16" t="s">
        <v>3126</v>
      </c>
      <c r="G875" s="6" t="s">
        <v>37</v>
      </c>
      <c r="H875" s="6" t="s">
        <v>3127</v>
      </c>
    </row>
    <row r="876" ht="12.75" customHeight="1">
      <c r="A876" s="6" t="s">
        <v>3128</v>
      </c>
      <c r="B876" s="6" t="s">
        <v>3122</v>
      </c>
      <c r="C876" s="6" t="s">
        <v>3129</v>
      </c>
      <c r="D876" s="15" t="s">
        <v>770</v>
      </c>
      <c r="E876" s="15" t="s">
        <v>35</v>
      </c>
      <c r="F876" s="16" t="s">
        <v>3126</v>
      </c>
      <c r="G876" s="6" t="s">
        <v>37</v>
      </c>
      <c r="H876" s="6" t="s">
        <v>3130</v>
      </c>
    </row>
    <row r="877" ht="12.75" customHeight="1">
      <c r="A877" s="6" t="s">
        <v>3131</v>
      </c>
      <c r="B877" s="6" t="s">
        <v>3122</v>
      </c>
      <c r="C877" s="6" t="s">
        <v>2988</v>
      </c>
      <c r="D877" s="15" t="s">
        <v>35</v>
      </c>
      <c r="E877" s="15" t="s">
        <v>770</v>
      </c>
      <c r="F877" s="16" t="s">
        <v>3132</v>
      </c>
      <c r="G877" s="6" t="s">
        <v>37</v>
      </c>
      <c r="H877" s="6" t="s">
        <v>3133</v>
      </c>
    </row>
    <row r="878" ht="12.75" customHeight="1">
      <c r="A878" s="6" t="s">
        <v>3134</v>
      </c>
      <c r="B878" s="6" t="s">
        <v>3122</v>
      </c>
      <c r="C878" s="6" t="s">
        <v>3135</v>
      </c>
      <c r="D878" s="15" t="s">
        <v>335</v>
      </c>
      <c r="E878" s="15" t="s">
        <v>35</v>
      </c>
      <c r="F878" s="16" t="s">
        <v>3136</v>
      </c>
      <c r="G878" s="6" t="s">
        <v>37</v>
      </c>
      <c r="H878" s="6" t="s">
        <v>3137</v>
      </c>
    </row>
    <row r="879" ht="12.75" customHeight="1">
      <c r="A879" s="6" t="s">
        <v>3138</v>
      </c>
      <c r="B879" s="6" t="s">
        <v>3122</v>
      </c>
      <c r="C879" s="6" t="s">
        <v>127</v>
      </c>
      <c r="D879" s="15" t="s">
        <v>35</v>
      </c>
      <c r="E879" s="15" t="s">
        <v>65</v>
      </c>
      <c r="F879" s="16" t="s">
        <v>3139</v>
      </c>
      <c r="G879" s="6" t="s">
        <v>37</v>
      </c>
      <c r="H879" s="6" t="s">
        <v>3140</v>
      </c>
    </row>
    <row r="880" ht="12.75" customHeight="1">
      <c r="A880" s="6" t="s">
        <v>3141</v>
      </c>
      <c r="B880" s="6" t="s">
        <v>3122</v>
      </c>
      <c r="C880" s="6" t="s">
        <v>45</v>
      </c>
      <c r="D880" s="15" t="s">
        <v>568</v>
      </c>
      <c r="E880" s="15" t="s">
        <v>35</v>
      </c>
      <c r="F880" s="16" t="s">
        <v>3142</v>
      </c>
      <c r="G880" s="6" t="s">
        <v>37</v>
      </c>
      <c r="H880" s="6" t="s">
        <v>3143</v>
      </c>
    </row>
    <row r="881" ht="12.75" customHeight="1">
      <c r="A881" s="6" t="s">
        <v>3144</v>
      </c>
      <c r="B881" s="6" t="s">
        <v>3122</v>
      </c>
      <c r="C881" s="6" t="s">
        <v>3145</v>
      </c>
      <c r="D881" s="15" t="s">
        <v>754</v>
      </c>
      <c r="E881" s="15" t="s">
        <v>35</v>
      </c>
      <c r="F881" s="16" t="s">
        <v>3146</v>
      </c>
      <c r="G881" s="6" t="s">
        <v>37</v>
      </c>
      <c r="H881" s="6" t="s">
        <v>3147</v>
      </c>
    </row>
    <row r="882" ht="12.75" customHeight="1">
      <c r="A882" s="6" t="s">
        <v>3148</v>
      </c>
      <c r="B882" s="6" t="s">
        <v>3122</v>
      </c>
      <c r="C882" s="6" t="s">
        <v>33</v>
      </c>
      <c r="D882" s="15" t="s">
        <v>50</v>
      </c>
      <c r="E882" s="15" t="s">
        <v>35</v>
      </c>
      <c r="F882" s="16" t="s">
        <v>3149</v>
      </c>
      <c r="G882" s="6" t="s">
        <v>37</v>
      </c>
      <c r="H882" s="6" t="s">
        <v>3150</v>
      </c>
    </row>
    <row r="883" ht="12.75" customHeight="1">
      <c r="A883" s="6" t="s">
        <v>3151</v>
      </c>
      <c r="B883" s="6" t="s">
        <v>3152</v>
      </c>
      <c r="C883" s="6" t="s">
        <v>33</v>
      </c>
      <c r="D883" s="15" t="s">
        <v>65</v>
      </c>
      <c r="E883" s="15" t="s">
        <v>35</v>
      </c>
      <c r="F883" s="16" t="s">
        <v>3149</v>
      </c>
      <c r="G883" s="6" t="s">
        <v>37</v>
      </c>
      <c r="H883" s="6" t="s">
        <v>3153</v>
      </c>
    </row>
    <row r="884" ht="12.75" customHeight="1">
      <c r="A884" s="6" t="s">
        <v>3154</v>
      </c>
      <c r="B884" s="6" t="s">
        <v>3152</v>
      </c>
      <c r="C884" s="6" t="s">
        <v>2988</v>
      </c>
      <c r="D884" s="15" t="s">
        <v>35</v>
      </c>
      <c r="E884" s="15" t="s">
        <v>65</v>
      </c>
      <c r="F884" s="16" t="s">
        <v>3155</v>
      </c>
      <c r="G884" s="6" t="s">
        <v>37</v>
      </c>
      <c r="H884" s="6" t="s">
        <v>3156</v>
      </c>
    </row>
    <row r="885" ht="12.75" customHeight="1">
      <c r="A885" s="6" t="s">
        <v>3157</v>
      </c>
      <c r="B885" s="6" t="s">
        <v>3152</v>
      </c>
      <c r="C885" s="6" t="s">
        <v>3158</v>
      </c>
      <c r="D885" s="15" t="s">
        <v>35</v>
      </c>
      <c r="E885" s="15" t="s">
        <v>3159</v>
      </c>
      <c r="F885" s="16" t="s">
        <v>3160</v>
      </c>
      <c r="G885" s="6" t="s">
        <v>37</v>
      </c>
      <c r="H885" s="6" t="s">
        <v>3161</v>
      </c>
    </row>
    <row r="886" ht="12.75" customHeight="1">
      <c r="A886" s="6" t="s">
        <v>3162</v>
      </c>
      <c r="B886" s="6" t="s">
        <v>3152</v>
      </c>
      <c r="C886" s="6" t="s">
        <v>221</v>
      </c>
      <c r="D886" s="15" t="s">
        <v>222</v>
      </c>
      <c r="E886" s="15" t="s">
        <v>35</v>
      </c>
      <c r="F886" s="16" t="s">
        <v>3163</v>
      </c>
      <c r="G886" s="6" t="s">
        <v>37</v>
      </c>
      <c r="H886" s="6" t="s">
        <v>3164</v>
      </c>
    </row>
    <row r="887" ht="12.75" customHeight="1">
      <c r="A887" s="6" t="s">
        <v>3165</v>
      </c>
      <c r="B887" s="6" t="s">
        <v>3152</v>
      </c>
      <c r="C887" s="6" t="s">
        <v>230</v>
      </c>
      <c r="D887" s="15" t="s">
        <v>855</v>
      </c>
      <c r="E887" s="15" t="s">
        <v>35</v>
      </c>
      <c r="F887" s="16" t="s">
        <v>3166</v>
      </c>
      <c r="G887" s="6" t="s">
        <v>37</v>
      </c>
      <c r="H887" s="6" t="s">
        <v>3167</v>
      </c>
    </row>
    <row r="888" ht="12.75" customHeight="1">
      <c r="A888" s="6" t="s">
        <v>3168</v>
      </c>
      <c r="B888" s="6" t="s">
        <v>3152</v>
      </c>
      <c r="C888" s="6" t="s">
        <v>45</v>
      </c>
      <c r="D888" s="15" t="s">
        <v>502</v>
      </c>
      <c r="E888" s="15" t="s">
        <v>35</v>
      </c>
      <c r="F888" s="16" t="s">
        <v>3169</v>
      </c>
      <c r="G888" s="6" t="s">
        <v>37</v>
      </c>
      <c r="H888" s="6" t="s">
        <v>3170</v>
      </c>
    </row>
    <row r="889" ht="12.75" customHeight="1">
      <c r="A889" s="6" t="s">
        <v>3171</v>
      </c>
      <c r="B889" s="6" t="s">
        <v>3152</v>
      </c>
      <c r="C889" s="6" t="s">
        <v>106</v>
      </c>
      <c r="D889" s="15" t="s">
        <v>443</v>
      </c>
      <c r="E889" s="15" t="s">
        <v>35</v>
      </c>
      <c r="F889" s="16" t="s">
        <v>3172</v>
      </c>
      <c r="G889" s="6" t="s">
        <v>37</v>
      </c>
      <c r="H889" s="6" t="s">
        <v>3173</v>
      </c>
    </row>
    <row r="890" ht="12.75" customHeight="1">
      <c r="A890" s="6" t="s">
        <v>3174</v>
      </c>
      <c r="B890" s="6" t="s">
        <v>3152</v>
      </c>
      <c r="C890" s="6" t="s">
        <v>230</v>
      </c>
      <c r="D890" s="15" t="s">
        <v>97</v>
      </c>
      <c r="E890" s="15" t="s">
        <v>35</v>
      </c>
      <c r="F890" s="16" t="s">
        <v>3175</v>
      </c>
      <c r="G890" s="6" t="s">
        <v>37</v>
      </c>
      <c r="H890" s="6" t="s">
        <v>3176</v>
      </c>
    </row>
    <row r="891" ht="12.75" customHeight="1">
      <c r="A891" s="6" t="s">
        <v>3177</v>
      </c>
      <c r="B891" s="6" t="s">
        <v>3152</v>
      </c>
      <c r="C891" s="6" t="s">
        <v>2585</v>
      </c>
      <c r="D891" s="15" t="s">
        <v>46</v>
      </c>
      <c r="E891" s="15" t="s">
        <v>35</v>
      </c>
      <c r="F891" s="16" t="s">
        <v>3178</v>
      </c>
      <c r="G891" s="6" t="s">
        <v>37</v>
      </c>
      <c r="H891" s="6" t="s">
        <v>3179</v>
      </c>
    </row>
    <row r="892" ht="12.75" customHeight="1">
      <c r="A892" s="6" t="s">
        <v>3180</v>
      </c>
      <c r="B892" s="6" t="s">
        <v>3152</v>
      </c>
      <c r="C892" s="6" t="s">
        <v>230</v>
      </c>
      <c r="D892" s="15" t="s">
        <v>50</v>
      </c>
      <c r="E892" s="15" t="s">
        <v>35</v>
      </c>
      <c r="F892" s="16" t="s">
        <v>3181</v>
      </c>
      <c r="G892" s="6" t="s">
        <v>37</v>
      </c>
      <c r="H892" s="6" t="s">
        <v>3182</v>
      </c>
    </row>
    <row r="893" ht="12.75" customHeight="1">
      <c r="A893" s="6" t="s">
        <v>3183</v>
      </c>
      <c r="B893" s="6" t="s">
        <v>3152</v>
      </c>
      <c r="C893" s="6" t="s">
        <v>45</v>
      </c>
      <c r="D893" s="15" t="s">
        <v>1434</v>
      </c>
      <c r="E893" s="15" t="s">
        <v>35</v>
      </c>
      <c r="F893" s="16" t="s">
        <v>3184</v>
      </c>
      <c r="G893" s="6" t="s">
        <v>37</v>
      </c>
      <c r="H893" s="6" t="s">
        <v>3185</v>
      </c>
    </row>
    <row r="894" ht="12.75" customHeight="1">
      <c r="A894" s="6" t="s">
        <v>3186</v>
      </c>
      <c r="B894" s="6" t="s">
        <v>3187</v>
      </c>
      <c r="C894" s="6" t="s">
        <v>3188</v>
      </c>
      <c r="D894" s="15" t="s">
        <v>770</v>
      </c>
      <c r="E894" s="15" t="s">
        <v>35</v>
      </c>
      <c r="F894" s="16" t="s">
        <v>3184</v>
      </c>
      <c r="G894" s="6" t="s">
        <v>37</v>
      </c>
      <c r="H894" s="6" t="s">
        <v>3189</v>
      </c>
    </row>
    <row r="895" ht="12.75" customHeight="1">
      <c r="A895" s="6" t="s">
        <v>3190</v>
      </c>
      <c r="B895" s="6" t="s">
        <v>3187</v>
      </c>
      <c r="C895" s="6" t="s">
        <v>2988</v>
      </c>
      <c r="D895" s="15" t="s">
        <v>35</v>
      </c>
      <c r="E895" s="15" t="s">
        <v>770</v>
      </c>
      <c r="F895" s="16" t="s">
        <v>3191</v>
      </c>
      <c r="G895" s="6" t="s">
        <v>37</v>
      </c>
      <c r="H895" s="6" t="s">
        <v>3192</v>
      </c>
    </row>
    <row r="896" ht="12.75" customHeight="1">
      <c r="A896" s="6" t="s">
        <v>3193</v>
      </c>
      <c r="B896" s="6" t="s">
        <v>3187</v>
      </c>
      <c r="C896" s="6" t="s">
        <v>397</v>
      </c>
      <c r="D896" s="15" t="s">
        <v>256</v>
      </c>
      <c r="E896" s="15" t="s">
        <v>35</v>
      </c>
      <c r="F896" s="16" t="s">
        <v>3184</v>
      </c>
      <c r="G896" s="6" t="s">
        <v>37</v>
      </c>
      <c r="H896" s="6" t="s">
        <v>3194</v>
      </c>
    </row>
    <row r="897" ht="12.75" customHeight="1">
      <c r="A897" s="6" t="s">
        <v>3195</v>
      </c>
      <c r="B897" s="6" t="s">
        <v>3187</v>
      </c>
      <c r="C897" s="6" t="s">
        <v>2988</v>
      </c>
      <c r="D897" s="15" t="s">
        <v>35</v>
      </c>
      <c r="E897" s="15" t="s">
        <v>256</v>
      </c>
      <c r="F897" s="16" t="s">
        <v>3196</v>
      </c>
      <c r="G897" s="6" t="s">
        <v>37</v>
      </c>
      <c r="H897" s="6" t="s">
        <v>3197</v>
      </c>
    </row>
    <row r="898" ht="12.75" customHeight="1">
      <c r="A898" s="6" t="s">
        <v>3198</v>
      </c>
      <c r="B898" s="6" t="s">
        <v>3187</v>
      </c>
      <c r="C898" s="6" t="s">
        <v>127</v>
      </c>
      <c r="D898" s="15" t="s">
        <v>35</v>
      </c>
      <c r="E898" s="15" t="s">
        <v>256</v>
      </c>
      <c r="F898" s="16" t="s">
        <v>3196</v>
      </c>
      <c r="G898" s="6" t="s">
        <v>37</v>
      </c>
      <c r="H898" s="6" t="s">
        <v>3199</v>
      </c>
    </row>
    <row r="899" ht="12.75" customHeight="1">
      <c r="A899" s="6" t="s">
        <v>3200</v>
      </c>
      <c r="B899" s="6" t="s">
        <v>3187</v>
      </c>
      <c r="C899" s="6" t="s">
        <v>221</v>
      </c>
      <c r="D899" s="15" t="s">
        <v>222</v>
      </c>
      <c r="E899" s="15" t="s">
        <v>35</v>
      </c>
      <c r="F899" s="16" t="s">
        <v>3201</v>
      </c>
      <c r="G899" s="6" t="s">
        <v>37</v>
      </c>
      <c r="H899" s="6" t="s">
        <v>3202</v>
      </c>
    </row>
    <row r="900" ht="12.75" customHeight="1">
      <c r="A900" s="6" t="s">
        <v>3203</v>
      </c>
      <c r="B900" s="6" t="s">
        <v>3187</v>
      </c>
      <c r="C900" s="6" t="s">
        <v>127</v>
      </c>
      <c r="D900" s="15" t="s">
        <v>35</v>
      </c>
      <c r="E900" s="15" t="s">
        <v>71</v>
      </c>
      <c r="F900" s="16" t="s">
        <v>3204</v>
      </c>
      <c r="G900" s="6" t="s">
        <v>37</v>
      </c>
      <c r="H900" s="6" t="s">
        <v>3205</v>
      </c>
    </row>
    <row r="901" ht="12.75" customHeight="1">
      <c r="A901" s="6" t="s">
        <v>3206</v>
      </c>
      <c r="B901" s="6" t="s">
        <v>3187</v>
      </c>
      <c r="C901" s="6" t="s">
        <v>397</v>
      </c>
      <c r="D901" s="15" t="s">
        <v>71</v>
      </c>
      <c r="E901" s="15" t="s">
        <v>35</v>
      </c>
      <c r="F901" s="16" t="s">
        <v>3201</v>
      </c>
      <c r="G901" s="6" t="s">
        <v>37</v>
      </c>
      <c r="H901" s="6" t="s">
        <v>3207</v>
      </c>
    </row>
    <row r="902" ht="12.75" customHeight="1">
      <c r="A902" s="6" t="s">
        <v>3208</v>
      </c>
      <c r="B902" s="6" t="s">
        <v>3209</v>
      </c>
      <c r="C902" s="6" t="s">
        <v>106</v>
      </c>
      <c r="D902" s="15" t="s">
        <v>443</v>
      </c>
      <c r="E902" s="15" t="s">
        <v>35</v>
      </c>
      <c r="F902" s="16" t="s">
        <v>3210</v>
      </c>
      <c r="G902" s="6" t="s">
        <v>37</v>
      </c>
      <c r="H902" s="6" t="s">
        <v>3211</v>
      </c>
    </row>
    <row r="903" ht="12.75" customHeight="1">
      <c r="A903" s="6" t="s">
        <v>3212</v>
      </c>
      <c r="B903" s="6" t="s">
        <v>3209</v>
      </c>
      <c r="C903" s="6" t="s">
        <v>3188</v>
      </c>
      <c r="D903" s="15" t="s">
        <v>770</v>
      </c>
      <c r="E903" s="15" t="s">
        <v>35</v>
      </c>
      <c r="F903" s="16" t="s">
        <v>3213</v>
      </c>
      <c r="G903" s="6" t="s">
        <v>37</v>
      </c>
      <c r="H903" s="6" t="s">
        <v>3214</v>
      </c>
    </row>
    <row r="904" ht="12.75" customHeight="1">
      <c r="A904" s="6" t="s">
        <v>3215</v>
      </c>
      <c r="B904" s="6" t="s">
        <v>3209</v>
      </c>
      <c r="C904" s="6" t="s">
        <v>3216</v>
      </c>
      <c r="D904" s="15" t="s">
        <v>515</v>
      </c>
      <c r="E904" s="15" t="s">
        <v>35</v>
      </c>
      <c r="F904" s="16" t="s">
        <v>3217</v>
      </c>
      <c r="G904" s="6" t="s">
        <v>37</v>
      </c>
      <c r="H904" s="6" t="s">
        <v>3218</v>
      </c>
    </row>
    <row r="905" ht="12.75" customHeight="1">
      <c r="A905" s="6" t="s">
        <v>3219</v>
      </c>
      <c r="B905" s="6" t="s">
        <v>3209</v>
      </c>
      <c r="C905" s="6" t="s">
        <v>3220</v>
      </c>
      <c r="D905" s="15" t="s">
        <v>101</v>
      </c>
      <c r="E905" s="15" t="s">
        <v>35</v>
      </c>
      <c r="F905" s="16" t="s">
        <v>3221</v>
      </c>
      <c r="G905" s="6" t="s">
        <v>37</v>
      </c>
      <c r="H905" s="6" t="s">
        <v>3222</v>
      </c>
    </row>
    <row r="906" ht="12.75" customHeight="1">
      <c r="A906" s="6" t="s">
        <v>3223</v>
      </c>
      <c r="B906" s="6" t="s">
        <v>3224</v>
      </c>
      <c r="C906" s="6" t="s">
        <v>33</v>
      </c>
      <c r="D906" s="15" t="s">
        <v>50</v>
      </c>
      <c r="E906" s="15" t="s">
        <v>35</v>
      </c>
      <c r="F906" s="16" t="s">
        <v>3225</v>
      </c>
      <c r="G906" s="6" t="s">
        <v>37</v>
      </c>
      <c r="H906" s="6" t="s">
        <v>3226</v>
      </c>
    </row>
    <row r="907" ht="12.75" customHeight="1">
      <c r="A907" s="6" t="s">
        <v>3227</v>
      </c>
      <c r="B907" s="6" t="s">
        <v>3224</v>
      </c>
      <c r="C907" s="6" t="s">
        <v>106</v>
      </c>
      <c r="D907" s="15" t="s">
        <v>34</v>
      </c>
      <c r="E907" s="15" t="s">
        <v>35</v>
      </c>
      <c r="F907" s="16" t="s">
        <v>3228</v>
      </c>
      <c r="G907" s="6" t="s">
        <v>37</v>
      </c>
      <c r="H907" s="6" t="s">
        <v>3229</v>
      </c>
    </row>
    <row r="908" ht="12.75" customHeight="1">
      <c r="A908" s="6" t="s">
        <v>3230</v>
      </c>
      <c r="B908" s="6" t="s">
        <v>3224</v>
      </c>
      <c r="C908" s="6" t="s">
        <v>45</v>
      </c>
      <c r="D908" s="15" t="s">
        <v>568</v>
      </c>
      <c r="E908" s="15" t="s">
        <v>35</v>
      </c>
      <c r="F908" s="16" t="s">
        <v>3231</v>
      </c>
      <c r="G908" s="6" t="s">
        <v>37</v>
      </c>
      <c r="H908" s="6" t="s">
        <v>3232</v>
      </c>
    </row>
    <row r="909" ht="12.75" customHeight="1">
      <c r="A909" s="6" t="s">
        <v>3233</v>
      </c>
      <c r="B909" s="6" t="s">
        <v>3224</v>
      </c>
      <c r="C909" s="6" t="s">
        <v>168</v>
      </c>
      <c r="D909" s="15" t="s">
        <v>35</v>
      </c>
      <c r="E909" s="15" t="s">
        <v>97</v>
      </c>
      <c r="F909" s="16" t="s">
        <v>3234</v>
      </c>
      <c r="G909" s="6" t="s">
        <v>37</v>
      </c>
      <c r="H909" s="6" t="s">
        <v>3235</v>
      </c>
    </row>
    <row r="910" ht="12.75" customHeight="1">
      <c r="A910" s="6" t="s">
        <v>3236</v>
      </c>
      <c r="B910" s="6" t="s">
        <v>3224</v>
      </c>
      <c r="C910" s="6" t="s">
        <v>426</v>
      </c>
      <c r="D910" s="15" t="s">
        <v>3237</v>
      </c>
      <c r="E910" s="15" t="s">
        <v>35</v>
      </c>
      <c r="F910" s="16" t="s">
        <v>3238</v>
      </c>
      <c r="G910" s="6" t="s">
        <v>37</v>
      </c>
      <c r="H910" s="6" t="s">
        <v>3239</v>
      </c>
    </row>
    <row r="911" ht="12.75" customHeight="1">
      <c r="A911" s="6" t="s">
        <v>3240</v>
      </c>
      <c r="B911" s="6" t="s">
        <v>3224</v>
      </c>
      <c r="C911" s="6" t="s">
        <v>230</v>
      </c>
      <c r="D911" s="15" t="s">
        <v>1720</v>
      </c>
      <c r="E911" s="15" t="s">
        <v>35</v>
      </c>
      <c r="F911" s="16" t="s">
        <v>3241</v>
      </c>
      <c r="G911" s="6" t="s">
        <v>37</v>
      </c>
      <c r="H911" s="6" t="s">
        <v>3242</v>
      </c>
    </row>
    <row r="912" ht="12.75" customHeight="1">
      <c r="A912" s="6" t="s">
        <v>3243</v>
      </c>
      <c r="B912" s="6" t="s">
        <v>3224</v>
      </c>
      <c r="C912" s="6" t="s">
        <v>426</v>
      </c>
      <c r="D912" s="15" t="s">
        <v>107</v>
      </c>
      <c r="E912" s="15" t="s">
        <v>35</v>
      </c>
      <c r="F912" s="16" t="s">
        <v>3244</v>
      </c>
      <c r="G912" s="6" t="s">
        <v>37</v>
      </c>
      <c r="H912" s="6" t="s">
        <v>3245</v>
      </c>
    </row>
    <row r="913" ht="12.75" customHeight="1">
      <c r="A913" s="6" t="s">
        <v>3246</v>
      </c>
      <c r="B913" s="6" t="s">
        <v>3224</v>
      </c>
      <c r="C913" s="6" t="s">
        <v>3247</v>
      </c>
      <c r="D913" s="15" t="s">
        <v>35</v>
      </c>
      <c r="E913" s="15" t="s">
        <v>256</v>
      </c>
      <c r="F913" s="16" t="s">
        <v>3248</v>
      </c>
      <c r="G913" s="6" t="s">
        <v>37</v>
      </c>
      <c r="H913" s="6" t="s">
        <v>3249</v>
      </c>
    </row>
    <row r="914" ht="12.75" customHeight="1">
      <c r="A914" s="6" t="s">
        <v>3250</v>
      </c>
      <c r="B914" s="6" t="s">
        <v>3224</v>
      </c>
      <c r="C914" s="6" t="s">
        <v>221</v>
      </c>
      <c r="D914" s="15" t="s">
        <v>222</v>
      </c>
      <c r="E914" s="15" t="s">
        <v>35</v>
      </c>
      <c r="F914" s="16" t="s">
        <v>3251</v>
      </c>
      <c r="G914" s="6" t="s">
        <v>37</v>
      </c>
      <c r="H914" s="6" t="s">
        <v>3252</v>
      </c>
    </row>
    <row r="915" ht="12.75" customHeight="1">
      <c r="A915" s="6" t="s">
        <v>3253</v>
      </c>
      <c r="B915" s="6" t="s">
        <v>3224</v>
      </c>
      <c r="C915" s="6" t="s">
        <v>426</v>
      </c>
      <c r="D915" s="15" t="s">
        <v>3254</v>
      </c>
      <c r="E915" s="15" t="s">
        <v>35</v>
      </c>
      <c r="F915" s="16" t="s">
        <v>3255</v>
      </c>
      <c r="G915" s="6" t="s">
        <v>37</v>
      </c>
      <c r="H915" s="6" t="s">
        <v>3256</v>
      </c>
    </row>
    <row r="916" ht="12.75" customHeight="1">
      <c r="A916" s="6" t="s">
        <v>3257</v>
      </c>
      <c r="B916" s="6" t="s">
        <v>3224</v>
      </c>
      <c r="C916" s="6" t="s">
        <v>426</v>
      </c>
      <c r="D916" s="15" t="s">
        <v>3258</v>
      </c>
      <c r="E916" s="15" t="s">
        <v>35</v>
      </c>
      <c r="F916" s="16" t="s">
        <v>3259</v>
      </c>
      <c r="G916" s="6" t="s">
        <v>37</v>
      </c>
      <c r="H916" s="6" t="s">
        <v>3260</v>
      </c>
    </row>
    <row r="917" ht="12.75" customHeight="1">
      <c r="A917" s="6" t="s">
        <v>3261</v>
      </c>
      <c r="B917" s="6" t="s">
        <v>3224</v>
      </c>
      <c r="C917" s="6" t="s">
        <v>426</v>
      </c>
      <c r="D917" s="15" t="s">
        <v>770</v>
      </c>
      <c r="E917" s="15" t="s">
        <v>35</v>
      </c>
      <c r="F917" s="16" t="s">
        <v>3262</v>
      </c>
      <c r="G917" s="6" t="s">
        <v>37</v>
      </c>
      <c r="H917" s="6" t="s">
        <v>3263</v>
      </c>
    </row>
    <row r="918" ht="12.75" customHeight="1">
      <c r="A918" s="6" t="s">
        <v>3264</v>
      </c>
      <c r="B918" s="6" t="s">
        <v>3224</v>
      </c>
      <c r="C918" s="6" t="s">
        <v>2988</v>
      </c>
      <c r="D918" s="15" t="s">
        <v>35</v>
      </c>
      <c r="E918" s="15" t="s">
        <v>3265</v>
      </c>
      <c r="F918" s="16" t="s">
        <v>770</v>
      </c>
      <c r="G918" s="6" t="s">
        <v>37</v>
      </c>
      <c r="H918" s="6" t="s">
        <v>3266</v>
      </c>
    </row>
    <row r="919" ht="12.75" customHeight="1">
      <c r="A919" s="6" t="s">
        <v>3267</v>
      </c>
      <c r="B919" s="6" t="s">
        <v>3224</v>
      </c>
      <c r="C919" s="6" t="s">
        <v>3220</v>
      </c>
      <c r="D919" s="15" t="s">
        <v>946</v>
      </c>
      <c r="E919" s="15" t="s">
        <v>35</v>
      </c>
      <c r="F919" s="16" t="s">
        <v>3262</v>
      </c>
      <c r="G919" s="6" t="s">
        <v>37</v>
      </c>
      <c r="H919" s="6" t="s">
        <v>3268</v>
      </c>
    </row>
    <row r="920" ht="12.75" customHeight="1">
      <c r="A920" s="6" t="s">
        <v>3269</v>
      </c>
      <c r="B920" s="6" t="s">
        <v>3224</v>
      </c>
      <c r="C920" s="6" t="s">
        <v>2988</v>
      </c>
      <c r="D920" s="15" t="s">
        <v>35</v>
      </c>
      <c r="E920" s="15" t="s">
        <v>946</v>
      </c>
      <c r="F920" s="16" t="s">
        <v>946</v>
      </c>
      <c r="G920" s="6" t="s">
        <v>37</v>
      </c>
      <c r="H920" s="6" t="s">
        <v>3270</v>
      </c>
    </row>
    <row r="921" ht="12.75" customHeight="1">
      <c r="A921" s="6" t="s">
        <v>3271</v>
      </c>
      <c r="B921" s="6" t="s">
        <v>3224</v>
      </c>
      <c r="C921" s="6" t="s">
        <v>3272</v>
      </c>
      <c r="D921" s="15" t="s">
        <v>515</v>
      </c>
      <c r="E921" s="15" t="s">
        <v>35</v>
      </c>
      <c r="F921" s="16" t="s">
        <v>3262</v>
      </c>
      <c r="G921" s="6" t="s">
        <v>37</v>
      </c>
      <c r="H921" s="6" t="s">
        <v>3273</v>
      </c>
    </row>
    <row r="922" ht="12.75" customHeight="1">
      <c r="A922" s="6" t="s">
        <v>3274</v>
      </c>
      <c r="B922" s="6" t="s">
        <v>3224</v>
      </c>
      <c r="C922" s="6" t="s">
        <v>2988</v>
      </c>
      <c r="D922" s="15" t="s">
        <v>35</v>
      </c>
      <c r="E922" s="15" t="s">
        <v>515</v>
      </c>
      <c r="F922" s="16" t="s">
        <v>515</v>
      </c>
      <c r="G922" s="6" t="s">
        <v>37</v>
      </c>
      <c r="H922" s="6" t="s">
        <v>3275</v>
      </c>
    </row>
    <row r="923" ht="12.75" customHeight="1">
      <c r="A923" s="6" t="s">
        <v>3276</v>
      </c>
      <c r="B923" s="6" t="s">
        <v>3224</v>
      </c>
      <c r="C923" s="6" t="s">
        <v>3277</v>
      </c>
      <c r="D923" s="15" t="s">
        <v>71</v>
      </c>
      <c r="E923" s="15" t="s">
        <v>35</v>
      </c>
      <c r="F923" s="16" t="s">
        <v>3262</v>
      </c>
      <c r="G923" s="6" t="s">
        <v>37</v>
      </c>
      <c r="H923" s="6" t="s">
        <v>3278</v>
      </c>
    </row>
    <row r="924" ht="12.75" customHeight="1">
      <c r="A924" s="6" t="s">
        <v>3279</v>
      </c>
      <c r="B924" s="6" t="s">
        <v>3224</v>
      </c>
      <c r="C924" s="6" t="s">
        <v>2988</v>
      </c>
      <c r="D924" s="15" t="s">
        <v>35</v>
      </c>
      <c r="E924" s="15" t="s">
        <v>71</v>
      </c>
      <c r="F924" s="16" t="s">
        <v>71</v>
      </c>
      <c r="G924" s="6" t="s">
        <v>37</v>
      </c>
      <c r="H924" s="6" t="s">
        <v>3280</v>
      </c>
    </row>
    <row r="925" ht="12.75" customHeight="1">
      <c r="A925" s="6" t="s">
        <v>3281</v>
      </c>
      <c r="B925" s="6" t="s">
        <v>3224</v>
      </c>
      <c r="C925" s="6" t="s">
        <v>33</v>
      </c>
      <c r="D925" s="15" t="s">
        <v>50</v>
      </c>
      <c r="E925" s="15" t="s">
        <v>35</v>
      </c>
      <c r="F925" s="16" t="s">
        <v>3262</v>
      </c>
      <c r="G925" s="6" t="s">
        <v>37</v>
      </c>
      <c r="H925" s="6" t="s">
        <v>3282</v>
      </c>
    </row>
    <row r="926" ht="12.75" customHeight="1">
      <c r="A926" s="6" t="s">
        <v>3283</v>
      </c>
      <c r="B926" s="6" t="s">
        <v>3224</v>
      </c>
      <c r="C926" s="6" t="s">
        <v>2988</v>
      </c>
      <c r="D926" s="15" t="s">
        <v>35</v>
      </c>
      <c r="E926" s="15" t="s">
        <v>50</v>
      </c>
      <c r="F926" s="16" t="s">
        <v>50</v>
      </c>
      <c r="G926" s="6" t="s">
        <v>37</v>
      </c>
      <c r="H926" s="6" t="s">
        <v>3284</v>
      </c>
    </row>
    <row r="927" ht="12.75" customHeight="1">
      <c r="A927" s="6" t="s">
        <v>3285</v>
      </c>
      <c r="B927" s="6" t="s">
        <v>3286</v>
      </c>
      <c r="C927" s="6" t="s">
        <v>3287</v>
      </c>
      <c r="D927" s="15" t="s">
        <v>35</v>
      </c>
      <c r="E927" s="15" t="s">
        <v>2043</v>
      </c>
      <c r="F927" s="16" t="s">
        <v>2043</v>
      </c>
      <c r="G927" s="6" t="s">
        <v>37</v>
      </c>
      <c r="H927" s="6" t="s">
        <v>3288</v>
      </c>
    </row>
    <row r="928" ht="12.75" customHeight="1">
      <c r="A928" s="6" t="s">
        <v>3289</v>
      </c>
      <c r="B928" s="6" t="s">
        <v>3286</v>
      </c>
      <c r="C928" s="6" t="s">
        <v>3290</v>
      </c>
      <c r="D928" s="15" t="s">
        <v>1097</v>
      </c>
      <c r="E928" s="15" t="s">
        <v>35</v>
      </c>
      <c r="F928" s="16" t="s">
        <v>661</v>
      </c>
      <c r="G928" s="6" t="s">
        <v>37</v>
      </c>
      <c r="H928" s="6" t="s">
        <v>3291</v>
      </c>
    </row>
    <row r="929" ht="12.75" customHeight="1">
      <c r="A929" s="6" t="s">
        <v>3292</v>
      </c>
      <c r="B929" s="6" t="s">
        <v>3286</v>
      </c>
      <c r="C929" s="6" t="s">
        <v>3220</v>
      </c>
      <c r="D929" s="15" t="s">
        <v>1097</v>
      </c>
      <c r="E929" s="15" t="s">
        <v>35</v>
      </c>
      <c r="F929" s="16" t="s">
        <v>719</v>
      </c>
      <c r="G929" s="6" t="s">
        <v>37</v>
      </c>
      <c r="H929" s="6" t="s">
        <v>3293</v>
      </c>
    </row>
    <row r="930" ht="12.75" customHeight="1">
      <c r="A930" s="6" t="s">
        <v>3294</v>
      </c>
      <c r="B930" s="6" t="s">
        <v>3286</v>
      </c>
      <c r="C930" s="6" t="s">
        <v>3295</v>
      </c>
      <c r="D930" s="15" t="s">
        <v>71</v>
      </c>
      <c r="E930" s="15" t="s">
        <v>35</v>
      </c>
      <c r="F930" s="16" t="s">
        <v>443</v>
      </c>
      <c r="G930" s="6" t="s">
        <v>37</v>
      </c>
      <c r="H930" s="6" t="s">
        <v>3296</v>
      </c>
    </row>
    <row r="931" ht="12.75" customHeight="1">
      <c r="A931" s="6" t="s">
        <v>3297</v>
      </c>
      <c r="B931" s="6" t="s">
        <v>3298</v>
      </c>
      <c r="C931" s="6" t="s">
        <v>3290</v>
      </c>
      <c r="D931" s="15" t="s">
        <v>189</v>
      </c>
      <c r="E931" s="15" t="s">
        <v>35</v>
      </c>
      <c r="F931" s="16" t="s">
        <v>3262</v>
      </c>
      <c r="G931" s="6" t="s">
        <v>37</v>
      </c>
      <c r="H931" s="6" t="s">
        <v>3299</v>
      </c>
    </row>
    <row r="932" ht="12.75" customHeight="1">
      <c r="A932" s="6" t="s">
        <v>3300</v>
      </c>
      <c r="B932" s="6" t="s">
        <v>3298</v>
      </c>
      <c r="C932" s="6" t="s">
        <v>2988</v>
      </c>
      <c r="D932" s="15" t="s">
        <v>35</v>
      </c>
      <c r="E932" s="15" t="s">
        <v>953</v>
      </c>
      <c r="F932" s="16" t="s">
        <v>189</v>
      </c>
      <c r="G932" s="6" t="s">
        <v>37</v>
      </c>
      <c r="H932" s="6" t="s">
        <v>3301</v>
      </c>
    </row>
    <row r="933" ht="12.75" customHeight="1">
      <c r="A933" s="6" t="s">
        <v>3302</v>
      </c>
      <c r="B933" s="6" t="s">
        <v>3298</v>
      </c>
      <c r="C933" s="6" t="s">
        <v>3303</v>
      </c>
      <c r="D933" s="15" t="s">
        <v>35</v>
      </c>
      <c r="E933" s="15" t="s">
        <v>256</v>
      </c>
      <c r="F933" s="16" t="s">
        <v>256</v>
      </c>
      <c r="G933" s="6" t="s">
        <v>37</v>
      </c>
      <c r="H933" s="6" t="s">
        <v>3304</v>
      </c>
    </row>
    <row r="934" ht="12.75" customHeight="1">
      <c r="A934" s="6" t="s">
        <v>3305</v>
      </c>
      <c r="B934" s="6" t="s">
        <v>3298</v>
      </c>
      <c r="C934" s="6" t="s">
        <v>221</v>
      </c>
      <c r="D934" s="15" t="s">
        <v>222</v>
      </c>
      <c r="E934" s="15" t="s">
        <v>35</v>
      </c>
      <c r="F934" s="16" t="s">
        <v>3306</v>
      </c>
      <c r="G934" s="6" t="s">
        <v>37</v>
      </c>
      <c r="H934" s="6" t="s">
        <v>3307</v>
      </c>
    </row>
    <row r="935" ht="12.75" customHeight="1">
      <c r="A935" s="6" t="s">
        <v>3308</v>
      </c>
      <c r="B935" s="6" t="s">
        <v>3298</v>
      </c>
      <c r="C935" s="6" t="s">
        <v>2936</v>
      </c>
      <c r="D935" s="15" t="s">
        <v>183</v>
      </c>
      <c r="E935" s="15" t="s">
        <v>35</v>
      </c>
      <c r="F935" s="16" t="s">
        <v>3309</v>
      </c>
      <c r="G935" s="6" t="s">
        <v>37</v>
      </c>
      <c r="H935" s="6" t="s">
        <v>3310</v>
      </c>
    </row>
    <row r="936" ht="12.75" customHeight="1">
      <c r="A936" s="6" t="s">
        <v>3311</v>
      </c>
      <c r="B936" s="6" t="s">
        <v>3298</v>
      </c>
      <c r="C936" s="6" t="s">
        <v>3312</v>
      </c>
      <c r="D936" s="15" t="s">
        <v>46</v>
      </c>
      <c r="E936" s="15" t="s">
        <v>35</v>
      </c>
      <c r="F936" s="16" t="s">
        <v>3313</v>
      </c>
      <c r="G936" s="6" t="s">
        <v>37</v>
      </c>
      <c r="H936" s="6" t="s">
        <v>3314</v>
      </c>
    </row>
    <row r="937" ht="12.75" customHeight="1">
      <c r="A937" s="6" t="s">
        <v>3315</v>
      </c>
      <c r="B937" s="6" t="s">
        <v>3298</v>
      </c>
      <c r="C937" s="6" t="s">
        <v>3312</v>
      </c>
      <c r="D937" s="15" t="s">
        <v>443</v>
      </c>
      <c r="E937" s="15" t="s">
        <v>35</v>
      </c>
      <c r="F937" s="16" t="s">
        <v>3316</v>
      </c>
      <c r="G937" s="6" t="s">
        <v>37</v>
      </c>
      <c r="H937" s="6" t="s">
        <v>3317</v>
      </c>
    </row>
    <row r="938" ht="12.75" customHeight="1">
      <c r="A938" s="6" t="s">
        <v>3318</v>
      </c>
      <c r="B938" s="6" t="s">
        <v>3298</v>
      </c>
      <c r="C938" s="6" t="s">
        <v>3319</v>
      </c>
      <c r="D938" s="15" t="s">
        <v>189</v>
      </c>
      <c r="E938" s="15" t="s">
        <v>35</v>
      </c>
      <c r="F938" s="16" t="s">
        <v>3320</v>
      </c>
      <c r="G938" s="6" t="s">
        <v>37</v>
      </c>
      <c r="H938" s="6" t="s">
        <v>3321</v>
      </c>
    </row>
    <row r="939" ht="12.75" customHeight="1">
      <c r="A939" s="6" t="s">
        <v>3322</v>
      </c>
      <c r="B939" s="6" t="s">
        <v>3298</v>
      </c>
      <c r="C939" s="6" t="s">
        <v>3323</v>
      </c>
      <c r="D939" s="15" t="s">
        <v>515</v>
      </c>
      <c r="E939" s="15" t="s">
        <v>35</v>
      </c>
      <c r="F939" s="16" t="s">
        <v>3324</v>
      </c>
      <c r="G939" s="6" t="s">
        <v>37</v>
      </c>
      <c r="H939" s="6" t="s">
        <v>3325</v>
      </c>
    </row>
    <row r="940" ht="12.75" customHeight="1">
      <c r="A940" s="6" t="s">
        <v>3326</v>
      </c>
      <c r="B940" s="6" t="s">
        <v>3327</v>
      </c>
      <c r="C940" s="6" t="s">
        <v>3328</v>
      </c>
      <c r="D940" s="15" t="s">
        <v>35</v>
      </c>
      <c r="E940" s="15" t="s">
        <v>3329</v>
      </c>
      <c r="F940" s="16" t="s">
        <v>3330</v>
      </c>
      <c r="G940" s="6" t="s">
        <v>37</v>
      </c>
      <c r="H940" s="6" t="s">
        <v>3331</v>
      </c>
    </row>
    <row r="941" ht="12.75" customHeight="1">
      <c r="A941" s="6" t="s">
        <v>3332</v>
      </c>
      <c r="B941" s="6" t="s">
        <v>3327</v>
      </c>
      <c r="C941" s="6" t="s">
        <v>33</v>
      </c>
      <c r="D941" s="15" t="s">
        <v>1920</v>
      </c>
      <c r="E941" s="15" t="s">
        <v>35</v>
      </c>
      <c r="F941" s="16" t="s">
        <v>3333</v>
      </c>
      <c r="G941" s="6" t="s">
        <v>37</v>
      </c>
      <c r="H941" s="6" t="s">
        <v>3334</v>
      </c>
    </row>
    <row r="942" ht="12.75" customHeight="1">
      <c r="A942" s="6" t="s">
        <v>3335</v>
      </c>
      <c r="B942" s="6" t="s">
        <v>3327</v>
      </c>
      <c r="C942" s="6" t="s">
        <v>3290</v>
      </c>
      <c r="D942" s="15" t="s">
        <v>189</v>
      </c>
      <c r="E942" s="15" t="s">
        <v>35</v>
      </c>
      <c r="F942" s="16" t="s">
        <v>3336</v>
      </c>
      <c r="G942" s="6" t="s">
        <v>37</v>
      </c>
      <c r="H942" s="6" t="s">
        <v>3337</v>
      </c>
    </row>
    <row r="943" ht="12.75" customHeight="1">
      <c r="A943" s="6" t="s">
        <v>3338</v>
      </c>
      <c r="B943" s="6" t="s">
        <v>3327</v>
      </c>
      <c r="C943" s="6" t="s">
        <v>3339</v>
      </c>
      <c r="D943" s="15" t="s">
        <v>744</v>
      </c>
      <c r="E943" s="15" t="s">
        <v>35</v>
      </c>
      <c r="F943" s="16" t="s">
        <v>3340</v>
      </c>
      <c r="G943" s="6" t="s">
        <v>37</v>
      </c>
      <c r="H943" s="6" t="s">
        <v>3341</v>
      </c>
    </row>
    <row r="944" ht="12.75" customHeight="1">
      <c r="A944" s="6" t="s">
        <v>3342</v>
      </c>
      <c r="B944" s="6" t="s">
        <v>3327</v>
      </c>
      <c r="C944" s="6" t="s">
        <v>3343</v>
      </c>
      <c r="D944" s="15" t="s">
        <v>515</v>
      </c>
      <c r="E944" s="15" t="s">
        <v>35</v>
      </c>
      <c r="F944" s="16" t="s">
        <v>3344</v>
      </c>
      <c r="G944" s="6" t="s">
        <v>37</v>
      </c>
      <c r="H944" s="6" t="s">
        <v>3345</v>
      </c>
    </row>
    <row r="945" ht="12.75" customHeight="1">
      <c r="A945" s="6" t="s">
        <v>3346</v>
      </c>
      <c r="B945" s="6" t="s">
        <v>3327</v>
      </c>
      <c r="C945" s="6" t="s">
        <v>3347</v>
      </c>
      <c r="D945" s="15" t="s">
        <v>1264</v>
      </c>
      <c r="E945" s="15" t="s">
        <v>35</v>
      </c>
      <c r="F945" s="16" t="s">
        <v>3348</v>
      </c>
      <c r="G945" s="6" t="s">
        <v>37</v>
      </c>
      <c r="H945" s="6" t="s">
        <v>3349</v>
      </c>
    </row>
    <row r="946" ht="12.75" customHeight="1">
      <c r="A946" s="6" t="s">
        <v>3350</v>
      </c>
      <c r="B946" s="6" t="s">
        <v>3351</v>
      </c>
      <c r="C946" s="6" t="s">
        <v>3352</v>
      </c>
      <c r="D946" s="15" t="s">
        <v>35</v>
      </c>
      <c r="E946" s="15" t="s">
        <v>71</v>
      </c>
      <c r="F946" s="16" t="s">
        <v>3353</v>
      </c>
      <c r="G946" s="6" t="s">
        <v>37</v>
      </c>
      <c r="H946" s="6" t="s">
        <v>3354</v>
      </c>
    </row>
    <row r="947" ht="12.75" customHeight="1">
      <c r="A947" s="6" t="s">
        <v>3355</v>
      </c>
      <c r="B947" s="6" t="s">
        <v>3351</v>
      </c>
      <c r="C947" s="6" t="s">
        <v>3356</v>
      </c>
      <c r="D947" s="15" t="s">
        <v>35</v>
      </c>
      <c r="E947" s="15" t="s">
        <v>3357</v>
      </c>
      <c r="F947" s="16" t="s">
        <v>3358</v>
      </c>
      <c r="G947" s="6" t="s">
        <v>37</v>
      </c>
      <c r="H947" s="6" t="s">
        <v>3359</v>
      </c>
    </row>
    <row r="948" ht="12.75" customHeight="1">
      <c r="A948" s="6" t="s">
        <v>3360</v>
      </c>
      <c r="B948" s="6" t="s">
        <v>3351</v>
      </c>
      <c r="C948" s="6" t="s">
        <v>230</v>
      </c>
      <c r="D948" s="15" t="s">
        <v>623</v>
      </c>
      <c r="E948" s="15" t="s">
        <v>35</v>
      </c>
      <c r="F948" s="16" t="s">
        <v>3361</v>
      </c>
      <c r="G948" s="6" t="s">
        <v>37</v>
      </c>
      <c r="H948" s="6" t="s">
        <v>3362</v>
      </c>
    </row>
    <row r="949" ht="12.75" customHeight="1">
      <c r="A949" s="6" t="s">
        <v>3363</v>
      </c>
      <c r="B949" s="6" t="s">
        <v>3351</v>
      </c>
      <c r="C949" s="6" t="s">
        <v>33</v>
      </c>
      <c r="D949" s="15" t="s">
        <v>50</v>
      </c>
      <c r="E949" s="15" t="s">
        <v>35</v>
      </c>
      <c r="F949" s="16" t="s">
        <v>3364</v>
      </c>
      <c r="G949" s="6" t="s">
        <v>37</v>
      </c>
      <c r="H949" s="6" t="s">
        <v>3365</v>
      </c>
    </row>
    <row r="950" ht="12.75" customHeight="1">
      <c r="A950" s="6" t="s">
        <v>3366</v>
      </c>
      <c r="B950" s="6" t="s">
        <v>3351</v>
      </c>
      <c r="C950" s="6" t="s">
        <v>3277</v>
      </c>
      <c r="D950" s="15" t="s">
        <v>443</v>
      </c>
      <c r="E950" s="15" t="s">
        <v>35</v>
      </c>
      <c r="F950" s="16" t="s">
        <v>3367</v>
      </c>
      <c r="G950" s="6" t="s">
        <v>37</v>
      </c>
      <c r="H950" s="6" t="s">
        <v>3368</v>
      </c>
    </row>
    <row r="951" ht="12.75" customHeight="1">
      <c r="A951" s="6" t="s">
        <v>3369</v>
      </c>
      <c r="B951" s="6" t="s">
        <v>3351</v>
      </c>
      <c r="C951" s="6" t="s">
        <v>3370</v>
      </c>
      <c r="D951" s="15" t="s">
        <v>1920</v>
      </c>
      <c r="E951" s="15" t="s">
        <v>35</v>
      </c>
      <c r="F951" s="16" t="s">
        <v>3371</v>
      </c>
      <c r="G951" s="6" t="s">
        <v>37</v>
      </c>
      <c r="H951" s="6" t="s">
        <v>3372</v>
      </c>
    </row>
    <row r="952" ht="12.75" customHeight="1">
      <c r="A952" s="6" t="s">
        <v>3373</v>
      </c>
      <c r="B952" s="6" t="s">
        <v>3351</v>
      </c>
      <c r="C952" s="6" t="s">
        <v>3374</v>
      </c>
      <c r="D952" s="15" t="s">
        <v>35</v>
      </c>
      <c r="E952" s="15" t="s">
        <v>623</v>
      </c>
      <c r="F952" s="16" t="s">
        <v>3375</v>
      </c>
      <c r="G952" s="6" t="s">
        <v>37</v>
      </c>
      <c r="H952" s="6" t="s">
        <v>3376</v>
      </c>
    </row>
    <row r="953" ht="12.75" customHeight="1">
      <c r="A953" s="6" t="s">
        <v>3377</v>
      </c>
      <c r="B953" s="6" t="s">
        <v>3351</v>
      </c>
      <c r="C953" s="6" t="s">
        <v>221</v>
      </c>
      <c r="D953" s="15" t="s">
        <v>222</v>
      </c>
      <c r="E953" s="15" t="s">
        <v>35</v>
      </c>
      <c r="F953" s="16" t="s">
        <v>3378</v>
      </c>
      <c r="G953" s="6" t="s">
        <v>37</v>
      </c>
      <c r="H953" s="6" t="s">
        <v>3379</v>
      </c>
    </row>
    <row r="954" ht="12.75" customHeight="1">
      <c r="A954" s="6" t="s">
        <v>3380</v>
      </c>
      <c r="B954" s="6" t="s">
        <v>3351</v>
      </c>
      <c r="C954" s="6" t="s">
        <v>3381</v>
      </c>
      <c r="D954" s="15" t="s">
        <v>623</v>
      </c>
      <c r="E954" s="15" t="s">
        <v>35</v>
      </c>
      <c r="F954" s="16" t="s">
        <v>3382</v>
      </c>
      <c r="G954" s="6" t="s">
        <v>37</v>
      </c>
      <c r="H954" s="6" t="s">
        <v>3383</v>
      </c>
    </row>
    <row r="955" ht="12.75" customHeight="1">
      <c r="A955" s="6" t="s">
        <v>3384</v>
      </c>
      <c r="B955" s="6" t="s">
        <v>3351</v>
      </c>
      <c r="C955" s="6" t="s">
        <v>3347</v>
      </c>
      <c r="D955" s="15" t="s">
        <v>55</v>
      </c>
      <c r="E955" s="15" t="s">
        <v>35</v>
      </c>
      <c r="F955" s="16" t="s">
        <v>3385</v>
      </c>
      <c r="G955" s="6" t="s">
        <v>37</v>
      </c>
      <c r="H955" s="6" t="s">
        <v>3386</v>
      </c>
    </row>
    <row r="956" ht="12.75" customHeight="1">
      <c r="A956" s="6" t="s">
        <v>3387</v>
      </c>
      <c r="B956" s="6" t="s">
        <v>3351</v>
      </c>
      <c r="C956" s="6" t="s">
        <v>3277</v>
      </c>
      <c r="D956" s="15" t="s">
        <v>515</v>
      </c>
      <c r="E956" s="15" t="s">
        <v>35</v>
      </c>
      <c r="F956" s="16" t="s">
        <v>3388</v>
      </c>
      <c r="G956" s="6" t="s">
        <v>37</v>
      </c>
      <c r="H956" s="6" t="s">
        <v>3389</v>
      </c>
    </row>
    <row r="957" ht="12.75" customHeight="1">
      <c r="A957" s="6" t="s">
        <v>3390</v>
      </c>
      <c r="B957" s="6" t="s">
        <v>3351</v>
      </c>
      <c r="C957" s="6" t="s">
        <v>3277</v>
      </c>
      <c r="D957" s="15" t="s">
        <v>971</v>
      </c>
      <c r="E957" s="15" t="s">
        <v>35</v>
      </c>
      <c r="F957" s="16" t="s">
        <v>3391</v>
      </c>
      <c r="G957" s="6" t="s">
        <v>37</v>
      </c>
      <c r="H957" s="6" t="s">
        <v>3392</v>
      </c>
    </row>
    <row r="958" ht="12.75" customHeight="1">
      <c r="A958" s="6" t="s">
        <v>3393</v>
      </c>
      <c r="B958" s="6" t="s">
        <v>3394</v>
      </c>
      <c r="C958" s="6" t="s">
        <v>3220</v>
      </c>
      <c r="D958" s="15" t="s">
        <v>2563</v>
      </c>
      <c r="E958" s="15" t="s">
        <v>35</v>
      </c>
      <c r="F958" s="16" t="s">
        <v>3395</v>
      </c>
      <c r="G958" s="6" t="s">
        <v>37</v>
      </c>
      <c r="H958" s="6" t="s">
        <v>3396</v>
      </c>
    </row>
    <row r="959" ht="12.75" customHeight="1">
      <c r="A959" s="6" t="s">
        <v>3397</v>
      </c>
      <c r="B959" s="6" t="s">
        <v>3398</v>
      </c>
      <c r="C959" s="6" t="s">
        <v>3399</v>
      </c>
      <c r="D959" s="15" t="s">
        <v>855</v>
      </c>
      <c r="E959" s="15" t="s">
        <v>35</v>
      </c>
      <c r="F959" s="16" t="s">
        <v>3400</v>
      </c>
      <c r="G959" s="6" t="s">
        <v>37</v>
      </c>
      <c r="H959" s="6" t="s">
        <v>3401</v>
      </c>
    </row>
    <row r="960" ht="12.75" customHeight="1">
      <c r="A960" s="6" t="s">
        <v>3402</v>
      </c>
      <c r="B960" s="6" t="s">
        <v>3398</v>
      </c>
      <c r="C960" s="6" t="s">
        <v>3220</v>
      </c>
      <c r="D960" s="15" t="s">
        <v>107</v>
      </c>
      <c r="E960" s="15" t="s">
        <v>35</v>
      </c>
      <c r="F960" s="16" t="s">
        <v>3403</v>
      </c>
      <c r="G960" s="6" t="s">
        <v>37</v>
      </c>
      <c r="H960" s="6" t="s">
        <v>3404</v>
      </c>
    </row>
    <row r="961" ht="12.75" customHeight="1">
      <c r="A961" s="6" t="s">
        <v>3405</v>
      </c>
      <c r="B961" s="6" t="s">
        <v>3398</v>
      </c>
      <c r="C961" s="6" t="s">
        <v>3406</v>
      </c>
      <c r="D961" s="15" t="s">
        <v>1374</v>
      </c>
      <c r="E961" s="15" t="s">
        <v>35</v>
      </c>
      <c r="F961" s="16" t="s">
        <v>3407</v>
      </c>
      <c r="G961" s="6" t="s">
        <v>37</v>
      </c>
      <c r="H961" s="6" t="s">
        <v>3408</v>
      </c>
    </row>
    <row r="962" ht="12.75" customHeight="1">
      <c r="A962" s="6" t="s">
        <v>3409</v>
      </c>
      <c r="B962" s="6" t="s">
        <v>3410</v>
      </c>
      <c r="C962" s="6" t="s">
        <v>168</v>
      </c>
      <c r="D962" s="15" t="s">
        <v>35</v>
      </c>
      <c r="E962" s="15" t="s">
        <v>71</v>
      </c>
      <c r="F962" s="16" t="s">
        <v>3411</v>
      </c>
      <c r="G962" s="6" t="s">
        <v>37</v>
      </c>
      <c r="H962" s="6" t="s">
        <v>3412</v>
      </c>
    </row>
    <row r="963" ht="12.75" customHeight="1">
      <c r="A963" s="6" t="s">
        <v>3413</v>
      </c>
      <c r="B963" s="6" t="s">
        <v>3410</v>
      </c>
      <c r="C963" s="6" t="s">
        <v>33</v>
      </c>
      <c r="D963" s="15" t="s">
        <v>34</v>
      </c>
      <c r="E963" s="15" t="s">
        <v>35</v>
      </c>
      <c r="F963" s="16" t="s">
        <v>3414</v>
      </c>
      <c r="G963" s="6" t="s">
        <v>37</v>
      </c>
      <c r="H963" s="6" t="s">
        <v>3415</v>
      </c>
    </row>
    <row r="964" ht="12.75" customHeight="1">
      <c r="A964" s="6" t="s">
        <v>3416</v>
      </c>
      <c r="B964" s="6" t="s">
        <v>3410</v>
      </c>
      <c r="C964" s="6" t="s">
        <v>96</v>
      </c>
      <c r="D964" s="15" t="s">
        <v>35</v>
      </c>
      <c r="E964" s="15" t="s">
        <v>97</v>
      </c>
      <c r="F964" s="16" t="s">
        <v>3417</v>
      </c>
      <c r="G964" s="6" t="s">
        <v>37</v>
      </c>
      <c r="H964" s="6" t="s">
        <v>3418</v>
      </c>
    </row>
    <row r="965" ht="12.75" customHeight="1">
      <c r="A965" s="6" t="s">
        <v>3419</v>
      </c>
      <c r="B965" s="6" t="s">
        <v>3410</v>
      </c>
      <c r="C965" s="6" t="s">
        <v>3420</v>
      </c>
      <c r="D965" s="15" t="s">
        <v>71</v>
      </c>
      <c r="E965" s="15" t="s">
        <v>35</v>
      </c>
      <c r="F965" s="16" t="s">
        <v>3421</v>
      </c>
      <c r="G965" s="6" t="s">
        <v>37</v>
      </c>
      <c r="H965" s="6" t="s">
        <v>3422</v>
      </c>
    </row>
    <row r="966" ht="12.75" customHeight="1">
      <c r="A966" s="6" t="s">
        <v>3423</v>
      </c>
      <c r="B966" s="6" t="s">
        <v>3410</v>
      </c>
      <c r="C966" s="6" t="s">
        <v>3347</v>
      </c>
      <c r="D966" s="15" t="s">
        <v>855</v>
      </c>
      <c r="E966" s="15" t="s">
        <v>35</v>
      </c>
      <c r="F966" s="16" t="s">
        <v>3407</v>
      </c>
      <c r="G966" s="6" t="s">
        <v>37</v>
      </c>
      <c r="H966" s="6" t="s">
        <v>3424</v>
      </c>
    </row>
    <row r="967" ht="12.75" customHeight="1">
      <c r="A967" s="6" t="s">
        <v>3425</v>
      </c>
      <c r="B967" s="6" t="s">
        <v>3426</v>
      </c>
      <c r="C967" s="6" t="s">
        <v>33</v>
      </c>
      <c r="D967" s="15" t="s">
        <v>34</v>
      </c>
      <c r="E967" s="15" t="s">
        <v>35</v>
      </c>
      <c r="F967" s="16" t="s">
        <v>3427</v>
      </c>
      <c r="G967" s="6" t="s">
        <v>37</v>
      </c>
      <c r="H967" s="6" t="s">
        <v>3428</v>
      </c>
    </row>
    <row r="968" ht="12.75" customHeight="1">
      <c r="A968" s="6" t="s">
        <v>3429</v>
      </c>
      <c r="B968" s="6" t="s">
        <v>3426</v>
      </c>
      <c r="C968" s="6" t="s">
        <v>3430</v>
      </c>
      <c r="D968" s="15" t="s">
        <v>50</v>
      </c>
      <c r="E968" s="15" t="s">
        <v>35</v>
      </c>
      <c r="F968" s="16" t="s">
        <v>3431</v>
      </c>
      <c r="G968" s="6" t="s">
        <v>37</v>
      </c>
      <c r="H968" s="6" t="s">
        <v>3432</v>
      </c>
    </row>
    <row r="969" ht="12.75" customHeight="1">
      <c r="A969" s="6" t="s">
        <v>3433</v>
      </c>
      <c r="B969" s="6" t="s">
        <v>3426</v>
      </c>
      <c r="C969" s="6" t="s">
        <v>3347</v>
      </c>
      <c r="D969" s="15" t="s">
        <v>502</v>
      </c>
      <c r="E969" s="15" t="s">
        <v>35</v>
      </c>
      <c r="F969" s="16" t="s">
        <v>3434</v>
      </c>
      <c r="G969" s="6" t="s">
        <v>37</v>
      </c>
      <c r="H969" s="6" t="s">
        <v>3435</v>
      </c>
    </row>
    <row r="970" ht="12.75" customHeight="1">
      <c r="A970" s="6" t="s">
        <v>3436</v>
      </c>
      <c r="B970" s="6" t="s">
        <v>3426</v>
      </c>
      <c r="C970" s="6" t="s">
        <v>33</v>
      </c>
      <c r="D970" s="15" t="s">
        <v>34</v>
      </c>
      <c r="E970" s="15" t="s">
        <v>35</v>
      </c>
      <c r="F970" s="16" t="s">
        <v>3437</v>
      </c>
      <c r="G970" s="6" t="s">
        <v>37</v>
      </c>
      <c r="H970" s="6" t="s">
        <v>3438</v>
      </c>
    </row>
    <row r="971" ht="12.75" customHeight="1">
      <c r="A971" s="6" t="s">
        <v>3439</v>
      </c>
      <c r="B971" s="6" t="s">
        <v>3426</v>
      </c>
      <c r="C971" s="6" t="s">
        <v>33</v>
      </c>
      <c r="D971" s="15" t="s">
        <v>41</v>
      </c>
      <c r="E971" s="15" t="s">
        <v>35</v>
      </c>
      <c r="F971" s="16" t="s">
        <v>3440</v>
      </c>
      <c r="G971" s="6" t="s">
        <v>37</v>
      </c>
      <c r="H971" s="6" t="s">
        <v>3441</v>
      </c>
    </row>
    <row r="972" ht="12.75" customHeight="1">
      <c r="A972" s="6" t="s">
        <v>3442</v>
      </c>
      <c r="B972" s="6" t="s">
        <v>3443</v>
      </c>
      <c r="C972" s="6" t="s">
        <v>208</v>
      </c>
      <c r="D972" s="15" t="s">
        <v>35</v>
      </c>
      <c r="E972" s="15" t="s">
        <v>65</v>
      </c>
      <c r="F972" s="16" t="s">
        <v>3444</v>
      </c>
      <c r="G972" s="6" t="s">
        <v>37</v>
      </c>
      <c r="H972" s="6" t="s">
        <v>3445</v>
      </c>
    </row>
    <row r="973" ht="12.75" customHeight="1">
      <c r="A973" s="6" t="s">
        <v>3446</v>
      </c>
      <c r="B973" s="6" t="s">
        <v>3443</v>
      </c>
      <c r="C973" s="6" t="s">
        <v>3447</v>
      </c>
      <c r="D973" s="15" t="s">
        <v>3448</v>
      </c>
      <c r="E973" s="15" t="s">
        <v>35</v>
      </c>
      <c r="F973" s="16" t="s">
        <v>3449</v>
      </c>
      <c r="G973" s="6" t="s">
        <v>37</v>
      </c>
      <c r="H973" s="6" t="s">
        <v>3450</v>
      </c>
    </row>
    <row r="974" ht="12.75" customHeight="1">
      <c r="A974" s="6" t="s">
        <v>3451</v>
      </c>
      <c r="B974" s="6" t="s">
        <v>3443</v>
      </c>
      <c r="C974" s="6" t="s">
        <v>3452</v>
      </c>
      <c r="D974" s="15" t="s">
        <v>3453</v>
      </c>
      <c r="E974" s="15" t="s">
        <v>35</v>
      </c>
      <c r="F974" s="16" t="s">
        <v>3454</v>
      </c>
      <c r="G974" s="6" t="s">
        <v>37</v>
      </c>
      <c r="H974" s="6" t="s">
        <v>3455</v>
      </c>
    </row>
    <row r="975" ht="12.75" customHeight="1">
      <c r="A975" s="6" t="s">
        <v>3456</v>
      </c>
      <c r="B975" s="6" t="s">
        <v>3457</v>
      </c>
      <c r="C975" s="6" t="s">
        <v>3347</v>
      </c>
      <c r="D975" s="15" t="s">
        <v>2563</v>
      </c>
      <c r="E975" s="15" t="s">
        <v>35</v>
      </c>
      <c r="F975" s="16" t="s">
        <v>3458</v>
      </c>
      <c r="G975" s="6" t="s">
        <v>37</v>
      </c>
      <c r="H975" s="6" t="s">
        <v>3459</v>
      </c>
    </row>
    <row r="976" ht="12.75" customHeight="1">
      <c r="A976" s="6" t="s">
        <v>3460</v>
      </c>
      <c r="B976" s="6" t="s">
        <v>3457</v>
      </c>
      <c r="C976" s="6" t="s">
        <v>3461</v>
      </c>
      <c r="D976" s="15" t="s">
        <v>35</v>
      </c>
      <c r="E976" s="15" t="s">
        <v>71</v>
      </c>
      <c r="F976" s="16" t="s">
        <v>3462</v>
      </c>
      <c r="G976" s="6" t="s">
        <v>37</v>
      </c>
      <c r="H976" s="6" t="s">
        <v>3463</v>
      </c>
    </row>
    <row r="977" ht="12.75" customHeight="1">
      <c r="A977" s="6" t="s">
        <v>3464</v>
      </c>
      <c r="B977" s="6" t="s">
        <v>3457</v>
      </c>
      <c r="C977" s="6" t="s">
        <v>33</v>
      </c>
      <c r="D977" s="15" t="s">
        <v>55</v>
      </c>
      <c r="E977" s="15" t="s">
        <v>35</v>
      </c>
      <c r="F977" s="16" t="s">
        <v>3427</v>
      </c>
      <c r="G977" s="6" t="s">
        <v>37</v>
      </c>
      <c r="H977" s="6" t="s">
        <v>3465</v>
      </c>
    </row>
    <row r="978" ht="12.75" customHeight="1">
      <c r="A978" s="6" t="s">
        <v>3466</v>
      </c>
      <c r="B978" s="6" t="s">
        <v>3457</v>
      </c>
      <c r="C978" s="6" t="s">
        <v>426</v>
      </c>
      <c r="D978" s="15" t="s">
        <v>50</v>
      </c>
      <c r="E978" s="15" t="s">
        <v>35</v>
      </c>
      <c r="F978" s="16" t="s">
        <v>3431</v>
      </c>
      <c r="G978" s="6" t="s">
        <v>37</v>
      </c>
      <c r="H978" s="6" t="s">
        <v>3467</v>
      </c>
    </row>
    <row r="979" ht="12.75" customHeight="1">
      <c r="A979" s="6" t="s">
        <v>3468</v>
      </c>
      <c r="B979" s="6" t="s">
        <v>3457</v>
      </c>
      <c r="C979" s="6" t="s">
        <v>426</v>
      </c>
      <c r="D979" s="15" t="s">
        <v>50</v>
      </c>
      <c r="E979" s="15" t="s">
        <v>35</v>
      </c>
      <c r="F979" s="16" t="s">
        <v>3469</v>
      </c>
      <c r="G979" s="6" t="s">
        <v>37</v>
      </c>
      <c r="H979" s="6" t="s">
        <v>3470</v>
      </c>
    </row>
    <row r="980" ht="12.75" customHeight="1">
      <c r="A980" s="6" t="s">
        <v>3471</v>
      </c>
      <c r="B980" s="6" t="s">
        <v>3457</v>
      </c>
      <c r="C980" s="6" t="s">
        <v>912</v>
      </c>
      <c r="D980" s="15" t="s">
        <v>35</v>
      </c>
      <c r="E980" s="15" t="s">
        <v>971</v>
      </c>
      <c r="F980" s="16" t="s">
        <v>3472</v>
      </c>
      <c r="G980" s="6" t="s">
        <v>37</v>
      </c>
      <c r="H980" s="6" t="s">
        <v>3473</v>
      </c>
    </row>
    <row r="981" ht="12.75" customHeight="1">
      <c r="A981" s="6" t="s">
        <v>3474</v>
      </c>
      <c r="B981" s="6" t="s">
        <v>3475</v>
      </c>
      <c r="C981" s="6" t="s">
        <v>3447</v>
      </c>
      <c r="D981" s="15" t="s">
        <v>189</v>
      </c>
      <c r="E981" s="15" t="s">
        <v>35</v>
      </c>
      <c r="F981" s="16" t="s">
        <v>3476</v>
      </c>
      <c r="G981" s="6" t="s">
        <v>37</v>
      </c>
      <c r="H981" s="6" t="s">
        <v>3477</v>
      </c>
    </row>
    <row r="982" ht="12.75" customHeight="1">
      <c r="A982" s="6" t="s">
        <v>3478</v>
      </c>
      <c r="B982" s="6" t="s">
        <v>3475</v>
      </c>
      <c r="C982" s="6" t="s">
        <v>3479</v>
      </c>
      <c r="D982" s="15" t="s">
        <v>35</v>
      </c>
      <c r="E982" s="15" t="s">
        <v>65</v>
      </c>
      <c r="F982" s="16" t="s">
        <v>3480</v>
      </c>
      <c r="G982" s="6" t="s">
        <v>37</v>
      </c>
      <c r="H982" s="6" t="s">
        <v>3481</v>
      </c>
    </row>
    <row r="983" ht="12.75" customHeight="1">
      <c r="A983" s="6" t="s">
        <v>3482</v>
      </c>
      <c r="B983" s="6" t="s">
        <v>3475</v>
      </c>
      <c r="C983" s="6" t="s">
        <v>3483</v>
      </c>
      <c r="D983" s="15" t="s">
        <v>3484</v>
      </c>
      <c r="E983" s="15" t="s">
        <v>35</v>
      </c>
      <c r="F983" s="16" t="s">
        <v>3485</v>
      </c>
      <c r="G983" s="6" t="s">
        <v>37</v>
      </c>
      <c r="H983" s="6" t="s">
        <v>3486</v>
      </c>
    </row>
    <row r="984" ht="12.75" customHeight="1">
      <c r="A984" s="6" t="s">
        <v>3487</v>
      </c>
      <c r="B984" s="6" t="s">
        <v>3488</v>
      </c>
      <c r="C984" s="6" t="s">
        <v>3489</v>
      </c>
      <c r="D984" s="15" t="s">
        <v>35</v>
      </c>
      <c r="E984" s="15" t="s">
        <v>71</v>
      </c>
      <c r="F984" s="16" t="s">
        <v>3490</v>
      </c>
      <c r="G984" s="6" t="s">
        <v>37</v>
      </c>
      <c r="H984" s="6" t="s">
        <v>3491</v>
      </c>
    </row>
    <row r="985" ht="12.75" customHeight="1">
      <c r="A985" s="6" t="s">
        <v>3492</v>
      </c>
      <c r="B985" s="6" t="s">
        <v>3488</v>
      </c>
      <c r="C985" s="6" t="s">
        <v>33</v>
      </c>
      <c r="D985" s="15" t="s">
        <v>41</v>
      </c>
      <c r="E985" s="15" t="s">
        <v>35</v>
      </c>
      <c r="F985" s="16" t="s">
        <v>3493</v>
      </c>
      <c r="G985" s="6" t="s">
        <v>37</v>
      </c>
      <c r="H985" s="6" t="s">
        <v>3494</v>
      </c>
    </row>
    <row r="986" ht="12.75" customHeight="1">
      <c r="A986" s="6" t="s">
        <v>3495</v>
      </c>
      <c r="B986" s="6" t="s">
        <v>3488</v>
      </c>
      <c r="C986" s="6" t="s">
        <v>168</v>
      </c>
      <c r="D986" s="15" t="s">
        <v>35</v>
      </c>
      <c r="E986" s="15" t="s">
        <v>71</v>
      </c>
      <c r="F986" s="16" t="s">
        <v>3496</v>
      </c>
      <c r="G986" s="6" t="s">
        <v>37</v>
      </c>
      <c r="H986" s="6" t="s">
        <v>3497</v>
      </c>
    </row>
    <row r="987" ht="12.75" customHeight="1">
      <c r="A987" s="6" t="s">
        <v>3498</v>
      </c>
      <c r="B987" s="6" t="s">
        <v>3488</v>
      </c>
      <c r="C987" s="6" t="s">
        <v>3272</v>
      </c>
      <c r="D987" s="15" t="s">
        <v>3499</v>
      </c>
      <c r="E987" s="15" t="s">
        <v>35</v>
      </c>
      <c r="F987" s="16" t="s">
        <v>3476</v>
      </c>
      <c r="G987" s="6" t="s">
        <v>37</v>
      </c>
      <c r="H987" s="6" t="s">
        <v>3500</v>
      </c>
    </row>
    <row r="988" ht="12.75" customHeight="1">
      <c r="A988" s="6" t="s">
        <v>3501</v>
      </c>
      <c r="B988" s="6" t="s">
        <v>3488</v>
      </c>
      <c r="C988" s="6" t="s">
        <v>912</v>
      </c>
      <c r="D988" s="15" t="s">
        <v>35</v>
      </c>
      <c r="E988" s="15" t="s">
        <v>123</v>
      </c>
      <c r="F988" s="16" t="s">
        <v>3502</v>
      </c>
      <c r="G988" s="6" t="s">
        <v>37</v>
      </c>
      <c r="H988" s="6" t="s">
        <v>3503</v>
      </c>
    </row>
    <row r="989" ht="12.75" customHeight="1">
      <c r="A989" s="6" t="s">
        <v>3504</v>
      </c>
      <c r="B989" s="6" t="s">
        <v>3488</v>
      </c>
      <c r="C989" s="6" t="s">
        <v>3347</v>
      </c>
      <c r="D989" s="15" t="s">
        <v>572</v>
      </c>
      <c r="E989" s="15" t="s">
        <v>35</v>
      </c>
      <c r="F989" s="16" t="s">
        <v>3505</v>
      </c>
      <c r="G989" s="6" t="s">
        <v>37</v>
      </c>
      <c r="H989" s="6" t="s">
        <v>3506</v>
      </c>
    </row>
    <row r="990" ht="12.75" customHeight="1">
      <c r="A990" s="6" t="s">
        <v>3507</v>
      </c>
      <c r="B990" s="6" t="s">
        <v>3508</v>
      </c>
      <c r="C990" s="6" t="s">
        <v>3509</v>
      </c>
      <c r="D990" s="15" t="s">
        <v>35</v>
      </c>
      <c r="E990" s="15" t="s">
        <v>97</v>
      </c>
      <c r="F990" s="16" t="s">
        <v>3510</v>
      </c>
      <c r="G990" s="6" t="s">
        <v>37</v>
      </c>
      <c r="H990" s="6" t="s">
        <v>3511</v>
      </c>
    </row>
    <row r="991" ht="12.75" customHeight="1">
      <c r="A991" s="6" t="s">
        <v>3512</v>
      </c>
      <c r="B991" s="6" t="s">
        <v>3508</v>
      </c>
      <c r="C991" s="6" t="s">
        <v>3513</v>
      </c>
      <c r="D991" s="15" t="s">
        <v>189</v>
      </c>
      <c r="E991" s="15" t="s">
        <v>35</v>
      </c>
      <c r="F991" s="16" t="s">
        <v>3514</v>
      </c>
      <c r="G991" s="6" t="s">
        <v>37</v>
      </c>
      <c r="H991" s="6" t="s">
        <v>3515</v>
      </c>
    </row>
    <row r="992" ht="12.75" customHeight="1">
      <c r="A992" s="6" t="s">
        <v>3516</v>
      </c>
      <c r="B992" s="6" t="s">
        <v>3517</v>
      </c>
      <c r="C992" s="6" t="s">
        <v>188</v>
      </c>
      <c r="D992" s="15" t="s">
        <v>35</v>
      </c>
      <c r="E992" s="15" t="s">
        <v>953</v>
      </c>
      <c r="F992" s="16" t="s">
        <v>3518</v>
      </c>
      <c r="G992" s="6" t="s">
        <v>37</v>
      </c>
      <c r="H992" s="6" t="s">
        <v>3519</v>
      </c>
    </row>
    <row r="993" ht="12.75" customHeight="1">
      <c r="A993" s="6" t="s">
        <v>3520</v>
      </c>
      <c r="B993" s="6" t="s">
        <v>3517</v>
      </c>
      <c r="C993" s="6" t="s">
        <v>3521</v>
      </c>
      <c r="D993" s="15" t="s">
        <v>107</v>
      </c>
      <c r="E993" s="15" t="s">
        <v>35</v>
      </c>
      <c r="F993" s="16" t="s">
        <v>3522</v>
      </c>
      <c r="G993" s="6" t="s">
        <v>37</v>
      </c>
      <c r="H993" s="6" t="s">
        <v>3523</v>
      </c>
    </row>
    <row r="994" ht="12.75" customHeight="1">
      <c r="A994" s="6" t="s">
        <v>3524</v>
      </c>
      <c r="B994" s="6" t="s">
        <v>3525</v>
      </c>
      <c r="C994" s="6" t="s">
        <v>3526</v>
      </c>
      <c r="D994" s="15" t="s">
        <v>35</v>
      </c>
      <c r="E994" s="15" t="s">
        <v>3527</v>
      </c>
      <c r="F994" s="16" t="s">
        <v>3528</v>
      </c>
      <c r="G994" s="6" t="s">
        <v>37</v>
      </c>
      <c r="H994" s="6" t="s">
        <v>3529</v>
      </c>
    </row>
    <row r="995" ht="12.75" customHeight="1">
      <c r="A995" s="6" t="s">
        <v>3530</v>
      </c>
      <c r="B995" s="6" t="s">
        <v>3525</v>
      </c>
      <c r="C995" s="6" t="s">
        <v>221</v>
      </c>
      <c r="D995" s="15" t="s">
        <v>222</v>
      </c>
      <c r="E995" s="15" t="s">
        <v>35</v>
      </c>
      <c r="F995" s="16" t="s">
        <v>3531</v>
      </c>
      <c r="G995" s="6" t="s">
        <v>37</v>
      </c>
      <c r="H995" s="6" t="s">
        <v>3532</v>
      </c>
    </row>
    <row r="996" ht="12.75" customHeight="1">
      <c r="A996" s="6" t="s">
        <v>3533</v>
      </c>
      <c r="B996" s="6" t="s">
        <v>3525</v>
      </c>
      <c r="C996" s="6" t="s">
        <v>1852</v>
      </c>
      <c r="D996" s="15" t="s">
        <v>335</v>
      </c>
      <c r="E996" s="15" t="s">
        <v>35</v>
      </c>
      <c r="F996" s="16" t="s">
        <v>3534</v>
      </c>
      <c r="G996" s="6" t="s">
        <v>37</v>
      </c>
      <c r="H996" s="6" t="s">
        <v>3535</v>
      </c>
    </row>
    <row r="997" ht="12.75" customHeight="1">
      <c r="A997" s="6" t="s">
        <v>3536</v>
      </c>
      <c r="B997" s="6" t="s">
        <v>3525</v>
      </c>
      <c r="C997" s="6" t="s">
        <v>33</v>
      </c>
      <c r="D997" s="15" t="s">
        <v>50</v>
      </c>
      <c r="E997" s="15" t="s">
        <v>35</v>
      </c>
      <c r="F997" s="16" t="s">
        <v>3537</v>
      </c>
      <c r="G997" s="6" t="s">
        <v>37</v>
      </c>
      <c r="H997" s="6" t="s">
        <v>3538</v>
      </c>
    </row>
    <row r="998" ht="12.75" customHeight="1">
      <c r="A998" s="6" t="s">
        <v>3539</v>
      </c>
      <c r="B998" s="6" t="s">
        <v>3525</v>
      </c>
      <c r="C998" s="6" t="s">
        <v>3347</v>
      </c>
      <c r="D998" s="15" t="s">
        <v>34</v>
      </c>
      <c r="E998" s="15" t="s">
        <v>35</v>
      </c>
      <c r="F998" s="16" t="s">
        <v>3540</v>
      </c>
      <c r="G998" s="6" t="s">
        <v>37</v>
      </c>
      <c r="H998" s="6" t="s">
        <v>3541</v>
      </c>
    </row>
    <row r="999" ht="12.75" customHeight="1">
      <c r="A999" s="6" t="s">
        <v>3542</v>
      </c>
      <c r="B999" s="6" t="s">
        <v>3525</v>
      </c>
      <c r="C999" s="6" t="s">
        <v>3543</v>
      </c>
      <c r="D999" s="15" t="s">
        <v>183</v>
      </c>
      <c r="E999" s="15" t="s">
        <v>35</v>
      </c>
      <c r="F999" s="16" t="s">
        <v>3544</v>
      </c>
      <c r="G999" s="6" t="s">
        <v>37</v>
      </c>
      <c r="H999" s="6" t="s">
        <v>3545</v>
      </c>
    </row>
    <row r="1000" ht="12.75" customHeight="1">
      <c r="A1000" s="6" t="s">
        <v>3546</v>
      </c>
      <c r="B1000" s="6" t="s">
        <v>3525</v>
      </c>
      <c r="C1000" s="6" t="s">
        <v>3220</v>
      </c>
      <c r="D1000" s="15" t="s">
        <v>770</v>
      </c>
      <c r="E1000" s="15" t="s">
        <v>35</v>
      </c>
      <c r="F1000" s="16" t="s">
        <v>3547</v>
      </c>
      <c r="G1000" s="6" t="s">
        <v>37</v>
      </c>
      <c r="H1000" s="6" t="s">
        <v>3548</v>
      </c>
    </row>
    <row r="1001" ht="12.75" customHeight="1">
      <c r="A1001" s="6" t="s">
        <v>3549</v>
      </c>
      <c r="B1001" s="6" t="s">
        <v>3525</v>
      </c>
      <c r="C1001" s="6" t="s">
        <v>2384</v>
      </c>
      <c r="D1001" s="15" t="s">
        <v>2725</v>
      </c>
      <c r="E1001" s="15" t="s">
        <v>35</v>
      </c>
      <c r="F1001" s="16" t="s">
        <v>3550</v>
      </c>
      <c r="G1001" s="6" t="s">
        <v>37</v>
      </c>
      <c r="H1001" s="6" t="s">
        <v>3551</v>
      </c>
    </row>
    <row r="1002" ht="12.75" customHeight="1">
      <c r="A1002" s="6" t="s">
        <v>3552</v>
      </c>
      <c r="B1002" s="6" t="s">
        <v>3553</v>
      </c>
      <c r="C1002" s="6" t="s">
        <v>3220</v>
      </c>
      <c r="D1002" s="15" t="s">
        <v>515</v>
      </c>
      <c r="E1002" s="15" t="s">
        <v>35</v>
      </c>
      <c r="F1002" s="16" t="s">
        <v>3554</v>
      </c>
      <c r="G1002" s="6" t="s">
        <v>37</v>
      </c>
      <c r="H1002" s="6" t="s">
        <v>3555</v>
      </c>
    </row>
    <row r="1003" ht="12.75" customHeight="1">
      <c r="A1003" s="6" t="s">
        <v>3556</v>
      </c>
      <c r="B1003" s="6" t="s">
        <v>3557</v>
      </c>
      <c r="C1003" s="6" t="s">
        <v>33</v>
      </c>
      <c r="D1003" s="15" t="s">
        <v>183</v>
      </c>
      <c r="E1003" s="15" t="s">
        <v>35</v>
      </c>
      <c r="F1003" s="16" t="s">
        <v>3558</v>
      </c>
      <c r="G1003" s="6" t="s">
        <v>37</v>
      </c>
      <c r="H1003" s="6" t="s">
        <v>3559</v>
      </c>
    </row>
    <row r="1004" ht="12.75" customHeight="1">
      <c r="A1004" s="6" t="s">
        <v>3560</v>
      </c>
      <c r="B1004" s="6" t="s">
        <v>3557</v>
      </c>
      <c r="C1004" s="6" t="s">
        <v>230</v>
      </c>
      <c r="D1004" s="15" t="s">
        <v>251</v>
      </c>
      <c r="E1004" s="15" t="s">
        <v>35</v>
      </c>
      <c r="F1004" s="16" t="s">
        <v>3561</v>
      </c>
      <c r="G1004" s="6" t="s">
        <v>37</v>
      </c>
      <c r="H1004" s="6" t="s">
        <v>3562</v>
      </c>
    </row>
    <row r="1005" ht="12.75" customHeight="1">
      <c r="A1005" s="6" t="s">
        <v>3563</v>
      </c>
      <c r="B1005" s="6" t="s">
        <v>3557</v>
      </c>
      <c r="C1005" s="6" t="s">
        <v>912</v>
      </c>
      <c r="D1005" s="15" t="s">
        <v>35</v>
      </c>
      <c r="E1005" s="15" t="s">
        <v>97</v>
      </c>
      <c r="F1005" s="16" t="s">
        <v>3564</v>
      </c>
      <c r="G1005" s="6" t="s">
        <v>37</v>
      </c>
      <c r="H1005" s="6" t="s">
        <v>3565</v>
      </c>
    </row>
    <row r="1006" ht="12.75" customHeight="1">
      <c r="A1006" s="6" t="s">
        <v>3566</v>
      </c>
      <c r="B1006" s="6" t="s">
        <v>3557</v>
      </c>
      <c r="C1006" s="6" t="s">
        <v>3567</v>
      </c>
      <c r="D1006" s="15" t="s">
        <v>65</v>
      </c>
      <c r="E1006" s="15" t="s">
        <v>35</v>
      </c>
      <c r="F1006" s="16" t="s">
        <v>3568</v>
      </c>
      <c r="G1006" s="6" t="s">
        <v>37</v>
      </c>
      <c r="H1006" s="6" t="s">
        <v>3569</v>
      </c>
    </row>
    <row r="1007" ht="12.75" customHeight="1">
      <c r="A1007" s="6" t="s">
        <v>3570</v>
      </c>
      <c r="B1007" s="6" t="s">
        <v>3571</v>
      </c>
      <c r="C1007" s="6" t="s">
        <v>3572</v>
      </c>
      <c r="D1007" s="15" t="s">
        <v>35</v>
      </c>
      <c r="E1007" s="15" t="s">
        <v>71</v>
      </c>
      <c r="F1007" s="16" t="s">
        <v>3573</v>
      </c>
      <c r="G1007" s="6" t="s">
        <v>37</v>
      </c>
      <c r="H1007" s="6" t="s">
        <v>3574</v>
      </c>
    </row>
    <row r="1008" ht="12.75" customHeight="1">
      <c r="A1008" s="6" t="s">
        <v>3575</v>
      </c>
      <c r="B1008" s="6" t="s">
        <v>3571</v>
      </c>
      <c r="C1008" s="6" t="s">
        <v>3576</v>
      </c>
      <c r="D1008" s="15" t="s">
        <v>183</v>
      </c>
      <c r="E1008" s="15" t="s">
        <v>35</v>
      </c>
      <c r="F1008" s="16" t="s">
        <v>3577</v>
      </c>
      <c r="G1008" s="6" t="s">
        <v>37</v>
      </c>
      <c r="H1008" s="6" t="s">
        <v>3578</v>
      </c>
    </row>
    <row r="1009" ht="12.75" customHeight="1">
      <c r="A1009" s="6" t="s">
        <v>3579</v>
      </c>
      <c r="B1009" s="6" t="s">
        <v>3571</v>
      </c>
      <c r="C1009" s="6" t="s">
        <v>3580</v>
      </c>
      <c r="D1009" s="15" t="s">
        <v>35</v>
      </c>
      <c r="E1009" s="15" t="s">
        <v>97</v>
      </c>
      <c r="F1009" s="16" t="s">
        <v>3581</v>
      </c>
      <c r="G1009" s="6" t="s">
        <v>37</v>
      </c>
      <c r="H1009" s="6" t="s">
        <v>3582</v>
      </c>
    </row>
    <row r="1010" ht="12.75" customHeight="1">
      <c r="A1010" s="6" t="s">
        <v>3583</v>
      </c>
      <c r="B1010" s="6" t="s">
        <v>3571</v>
      </c>
      <c r="C1010" s="6" t="s">
        <v>3220</v>
      </c>
      <c r="D1010" s="15" t="s">
        <v>515</v>
      </c>
      <c r="E1010" s="15" t="s">
        <v>35</v>
      </c>
      <c r="F1010" s="16" t="s">
        <v>3568</v>
      </c>
      <c r="G1010" s="6" t="s">
        <v>37</v>
      </c>
      <c r="H1010" s="6" t="s">
        <v>3584</v>
      </c>
    </row>
    <row r="1011" ht="12.75" customHeight="1">
      <c r="A1011" s="6" t="s">
        <v>3585</v>
      </c>
      <c r="B1011" s="6" t="s">
        <v>3586</v>
      </c>
      <c r="C1011" s="6" t="s">
        <v>912</v>
      </c>
      <c r="D1011" s="15" t="s">
        <v>35</v>
      </c>
      <c r="E1011" s="15" t="s">
        <v>97</v>
      </c>
      <c r="F1011" s="16" t="s">
        <v>3587</v>
      </c>
      <c r="G1011" s="6" t="s">
        <v>37</v>
      </c>
      <c r="H1011" s="6" t="s">
        <v>3588</v>
      </c>
    </row>
    <row r="1012" ht="12.75" customHeight="1">
      <c r="A1012" s="6" t="s">
        <v>3589</v>
      </c>
      <c r="B1012" s="6" t="s">
        <v>3590</v>
      </c>
      <c r="C1012" s="6" t="s">
        <v>3591</v>
      </c>
      <c r="D1012" s="15" t="s">
        <v>35</v>
      </c>
      <c r="E1012" s="15" t="s">
        <v>65</v>
      </c>
      <c r="F1012" s="16" t="s">
        <v>3592</v>
      </c>
      <c r="G1012" s="6" t="s">
        <v>37</v>
      </c>
      <c r="H1012" s="6" t="s">
        <v>3593</v>
      </c>
    </row>
    <row r="1013" ht="12.75" customHeight="1">
      <c r="A1013" s="6" t="s">
        <v>3594</v>
      </c>
      <c r="B1013" s="6" t="s">
        <v>3590</v>
      </c>
      <c r="C1013" s="6" t="s">
        <v>3576</v>
      </c>
      <c r="D1013" s="15" t="s">
        <v>183</v>
      </c>
      <c r="E1013" s="15" t="s">
        <v>35</v>
      </c>
      <c r="F1013" s="16" t="s">
        <v>3595</v>
      </c>
      <c r="G1013" s="6" t="s">
        <v>37</v>
      </c>
      <c r="H1013" s="6" t="s">
        <v>3596</v>
      </c>
    </row>
    <row r="1014" ht="12.75" customHeight="1">
      <c r="A1014" s="6" t="s">
        <v>3597</v>
      </c>
      <c r="B1014" s="6" t="s">
        <v>3590</v>
      </c>
      <c r="C1014" s="6" t="s">
        <v>33</v>
      </c>
      <c r="D1014" s="15" t="s">
        <v>34</v>
      </c>
      <c r="E1014" s="15" t="s">
        <v>35</v>
      </c>
      <c r="F1014" s="16" t="s">
        <v>3598</v>
      </c>
      <c r="G1014" s="6" t="s">
        <v>37</v>
      </c>
      <c r="H1014" s="6" t="s">
        <v>3599</v>
      </c>
    </row>
    <row r="1015" ht="12.75" customHeight="1">
      <c r="A1015" s="6" t="s">
        <v>3600</v>
      </c>
      <c r="B1015" s="6" t="s">
        <v>3590</v>
      </c>
      <c r="C1015" s="6" t="s">
        <v>3220</v>
      </c>
      <c r="D1015" s="15" t="s">
        <v>967</v>
      </c>
      <c r="E1015" s="15" t="s">
        <v>35</v>
      </c>
      <c r="F1015" s="16" t="s">
        <v>3601</v>
      </c>
      <c r="G1015" s="6" t="s">
        <v>37</v>
      </c>
      <c r="H1015" s="6" t="s">
        <v>3602</v>
      </c>
    </row>
    <row r="1016" ht="12.75" customHeight="1">
      <c r="A1016" s="6" t="s">
        <v>3603</v>
      </c>
      <c r="B1016" s="6" t="s">
        <v>3604</v>
      </c>
      <c r="C1016" s="6" t="s">
        <v>3605</v>
      </c>
      <c r="D1016" s="15" t="s">
        <v>55</v>
      </c>
      <c r="E1016" s="15" t="s">
        <v>35</v>
      </c>
      <c r="F1016" s="16" t="s">
        <v>3606</v>
      </c>
      <c r="G1016" s="6" t="s">
        <v>37</v>
      </c>
      <c r="H1016" s="6" t="s">
        <v>3607</v>
      </c>
    </row>
    <row r="1017" ht="12.75" customHeight="1">
      <c r="A1017" s="6" t="s">
        <v>3608</v>
      </c>
      <c r="B1017" s="6" t="s">
        <v>3609</v>
      </c>
      <c r="C1017" s="6" t="s">
        <v>3610</v>
      </c>
      <c r="D1017" s="15" t="s">
        <v>35</v>
      </c>
      <c r="E1017" s="15" t="s">
        <v>335</v>
      </c>
      <c r="F1017" s="16" t="s">
        <v>3611</v>
      </c>
      <c r="G1017" s="6" t="s">
        <v>37</v>
      </c>
      <c r="H1017" s="6" t="s">
        <v>3612</v>
      </c>
    </row>
    <row r="1018" ht="12.75" customHeight="1">
      <c r="A1018" s="6" t="s">
        <v>3613</v>
      </c>
      <c r="B1018" s="6" t="s">
        <v>3609</v>
      </c>
      <c r="C1018" s="6" t="s">
        <v>3521</v>
      </c>
      <c r="D1018" s="15" t="s">
        <v>770</v>
      </c>
      <c r="E1018" s="15" t="s">
        <v>35</v>
      </c>
      <c r="F1018" s="16" t="s">
        <v>3614</v>
      </c>
      <c r="G1018" s="6" t="s">
        <v>37</v>
      </c>
      <c r="H1018" s="6" t="s">
        <v>3615</v>
      </c>
    </row>
    <row r="1019" ht="12.75" customHeight="1">
      <c r="A1019" s="6" t="s">
        <v>3616</v>
      </c>
      <c r="B1019" s="6" t="s">
        <v>3617</v>
      </c>
      <c r="C1019" s="6" t="s">
        <v>3618</v>
      </c>
      <c r="D1019" s="15" t="s">
        <v>35</v>
      </c>
      <c r="E1019" s="15" t="s">
        <v>239</v>
      </c>
      <c r="F1019" s="16" t="s">
        <v>3619</v>
      </c>
      <c r="G1019" s="6" t="s">
        <v>37</v>
      </c>
      <c r="H1019" s="6" t="s">
        <v>3620</v>
      </c>
    </row>
    <row r="1020" ht="12.75" customHeight="1">
      <c r="A1020" s="6" t="s">
        <v>3621</v>
      </c>
      <c r="B1020" s="6" t="s">
        <v>3617</v>
      </c>
      <c r="C1020" s="6" t="s">
        <v>221</v>
      </c>
      <c r="D1020" s="15" t="s">
        <v>222</v>
      </c>
      <c r="E1020" s="15" t="s">
        <v>35</v>
      </c>
      <c r="F1020" s="16" t="s">
        <v>3622</v>
      </c>
      <c r="G1020" s="6" t="s">
        <v>37</v>
      </c>
      <c r="H1020" s="6" t="s">
        <v>3623</v>
      </c>
    </row>
    <row r="1021" ht="12.75" customHeight="1">
      <c r="A1021" s="6" t="s">
        <v>3624</v>
      </c>
      <c r="B1021" s="6" t="s">
        <v>3617</v>
      </c>
      <c r="C1021" s="6" t="s">
        <v>3381</v>
      </c>
      <c r="D1021" s="15" t="s">
        <v>3625</v>
      </c>
      <c r="E1021" s="15" t="s">
        <v>35</v>
      </c>
      <c r="F1021" s="16" t="s">
        <v>3626</v>
      </c>
      <c r="G1021" s="6" t="s">
        <v>37</v>
      </c>
      <c r="H1021" s="6" t="s">
        <v>3627</v>
      </c>
    </row>
    <row r="1022" ht="12.75" customHeight="1">
      <c r="A1022" s="6" t="s">
        <v>3628</v>
      </c>
      <c r="B1022" s="6" t="s">
        <v>3617</v>
      </c>
      <c r="C1022" s="6" t="s">
        <v>3347</v>
      </c>
      <c r="D1022" s="15" t="s">
        <v>855</v>
      </c>
      <c r="E1022" s="15" t="s">
        <v>35</v>
      </c>
      <c r="F1022" s="16" t="s">
        <v>3629</v>
      </c>
      <c r="G1022" s="6" t="s">
        <v>37</v>
      </c>
      <c r="H1022" s="6" t="s">
        <v>3630</v>
      </c>
    </row>
    <row r="1023" ht="12.75" customHeight="1">
      <c r="A1023" s="6" t="s">
        <v>3631</v>
      </c>
      <c r="B1023" s="6" t="s">
        <v>3617</v>
      </c>
      <c r="C1023" s="6" t="s">
        <v>3632</v>
      </c>
      <c r="D1023" s="15" t="s">
        <v>335</v>
      </c>
      <c r="E1023" s="15" t="s">
        <v>35</v>
      </c>
      <c r="F1023" s="16" t="s">
        <v>3633</v>
      </c>
      <c r="G1023" s="6" t="s">
        <v>37</v>
      </c>
      <c r="H1023" s="6" t="s">
        <v>3634</v>
      </c>
    </row>
    <row r="1024" ht="12.75" customHeight="1">
      <c r="A1024" s="6" t="s">
        <v>3635</v>
      </c>
      <c r="B1024" s="6" t="s">
        <v>3617</v>
      </c>
      <c r="C1024" s="6" t="s">
        <v>3347</v>
      </c>
      <c r="D1024" s="15" t="s">
        <v>971</v>
      </c>
      <c r="E1024" s="15" t="s">
        <v>35</v>
      </c>
      <c r="F1024" s="16" t="s">
        <v>3636</v>
      </c>
      <c r="G1024" s="6" t="s">
        <v>37</v>
      </c>
      <c r="H1024" s="6" t="s">
        <v>3637</v>
      </c>
    </row>
    <row r="1025" ht="12.75" customHeight="1">
      <c r="A1025" s="6" t="s">
        <v>3638</v>
      </c>
      <c r="B1025" s="6" t="s">
        <v>3617</v>
      </c>
      <c r="C1025" s="6" t="s">
        <v>3639</v>
      </c>
      <c r="D1025" s="15" t="s">
        <v>3640</v>
      </c>
      <c r="E1025" s="15" t="s">
        <v>35</v>
      </c>
      <c r="F1025" s="16" t="s">
        <v>3641</v>
      </c>
      <c r="G1025" s="6" t="s">
        <v>37</v>
      </c>
      <c r="H1025" s="6" t="s">
        <v>3642</v>
      </c>
    </row>
    <row r="1026" ht="12.75" customHeight="1">
      <c r="A1026" s="6" t="s">
        <v>3643</v>
      </c>
      <c r="B1026" s="6" t="s">
        <v>3617</v>
      </c>
      <c r="C1026" s="6" t="s">
        <v>3644</v>
      </c>
      <c r="D1026" s="15" t="s">
        <v>50</v>
      </c>
      <c r="E1026" s="15" t="s">
        <v>35</v>
      </c>
      <c r="F1026" s="16" t="s">
        <v>3645</v>
      </c>
      <c r="G1026" s="6" t="s">
        <v>37</v>
      </c>
      <c r="H1026" s="6" t="s">
        <v>3646</v>
      </c>
    </row>
    <row r="1027" ht="12.75" customHeight="1">
      <c r="A1027" s="6" t="s">
        <v>3647</v>
      </c>
      <c r="B1027" s="6" t="s">
        <v>3617</v>
      </c>
      <c r="C1027" s="6" t="s">
        <v>3648</v>
      </c>
      <c r="D1027" s="15" t="s">
        <v>50</v>
      </c>
      <c r="E1027" s="15" t="s">
        <v>35</v>
      </c>
      <c r="F1027" s="16" t="s">
        <v>3649</v>
      </c>
      <c r="G1027" s="6" t="s">
        <v>37</v>
      </c>
      <c r="H1027" s="6" t="s">
        <v>3650</v>
      </c>
    </row>
    <row r="1028" ht="12.75" customHeight="1">
      <c r="A1028" s="6" t="s">
        <v>3651</v>
      </c>
      <c r="B1028" s="6" t="s">
        <v>3617</v>
      </c>
      <c r="C1028" s="6" t="s">
        <v>3220</v>
      </c>
      <c r="D1028" s="15" t="s">
        <v>101</v>
      </c>
      <c r="E1028" s="15" t="s">
        <v>35</v>
      </c>
      <c r="F1028" s="16" t="s">
        <v>3652</v>
      </c>
      <c r="G1028" s="6" t="s">
        <v>37</v>
      </c>
      <c r="H1028" s="6" t="s">
        <v>3653</v>
      </c>
    </row>
    <row r="1029" ht="12.75" customHeight="1">
      <c r="A1029" s="6" t="s">
        <v>3654</v>
      </c>
      <c r="B1029" s="6" t="s">
        <v>3617</v>
      </c>
      <c r="C1029" s="6" t="s">
        <v>33</v>
      </c>
      <c r="D1029" s="15" t="s">
        <v>183</v>
      </c>
      <c r="E1029" s="15" t="s">
        <v>35</v>
      </c>
      <c r="F1029" s="16" t="s">
        <v>3655</v>
      </c>
      <c r="G1029" s="6" t="s">
        <v>37</v>
      </c>
      <c r="H1029" s="6" t="s">
        <v>3656</v>
      </c>
    </row>
    <row r="1030" ht="12.75" customHeight="1">
      <c r="A1030" s="6" t="s">
        <v>3657</v>
      </c>
      <c r="B1030" s="6" t="s">
        <v>3658</v>
      </c>
      <c r="C1030" s="6" t="s">
        <v>3659</v>
      </c>
      <c r="D1030" s="15" t="s">
        <v>770</v>
      </c>
      <c r="E1030" s="15" t="s">
        <v>35</v>
      </c>
      <c r="F1030" s="16" t="s">
        <v>3660</v>
      </c>
      <c r="G1030" s="6" t="s">
        <v>37</v>
      </c>
      <c r="H1030" s="6" t="s">
        <v>3661</v>
      </c>
    </row>
    <row r="1031" ht="12.75" customHeight="1">
      <c r="A1031" s="6" t="s">
        <v>3662</v>
      </c>
      <c r="B1031" s="6" t="s">
        <v>3658</v>
      </c>
      <c r="C1031" s="6" t="s">
        <v>3663</v>
      </c>
      <c r="D1031" s="15" t="s">
        <v>35</v>
      </c>
      <c r="E1031" s="15" t="s">
        <v>97</v>
      </c>
      <c r="F1031" s="16" t="s">
        <v>3664</v>
      </c>
      <c r="G1031" s="6" t="s">
        <v>37</v>
      </c>
      <c r="H1031" s="6" t="s">
        <v>3665</v>
      </c>
    </row>
    <row r="1032" ht="12.75" customHeight="1">
      <c r="A1032" s="6" t="s">
        <v>3666</v>
      </c>
      <c r="B1032" s="6" t="s">
        <v>3658</v>
      </c>
      <c r="C1032" s="6" t="s">
        <v>33</v>
      </c>
      <c r="D1032" s="15" t="s">
        <v>41</v>
      </c>
      <c r="E1032" s="15" t="s">
        <v>35</v>
      </c>
      <c r="F1032" s="16" t="s">
        <v>3667</v>
      </c>
      <c r="G1032" s="6" t="s">
        <v>37</v>
      </c>
      <c r="H1032" s="6" t="s">
        <v>3668</v>
      </c>
    </row>
    <row r="1033" ht="12.75" customHeight="1">
      <c r="A1033" s="6" t="s">
        <v>3669</v>
      </c>
      <c r="B1033" s="6" t="s">
        <v>3658</v>
      </c>
      <c r="C1033" s="6" t="s">
        <v>426</v>
      </c>
      <c r="D1033" s="15" t="s">
        <v>547</v>
      </c>
      <c r="E1033" s="15" t="s">
        <v>35</v>
      </c>
      <c r="F1033" s="16" t="s">
        <v>3670</v>
      </c>
      <c r="G1033" s="6" t="s">
        <v>37</v>
      </c>
      <c r="H1033" s="6" t="s">
        <v>3671</v>
      </c>
    </row>
    <row r="1034" ht="12.75" customHeight="1">
      <c r="A1034" s="6" t="s">
        <v>3672</v>
      </c>
      <c r="B1034" s="6" t="s">
        <v>3658</v>
      </c>
      <c r="C1034" s="6" t="s">
        <v>426</v>
      </c>
      <c r="D1034" s="15" t="s">
        <v>55</v>
      </c>
      <c r="E1034" s="15" t="s">
        <v>35</v>
      </c>
      <c r="F1034" s="16" t="s">
        <v>3673</v>
      </c>
      <c r="G1034" s="6" t="s">
        <v>37</v>
      </c>
      <c r="H1034" s="6" t="s">
        <v>3674</v>
      </c>
    </row>
    <row r="1035" ht="12.75" customHeight="1">
      <c r="A1035" s="6" t="s">
        <v>3675</v>
      </c>
      <c r="B1035" s="6" t="s">
        <v>3676</v>
      </c>
      <c r="C1035" s="6" t="s">
        <v>3576</v>
      </c>
      <c r="D1035" s="15" t="s">
        <v>183</v>
      </c>
      <c r="E1035" s="15" t="s">
        <v>35</v>
      </c>
      <c r="F1035" s="16" t="s">
        <v>3677</v>
      </c>
      <c r="G1035" s="6" t="s">
        <v>37</v>
      </c>
      <c r="H1035" s="6" t="s">
        <v>3678</v>
      </c>
    </row>
    <row r="1036" ht="12.75" customHeight="1">
      <c r="A1036" s="6" t="s">
        <v>3679</v>
      </c>
      <c r="B1036" s="6" t="s">
        <v>3680</v>
      </c>
      <c r="C1036" s="6" t="s">
        <v>3576</v>
      </c>
      <c r="D1036" s="15" t="s">
        <v>183</v>
      </c>
      <c r="E1036" s="15" t="s">
        <v>35</v>
      </c>
      <c r="F1036" s="16" t="s">
        <v>3681</v>
      </c>
      <c r="G1036" s="6" t="s">
        <v>37</v>
      </c>
      <c r="H1036" s="6" t="s">
        <v>3682</v>
      </c>
    </row>
    <row r="1037" ht="12.75" customHeight="1">
      <c r="A1037" s="6" t="s">
        <v>3683</v>
      </c>
      <c r="B1037" s="6" t="s">
        <v>3680</v>
      </c>
      <c r="C1037" s="6" t="s">
        <v>168</v>
      </c>
      <c r="D1037" s="15" t="s">
        <v>35</v>
      </c>
      <c r="E1037" s="15" t="s">
        <v>97</v>
      </c>
      <c r="F1037" s="16" t="s">
        <v>3684</v>
      </c>
      <c r="G1037" s="6" t="s">
        <v>37</v>
      </c>
      <c r="H1037" s="6" t="s">
        <v>3685</v>
      </c>
    </row>
    <row r="1038" ht="12.75" customHeight="1">
      <c r="A1038" s="6" t="s">
        <v>3686</v>
      </c>
      <c r="B1038" s="6" t="s">
        <v>3680</v>
      </c>
      <c r="C1038" s="6" t="s">
        <v>3576</v>
      </c>
      <c r="D1038" s="15" t="s">
        <v>183</v>
      </c>
      <c r="E1038" s="15" t="s">
        <v>35</v>
      </c>
      <c r="F1038" s="16" t="s">
        <v>3687</v>
      </c>
      <c r="G1038" s="6" t="s">
        <v>37</v>
      </c>
      <c r="H1038" s="6" t="s">
        <v>3688</v>
      </c>
    </row>
    <row r="1039" ht="12.75" customHeight="1">
      <c r="A1039" s="6" t="s">
        <v>3689</v>
      </c>
      <c r="B1039" s="6" t="s">
        <v>3680</v>
      </c>
      <c r="C1039" s="6" t="s">
        <v>33</v>
      </c>
      <c r="D1039" s="15" t="s">
        <v>34</v>
      </c>
      <c r="E1039" s="15" t="s">
        <v>35</v>
      </c>
      <c r="F1039" s="16" t="s">
        <v>3690</v>
      </c>
      <c r="G1039" s="6" t="s">
        <v>37</v>
      </c>
      <c r="H1039" s="6" t="s">
        <v>3691</v>
      </c>
    </row>
    <row r="1040" ht="12.75" customHeight="1">
      <c r="A1040" s="6" t="s">
        <v>3692</v>
      </c>
      <c r="B1040" s="6" t="s">
        <v>3693</v>
      </c>
      <c r="C1040" s="6" t="s">
        <v>3694</v>
      </c>
      <c r="D1040" s="15" t="s">
        <v>3695</v>
      </c>
      <c r="E1040" s="15" t="s">
        <v>35</v>
      </c>
      <c r="F1040" s="16" t="s">
        <v>3696</v>
      </c>
      <c r="G1040" s="6" t="s">
        <v>37</v>
      </c>
      <c r="H1040" s="6" t="s">
        <v>3697</v>
      </c>
    </row>
    <row r="1041" ht="12.75" customHeight="1">
      <c r="A1041" s="6" t="s">
        <v>3698</v>
      </c>
      <c r="B1041" s="6" t="s">
        <v>3699</v>
      </c>
      <c r="C1041" s="6" t="s">
        <v>2412</v>
      </c>
      <c r="D1041" s="15" t="s">
        <v>123</v>
      </c>
      <c r="E1041" s="15" t="s">
        <v>35</v>
      </c>
      <c r="F1041" s="16" t="s">
        <v>3700</v>
      </c>
      <c r="G1041" s="6" t="s">
        <v>37</v>
      </c>
      <c r="H1041" s="6" t="s">
        <v>3701</v>
      </c>
    </row>
    <row r="1042" ht="12.75" customHeight="1">
      <c r="A1042" s="6" t="s">
        <v>3702</v>
      </c>
      <c r="B1042" s="6" t="s">
        <v>3699</v>
      </c>
      <c r="C1042" s="6" t="s">
        <v>3703</v>
      </c>
      <c r="D1042" s="15" t="s">
        <v>97</v>
      </c>
      <c r="E1042" s="15" t="s">
        <v>35</v>
      </c>
      <c r="F1042" s="16" t="s">
        <v>3704</v>
      </c>
      <c r="G1042" s="6" t="s">
        <v>37</v>
      </c>
      <c r="H1042" s="6" t="s">
        <v>3705</v>
      </c>
    </row>
    <row r="1043" ht="12.75" customHeight="1">
      <c r="A1043" s="6" t="s">
        <v>3706</v>
      </c>
      <c r="B1043" s="6" t="s">
        <v>3699</v>
      </c>
      <c r="C1043" s="6" t="s">
        <v>3707</v>
      </c>
      <c r="D1043" s="15" t="s">
        <v>50</v>
      </c>
      <c r="E1043" s="15" t="s">
        <v>35</v>
      </c>
      <c r="F1043" s="16" t="s">
        <v>3708</v>
      </c>
      <c r="G1043" s="6" t="s">
        <v>37</v>
      </c>
      <c r="H1043" s="6" t="s">
        <v>3709</v>
      </c>
    </row>
    <row r="1044" ht="12.75" customHeight="1">
      <c r="A1044" s="6" t="s">
        <v>3710</v>
      </c>
      <c r="B1044" s="6" t="s">
        <v>3699</v>
      </c>
      <c r="C1044" s="6" t="s">
        <v>33</v>
      </c>
      <c r="D1044" s="15" t="s">
        <v>34</v>
      </c>
      <c r="E1044" s="15" t="s">
        <v>35</v>
      </c>
      <c r="F1044" s="16" t="s">
        <v>3711</v>
      </c>
      <c r="G1044" s="6" t="s">
        <v>37</v>
      </c>
      <c r="H1044" s="6" t="s">
        <v>3712</v>
      </c>
    </row>
    <row r="1045" ht="12.75" customHeight="1">
      <c r="A1045" s="6" t="s">
        <v>3713</v>
      </c>
      <c r="B1045" s="6" t="s">
        <v>3699</v>
      </c>
      <c r="C1045" s="6" t="s">
        <v>3356</v>
      </c>
      <c r="D1045" s="15" t="s">
        <v>35</v>
      </c>
      <c r="E1045" s="15" t="s">
        <v>3714</v>
      </c>
      <c r="F1045" s="16" t="s">
        <v>3715</v>
      </c>
      <c r="G1045" s="6" t="s">
        <v>37</v>
      </c>
      <c r="H1045" s="6" t="s">
        <v>3716</v>
      </c>
    </row>
    <row r="1046" ht="12.75" customHeight="1">
      <c r="A1046" s="6" t="s">
        <v>3717</v>
      </c>
      <c r="B1046" s="6" t="s">
        <v>3699</v>
      </c>
      <c r="C1046" s="6" t="s">
        <v>2949</v>
      </c>
      <c r="D1046" s="15" t="s">
        <v>623</v>
      </c>
      <c r="E1046" s="15" t="s">
        <v>35</v>
      </c>
      <c r="F1046" s="16" t="s">
        <v>3718</v>
      </c>
      <c r="G1046" s="6" t="s">
        <v>37</v>
      </c>
      <c r="H1046" s="6" t="s">
        <v>3719</v>
      </c>
    </row>
    <row r="1047" ht="12.75" customHeight="1">
      <c r="A1047" s="6" t="s">
        <v>3720</v>
      </c>
      <c r="B1047" s="6" t="s">
        <v>3721</v>
      </c>
      <c r="C1047" s="6" t="s">
        <v>2384</v>
      </c>
      <c r="D1047" s="15" t="s">
        <v>3722</v>
      </c>
      <c r="E1047" s="15" t="s">
        <v>35</v>
      </c>
      <c r="F1047" s="16" t="s">
        <v>3723</v>
      </c>
      <c r="G1047" s="6" t="s">
        <v>37</v>
      </c>
      <c r="H1047" s="6" t="s">
        <v>3724</v>
      </c>
    </row>
    <row r="1048" ht="12.75" customHeight="1">
      <c r="A1048" s="6" t="s">
        <v>3725</v>
      </c>
      <c r="B1048" s="6" t="s">
        <v>3721</v>
      </c>
      <c r="C1048" s="6" t="s">
        <v>3726</v>
      </c>
      <c r="D1048" s="15" t="s">
        <v>97</v>
      </c>
      <c r="E1048" s="15" t="s">
        <v>35</v>
      </c>
      <c r="F1048" s="16" t="s">
        <v>3727</v>
      </c>
      <c r="G1048" s="6" t="s">
        <v>37</v>
      </c>
      <c r="H1048" s="6" t="s">
        <v>3728</v>
      </c>
    </row>
    <row r="1049" ht="12.75" customHeight="1">
      <c r="A1049" s="6" t="s">
        <v>3729</v>
      </c>
      <c r="B1049" s="6" t="s">
        <v>3721</v>
      </c>
      <c r="C1049" s="6" t="s">
        <v>2384</v>
      </c>
      <c r="D1049" s="15" t="s">
        <v>685</v>
      </c>
      <c r="E1049" s="15" t="s">
        <v>35</v>
      </c>
      <c r="F1049" s="16" t="s">
        <v>3730</v>
      </c>
      <c r="G1049" s="6" t="s">
        <v>37</v>
      </c>
      <c r="H1049" s="6" t="s">
        <v>3731</v>
      </c>
    </row>
    <row r="1050" ht="12.75" customHeight="1">
      <c r="A1050" s="6" t="s">
        <v>3732</v>
      </c>
      <c r="B1050" s="6" t="s">
        <v>3721</v>
      </c>
      <c r="C1050" s="6" t="s">
        <v>2412</v>
      </c>
      <c r="D1050" s="15" t="s">
        <v>855</v>
      </c>
      <c r="E1050" s="15" t="s">
        <v>35</v>
      </c>
      <c r="F1050" s="16" t="s">
        <v>3696</v>
      </c>
      <c r="G1050" s="6" t="s">
        <v>37</v>
      </c>
      <c r="H1050" s="6" t="s">
        <v>3733</v>
      </c>
    </row>
    <row r="1051" ht="12.75" customHeight="1">
      <c r="A1051" s="6" t="s">
        <v>3734</v>
      </c>
      <c r="B1051" s="6" t="s">
        <v>3735</v>
      </c>
      <c r="C1051" s="6" t="s">
        <v>3736</v>
      </c>
      <c r="D1051" s="15" t="s">
        <v>97</v>
      </c>
      <c r="E1051" s="15" t="s">
        <v>35</v>
      </c>
      <c r="F1051" s="16" t="s">
        <v>3737</v>
      </c>
      <c r="G1051" s="6" t="s">
        <v>37</v>
      </c>
      <c r="H1051" s="6" t="s">
        <v>3738</v>
      </c>
    </row>
    <row r="1052" ht="12.75" customHeight="1">
      <c r="A1052" s="6" t="s">
        <v>3739</v>
      </c>
      <c r="B1052" s="6" t="s">
        <v>3735</v>
      </c>
      <c r="C1052" s="6" t="s">
        <v>2412</v>
      </c>
      <c r="D1052" s="15" t="s">
        <v>50</v>
      </c>
      <c r="E1052" s="15" t="s">
        <v>35</v>
      </c>
      <c r="F1052" s="16" t="s">
        <v>3740</v>
      </c>
      <c r="G1052" s="6" t="s">
        <v>37</v>
      </c>
      <c r="H1052" s="6" t="s">
        <v>3741</v>
      </c>
    </row>
    <row r="1053" ht="12.75" customHeight="1">
      <c r="A1053" s="6" t="s">
        <v>3742</v>
      </c>
      <c r="B1053" s="6" t="s">
        <v>3743</v>
      </c>
      <c r="C1053" s="6" t="s">
        <v>33</v>
      </c>
      <c r="D1053" s="15" t="s">
        <v>34</v>
      </c>
      <c r="E1053" s="15" t="s">
        <v>35</v>
      </c>
      <c r="F1053" s="16" t="s">
        <v>3744</v>
      </c>
      <c r="G1053" s="6" t="s">
        <v>37</v>
      </c>
      <c r="H1053" s="6" t="s">
        <v>3745</v>
      </c>
    </row>
    <row r="1054" ht="12.75" customHeight="1">
      <c r="A1054" s="6" t="s">
        <v>3746</v>
      </c>
      <c r="B1054" s="6" t="s">
        <v>3743</v>
      </c>
      <c r="C1054" s="6" t="s">
        <v>2412</v>
      </c>
      <c r="D1054" s="15" t="s">
        <v>97</v>
      </c>
      <c r="E1054" s="15" t="s">
        <v>35</v>
      </c>
      <c r="F1054" s="16" t="s">
        <v>3747</v>
      </c>
      <c r="G1054" s="6" t="s">
        <v>37</v>
      </c>
      <c r="H1054" s="6" t="s">
        <v>3748</v>
      </c>
    </row>
    <row r="1055" ht="12.75" customHeight="1">
      <c r="A1055" s="6" t="s">
        <v>3749</v>
      </c>
      <c r="B1055" s="6" t="s">
        <v>3743</v>
      </c>
      <c r="C1055" s="6" t="s">
        <v>33</v>
      </c>
      <c r="D1055" s="15" t="s">
        <v>34</v>
      </c>
      <c r="E1055" s="15" t="s">
        <v>35</v>
      </c>
      <c r="F1055" s="16" t="s">
        <v>3750</v>
      </c>
      <c r="G1055" s="6" t="s">
        <v>37</v>
      </c>
      <c r="H1055" s="6" t="s">
        <v>3751</v>
      </c>
    </row>
    <row r="1056" ht="12.75" customHeight="1">
      <c r="A1056" s="6" t="s">
        <v>3752</v>
      </c>
      <c r="B1056" s="6" t="s">
        <v>3743</v>
      </c>
      <c r="C1056" s="6" t="s">
        <v>96</v>
      </c>
      <c r="D1056" s="15" t="s">
        <v>35</v>
      </c>
      <c r="E1056" s="15" t="s">
        <v>335</v>
      </c>
      <c r="F1056" s="16" t="s">
        <v>3753</v>
      </c>
      <c r="G1056" s="6" t="s">
        <v>37</v>
      </c>
      <c r="H1056" s="6" t="s">
        <v>3754</v>
      </c>
    </row>
    <row r="1057" ht="12.75" customHeight="1">
      <c r="A1057" s="6" t="s">
        <v>3755</v>
      </c>
      <c r="B1057" s="6" t="s">
        <v>3743</v>
      </c>
      <c r="C1057" s="6" t="s">
        <v>33</v>
      </c>
      <c r="D1057" s="15" t="s">
        <v>41</v>
      </c>
      <c r="E1057" s="15" t="s">
        <v>35</v>
      </c>
      <c r="F1057" s="16" t="s">
        <v>3756</v>
      </c>
      <c r="G1057" s="6" t="s">
        <v>37</v>
      </c>
      <c r="H1057" s="6" t="s">
        <v>3757</v>
      </c>
    </row>
    <row r="1058" ht="12.75" customHeight="1">
      <c r="A1058" s="6" t="s">
        <v>3758</v>
      </c>
      <c r="B1058" s="6" t="s">
        <v>3743</v>
      </c>
      <c r="C1058" s="6" t="s">
        <v>2412</v>
      </c>
      <c r="D1058" s="15" t="s">
        <v>855</v>
      </c>
      <c r="E1058" s="15" t="s">
        <v>35</v>
      </c>
      <c r="F1058" s="16" t="s">
        <v>3737</v>
      </c>
      <c r="G1058" s="6" t="s">
        <v>37</v>
      </c>
      <c r="H1058" s="6" t="s">
        <v>3759</v>
      </c>
    </row>
    <row r="1059" ht="12.75" customHeight="1">
      <c r="A1059" s="6" t="s">
        <v>3760</v>
      </c>
      <c r="B1059" s="6" t="s">
        <v>3743</v>
      </c>
      <c r="C1059" s="6" t="s">
        <v>33</v>
      </c>
      <c r="D1059" s="15" t="s">
        <v>34</v>
      </c>
      <c r="E1059" s="15" t="s">
        <v>35</v>
      </c>
      <c r="F1059" s="16" t="s">
        <v>3761</v>
      </c>
      <c r="G1059" s="6" t="s">
        <v>37</v>
      </c>
      <c r="H1059" s="6" t="s">
        <v>3762</v>
      </c>
    </row>
    <row r="1060" ht="12.75" customHeight="1">
      <c r="A1060" s="6" t="s">
        <v>3763</v>
      </c>
      <c r="B1060" s="6" t="s">
        <v>3764</v>
      </c>
      <c r="C1060" s="6" t="s">
        <v>2412</v>
      </c>
      <c r="D1060" s="15" t="s">
        <v>97</v>
      </c>
      <c r="E1060" s="15" t="s">
        <v>35</v>
      </c>
      <c r="F1060" s="16" t="s">
        <v>3765</v>
      </c>
      <c r="G1060" s="6" t="s">
        <v>37</v>
      </c>
      <c r="H1060" s="6" t="s">
        <v>3766</v>
      </c>
    </row>
    <row r="1061" ht="12.75" customHeight="1">
      <c r="A1061" s="6" t="s">
        <v>3767</v>
      </c>
      <c r="B1061" s="6" t="s">
        <v>3764</v>
      </c>
      <c r="C1061" s="6" t="s">
        <v>250</v>
      </c>
      <c r="D1061" s="15" t="s">
        <v>71</v>
      </c>
      <c r="E1061" s="15" t="s">
        <v>35</v>
      </c>
      <c r="F1061" s="16" t="s">
        <v>3768</v>
      </c>
      <c r="G1061" s="6" t="s">
        <v>37</v>
      </c>
      <c r="H1061" s="6" t="s">
        <v>3769</v>
      </c>
    </row>
    <row r="1062" ht="12.75" customHeight="1">
      <c r="A1062" s="6" t="s">
        <v>3770</v>
      </c>
      <c r="B1062" s="6" t="s">
        <v>3764</v>
      </c>
      <c r="C1062" s="6" t="s">
        <v>2412</v>
      </c>
      <c r="D1062" s="15" t="s">
        <v>1307</v>
      </c>
      <c r="E1062" s="15" t="s">
        <v>35</v>
      </c>
      <c r="F1062" s="16" t="s">
        <v>3771</v>
      </c>
      <c r="G1062" s="6" t="s">
        <v>37</v>
      </c>
      <c r="H1062" s="6" t="s">
        <v>3772</v>
      </c>
    </row>
    <row r="1063" ht="12.75" customHeight="1">
      <c r="A1063" s="6" t="s">
        <v>3773</v>
      </c>
      <c r="B1063" s="6" t="s">
        <v>3764</v>
      </c>
      <c r="C1063" s="6" t="s">
        <v>3572</v>
      </c>
      <c r="D1063" s="15" t="s">
        <v>35</v>
      </c>
      <c r="E1063" s="15" t="s">
        <v>189</v>
      </c>
      <c r="F1063" s="16" t="s">
        <v>3774</v>
      </c>
      <c r="G1063" s="6" t="s">
        <v>37</v>
      </c>
      <c r="H1063" s="6" t="s">
        <v>3775</v>
      </c>
    </row>
    <row r="1064" ht="12.75" customHeight="1">
      <c r="A1064" s="6" t="s">
        <v>3776</v>
      </c>
      <c r="B1064" s="6" t="s">
        <v>3777</v>
      </c>
      <c r="C1064" s="6" t="s">
        <v>33</v>
      </c>
      <c r="D1064" s="15" t="s">
        <v>34</v>
      </c>
      <c r="E1064" s="15" t="s">
        <v>35</v>
      </c>
      <c r="F1064" s="16" t="s">
        <v>3778</v>
      </c>
      <c r="G1064" s="6" t="s">
        <v>37</v>
      </c>
      <c r="H1064" s="6" t="s">
        <v>3779</v>
      </c>
    </row>
    <row r="1065" ht="12.75" customHeight="1">
      <c r="A1065" s="6" t="s">
        <v>3780</v>
      </c>
      <c r="B1065" s="6" t="s">
        <v>3777</v>
      </c>
      <c r="C1065" s="6" t="s">
        <v>2412</v>
      </c>
      <c r="D1065" s="15" t="s">
        <v>55</v>
      </c>
      <c r="E1065" s="15" t="s">
        <v>35</v>
      </c>
      <c r="F1065" s="16" t="s">
        <v>3781</v>
      </c>
      <c r="G1065" s="6" t="s">
        <v>37</v>
      </c>
      <c r="H1065" s="6" t="s">
        <v>3782</v>
      </c>
    </row>
    <row r="1066" ht="12.75" customHeight="1">
      <c r="A1066" s="6" t="s">
        <v>3783</v>
      </c>
      <c r="B1066" s="6" t="s">
        <v>3777</v>
      </c>
      <c r="C1066" s="6" t="s">
        <v>2412</v>
      </c>
      <c r="D1066" s="15" t="s">
        <v>41</v>
      </c>
      <c r="E1066" s="15" t="s">
        <v>35</v>
      </c>
      <c r="F1066" s="16" t="s">
        <v>3784</v>
      </c>
      <c r="G1066" s="6" t="s">
        <v>37</v>
      </c>
      <c r="H1066" s="6" t="s">
        <v>3785</v>
      </c>
    </row>
    <row r="1067" ht="12.75" customHeight="1">
      <c r="A1067" s="6" t="s">
        <v>3786</v>
      </c>
      <c r="B1067" s="6" t="s">
        <v>3787</v>
      </c>
      <c r="C1067" s="6" t="s">
        <v>2412</v>
      </c>
      <c r="D1067" s="15" t="s">
        <v>55</v>
      </c>
      <c r="E1067" s="15" t="s">
        <v>35</v>
      </c>
      <c r="F1067" s="16" t="s">
        <v>3788</v>
      </c>
      <c r="G1067" s="6" t="s">
        <v>37</v>
      </c>
      <c r="H1067" s="6" t="s">
        <v>3789</v>
      </c>
    </row>
    <row r="1068" ht="12.75" customHeight="1">
      <c r="A1068" s="6" t="s">
        <v>3790</v>
      </c>
      <c r="B1068" s="6" t="s">
        <v>3791</v>
      </c>
      <c r="C1068" s="6" t="s">
        <v>33</v>
      </c>
      <c r="D1068" s="15" t="s">
        <v>34</v>
      </c>
      <c r="E1068" s="15" t="s">
        <v>35</v>
      </c>
      <c r="F1068" s="16" t="s">
        <v>3792</v>
      </c>
      <c r="G1068" s="6" t="s">
        <v>37</v>
      </c>
      <c r="H1068" s="6" t="s">
        <v>3793</v>
      </c>
    </row>
    <row r="1069" ht="12.75" customHeight="1">
      <c r="A1069" s="6" t="s">
        <v>3794</v>
      </c>
      <c r="B1069" s="6" t="s">
        <v>3791</v>
      </c>
      <c r="C1069" s="6" t="s">
        <v>2412</v>
      </c>
      <c r="D1069" s="15" t="s">
        <v>568</v>
      </c>
      <c r="E1069" s="15" t="s">
        <v>35</v>
      </c>
      <c r="F1069" s="16" t="s">
        <v>3795</v>
      </c>
      <c r="G1069" s="6" t="s">
        <v>37</v>
      </c>
      <c r="H1069" s="6" t="s">
        <v>3796</v>
      </c>
    </row>
    <row r="1070" ht="12.75" customHeight="1">
      <c r="A1070" s="6" t="s">
        <v>3797</v>
      </c>
      <c r="B1070" s="6" t="s">
        <v>3791</v>
      </c>
      <c r="C1070" s="6" t="s">
        <v>1613</v>
      </c>
      <c r="D1070" s="15" t="s">
        <v>34</v>
      </c>
      <c r="E1070" s="15" t="s">
        <v>35</v>
      </c>
      <c r="F1070" s="16" t="s">
        <v>3798</v>
      </c>
      <c r="G1070" s="6" t="s">
        <v>37</v>
      </c>
      <c r="H1070" s="6" t="s">
        <v>3799</v>
      </c>
    </row>
    <row r="1071" ht="12.75" customHeight="1">
      <c r="A1071" s="6" t="s">
        <v>3800</v>
      </c>
      <c r="B1071" s="6" t="s">
        <v>3801</v>
      </c>
      <c r="C1071" s="6" t="s">
        <v>2412</v>
      </c>
      <c r="D1071" s="15" t="s">
        <v>685</v>
      </c>
      <c r="E1071" s="15" t="s">
        <v>35</v>
      </c>
      <c r="F1071" s="16" t="s">
        <v>3802</v>
      </c>
      <c r="G1071" s="6" t="s">
        <v>37</v>
      </c>
      <c r="H1071" s="6" t="s">
        <v>3803</v>
      </c>
    </row>
    <row r="1072" ht="12.75" customHeight="1">
      <c r="A1072" s="6" t="s">
        <v>3804</v>
      </c>
      <c r="B1072" s="6" t="s">
        <v>3801</v>
      </c>
      <c r="C1072" s="6" t="s">
        <v>3805</v>
      </c>
      <c r="D1072" s="15" t="s">
        <v>35</v>
      </c>
      <c r="E1072" s="15" t="s">
        <v>3806</v>
      </c>
      <c r="F1072" s="16" t="s">
        <v>3807</v>
      </c>
      <c r="G1072" s="6" t="s">
        <v>37</v>
      </c>
      <c r="H1072" s="6" t="s">
        <v>3808</v>
      </c>
    </row>
    <row r="1073" ht="12.75" customHeight="1">
      <c r="A1073" s="6" t="s">
        <v>3809</v>
      </c>
      <c r="B1073" s="6" t="s">
        <v>3801</v>
      </c>
      <c r="C1073" s="6" t="s">
        <v>221</v>
      </c>
      <c r="D1073" s="15" t="s">
        <v>222</v>
      </c>
      <c r="E1073" s="15" t="s">
        <v>35</v>
      </c>
      <c r="F1073" s="16" t="s">
        <v>3810</v>
      </c>
      <c r="G1073" s="6" t="s">
        <v>37</v>
      </c>
      <c r="H1073" s="6" t="s">
        <v>3811</v>
      </c>
    </row>
    <row r="1074" ht="12.75" customHeight="1">
      <c r="A1074" s="6" t="s">
        <v>3812</v>
      </c>
      <c r="B1074" s="6" t="s">
        <v>3801</v>
      </c>
      <c r="C1074" s="6" t="s">
        <v>33</v>
      </c>
      <c r="D1074" s="15" t="s">
        <v>711</v>
      </c>
      <c r="E1074" s="15" t="s">
        <v>35</v>
      </c>
      <c r="F1074" s="16" t="s">
        <v>3813</v>
      </c>
      <c r="G1074" s="6" t="s">
        <v>37</v>
      </c>
      <c r="H1074" s="6" t="s">
        <v>3814</v>
      </c>
    </row>
    <row r="1075" ht="12.75" customHeight="1">
      <c r="A1075" s="6" t="s">
        <v>3815</v>
      </c>
      <c r="B1075" s="6" t="s">
        <v>3801</v>
      </c>
      <c r="C1075" s="6" t="s">
        <v>33</v>
      </c>
      <c r="D1075" s="15" t="s">
        <v>119</v>
      </c>
      <c r="E1075" s="15" t="s">
        <v>35</v>
      </c>
      <c r="F1075" s="16" t="s">
        <v>3816</v>
      </c>
      <c r="G1075" s="6" t="s">
        <v>37</v>
      </c>
      <c r="H1075" s="6" t="s">
        <v>3817</v>
      </c>
    </row>
    <row r="1076" ht="12.75" customHeight="1">
      <c r="A1076" s="6" t="s">
        <v>3818</v>
      </c>
      <c r="B1076" s="6" t="s">
        <v>3801</v>
      </c>
      <c r="C1076" s="6" t="s">
        <v>33</v>
      </c>
      <c r="D1076" s="15" t="s">
        <v>97</v>
      </c>
      <c r="E1076" s="15" t="s">
        <v>35</v>
      </c>
      <c r="F1076" s="16" t="s">
        <v>3819</v>
      </c>
      <c r="G1076" s="6" t="s">
        <v>37</v>
      </c>
      <c r="H1076" s="6" t="s">
        <v>3820</v>
      </c>
    </row>
    <row r="1077" ht="12.75" customHeight="1">
      <c r="A1077" s="6" t="s">
        <v>3821</v>
      </c>
      <c r="B1077" s="6" t="s">
        <v>3801</v>
      </c>
      <c r="C1077" s="6" t="s">
        <v>70</v>
      </c>
      <c r="D1077" s="15" t="s">
        <v>335</v>
      </c>
      <c r="E1077" s="15" t="s">
        <v>35</v>
      </c>
      <c r="F1077" s="16" t="s">
        <v>3822</v>
      </c>
      <c r="G1077" s="6" t="s">
        <v>37</v>
      </c>
      <c r="H1077" s="6" t="s">
        <v>3823</v>
      </c>
    </row>
    <row r="1078" ht="12.75" customHeight="1">
      <c r="A1078" s="6" t="s">
        <v>3824</v>
      </c>
      <c r="B1078" s="6" t="s">
        <v>3801</v>
      </c>
      <c r="C1078" s="6" t="s">
        <v>360</v>
      </c>
      <c r="D1078" s="15" t="s">
        <v>34</v>
      </c>
      <c r="E1078" s="15" t="s">
        <v>35</v>
      </c>
      <c r="F1078" s="16" t="s">
        <v>3825</v>
      </c>
      <c r="G1078" s="6" t="s">
        <v>37</v>
      </c>
      <c r="H1078" s="6" t="s">
        <v>3826</v>
      </c>
    </row>
    <row r="1079" ht="12.75" customHeight="1">
      <c r="A1079" s="6" t="s">
        <v>3827</v>
      </c>
      <c r="B1079" s="6" t="s">
        <v>3801</v>
      </c>
      <c r="C1079" s="6" t="s">
        <v>2412</v>
      </c>
      <c r="D1079" s="15" t="s">
        <v>264</v>
      </c>
      <c r="E1079" s="15" t="s">
        <v>35</v>
      </c>
      <c r="F1079" s="16" t="s">
        <v>3828</v>
      </c>
      <c r="G1079" s="6" t="s">
        <v>37</v>
      </c>
      <c r="H1079" s="6" t="s">
        <v>3829</v>
      </c>
    </row>
    <row r="1080" ht="12.75" customHeight="1">
      <c r="A1080" s="6" t="s">
        <v>3830</v>
      </c>
      <c r="B1080" s="6" t="s">
        <v>3831</v>
      </c>
      <c r="C1080" s="6" t="s">
        <v>2412</v>
      </c>
      <c r="D1080" s="15" t="s">
        <v>443</v>
      </c>
      <c r="E1080" s="15" t="s">
        <v>35</v>
      </c>
      <c r="F1080" s="16" t="s">
        <v>3832</v>
      </c>
      <c r="G1080" s="6" t="s">
        <v>37</v>
      </c>
      <c r="H1080" s="6" t="s">
        <v>3833</v>
      </c>
    </row>
    <row r="1081" ht="12.75" customHeight="1">
      <c r="A1081" s="6" t="s">
        <v>3834</v>
      </c>
      <c r="B1081" s="6" t="s">
        <v>3831</v>
      </c>
      <c r="C1081" s="6" t="s">
        <v>40</v>
      </c>
      <c r="D1081" s="15" t="s">
        <v>35</v>
      </c>
      <c r="E1081" s="15" t="s">
        <v>335</v>
      </c>
      <c r="F1081" s="16" t="s">
        <v>3696</v>
      </c>
      <c r="G1081" s="6" t="s">
        <v>37</v>
      </c>
      <c r="H1081" s="6" t="s">
        <v>3835</v>
      </c>
    </row>
    <row r="1082" ht="12.75" customHeight="1">
      <c r="A1082" s="6" t="s">
        <v>3836</v>
      </c>
      <c r="B1082" s="6" t="s">
        <v>3831</v>
      </c>
      <c r="C1082" s="6" t="s">
        <v>2412</v>
      </c>
      <c r="D1082" s="15" t="s">
        <v>890</v>
      </c>
      <c r="E1082" s="15" t="s">
        <v>35</v>
      </c>
      <c r="F1082" s="16" t="s">
        <v>3837</v>
      </c>
      <c r="G1082" s="6" t="s">
        <v>37</v>
      </c>
      <c r="H1082" s="6" t="s">
        <v>3838</v>
      </c>
    </row>
    <row r="1083" ht="12.75" customHeight="1">
      <c r="A1083" s="6" t="s">
        <v>3839</v>
      </c>
      <c r="B1083" s="6" t="s">
        <v>3840</v>
      </c>
      <c r="C1083" s="6" t="s">
        <v>2412</v>
      </c>
      <c r="D1083" s="15" t="s">
        <v>123</v>
      </c>
      <c r="E1083" s="15" t="s">
        <v>35</v>
      </c>
      <c r="F1083" s="16" t="s">
        <v>3841</v>
      </c>
      <c r="G1083" s="6" t="s">
        <v>37</v>
      </c>
      <c r="H1083" s="6" t="s">
        <v>3842</v>
      </c>
    </row>
    <row r="1084" ht="12.75" customHeight="1">
      <c r="A1084" s="6" t="s">
        <v>3843</v>
      </c>
      <c r="B1084" s="6" t="s">
        <v>3840</v>
      </c>
      <c r="C1084" s="6" t="s">
        <v>3844</v>
      </c>
      <c r="D1084" s="15" t="s">
        <v>123</v>
      </c>
      <c r="E1084" s="15" t="s">
        <v>35</v>
      </c>
      <c r="F1084" s="16" t="s">
        <v>3845</v>
      </c>
      <c r="G1084" s="6" t="s">
        <v>37</v>
      </c>
      <c r="H1084" s="6" t="s">
        <v>3846</v>
      </c>
    </row>
    <row r="1085" ht="12.75" customHeight="1">
      <c r="A1085" s="6" t="s">
        <v>3847</v>
      </c>
      <c r="B1085" s="6" t="s">
        <v>3848</v>
      </c>
      <c r="C1085" s="6" t="s">
        <v>2412</v>
      </c>
      <c r="D1085" s="15" t="s">
        <v>953</v>
      </c>
      <c r="E1085" s="15" t="s">
        <v>35</v>
      </c>
      <c r="F1085" s="16" t="s">
        <v>3849</v>
      </c>
      <c r="G1085" s="6" t="s">
        <v>37</v>
      </c>
      <c r="H1085" s="6" t="s">
        <v>3850</v>
      </c>
    </row>
    <row r="1086" ht="12.75" customHeight="1">
      <c r="A1086" s="6" t="s">
        <v>3851</v>
      </c>
      <c r="B1086" s="6" t="s">
        <v>3848</v>
      </c>
      <c r="C1086" s="6" t="s">
        <v>2412</v>
      </c>
      <c r="D1086" s="15" t="s">
        <v>507</v>
      </c>
      <c r="E1086" s="15" t="s">
        <v>35</v>
      </c>
      <c r="F1086" s="16" t="s">
        <v>3852</v>
      </c>
      <c r="G1086" s="6" t="s">
        <v>37</v>
      </c>
      <c r="H1086" s="6" t="s">
        <v>3853</v>
      </c>
    </row>
    <row r="1087" ht="12.75" customHeight="1">
      <c r="A1087" s="6" t="s">
        <v>3854</v>
      </c>
      <c r="B1087" s="6" t="s">
        <v>3848</v>
      </c>
      <c r="C1087" s="6" t="s">
        <v>912</v>
      </c>
      <c r="D1087" s="15" t="s">
        <v>35</v>
      </c>
      <c r="E1087" s="15" t="s">
        <v>97</v>
      </c>
      <c r="F1087" s="16" t="s">
        <v>3855</v>
      </c>
      <c r="G1087" s="6" t="s">
        <v>37</v>
      </c>
      <c r="H1087" s="6" t="s">
        <v>3856</v>
      </c>
    </row>
    <row r="1088" ht="12.75" customHeight="1">
      <c r="A1088" s="6" t="s">
        <v>3857</v>
      </c>
      <c r="B1088" s="6" t="s">
        <v>3848</v>
      </c>
      <c r="C1088" s="6" t="s">
        <v>2412</v>
      </c>
      <c r="D1088" s="15" t="s">
        <v>34</v>
      </c>
      <c r="E1088" s="15" t="s">
        <v>35</v>
      </c>
      <c r="F1088" s="16" t="s">
        <v>3858</v>
      </c>
      <c r="G1088" s="6" t="s">
        <v>37</v>
      </c>
      <c r="H1088" s="6" t="s">
        <v>3859</v>
      </c>
    </row>
    <row r="1089" ht="12.75" customHeight="1">
      <c r="A1089" s="6" t="s">
        <v>3860</v>
      </c>
      <c r="B1089" s="6" t="s">
        <v>3861</v>
      </c>
      <c r="C1089" s="6" t="s">
        <v>2412</v>
      </c>
      <c r="D1089" s="15" t="s">
        <v>34</v>
      </c>
      <c r="E1089" s="15" t="s">
        <v>35</v>
      </c>
      <c r="F1089" s="16" t="s">
        <v>3862</v>
      </c>
      <c r="G1089" s="6" t="s">
        <v>37</v>
      </c>
      <c r="H1089" s="6" t="s">
        <v>3863</v>
      </c>
    </row>
    <row r="1090" ht="12.75" customHeight="1">
      <c r="A1090" s="6" t="s">
        <v>3864</v>
      </c>
      <c r="B1090" s="6" t="s">
        <v>3861</v>
      </c>
      <c r="C1090" s="6" t="s">
        <v>3865</v>
      </c>
      <c r="D1090" s="15" t="s">
        <v>35</v>
      </c>
      <c r="E1090" s="15" t="s">
        <v>3866</v>
      </c>
      <c r="F1090" s="16" t="s">
        <v>3867</v>
      </c>
      <c r="G1090" s="6" t="s">
        <v>37</v>
      </c>
      <c r="H1090" s="6" t="s">
        <v>3868</v>
      </c>
    </row>
    <row r="1091" ht="12.75" customHeight="1">
      <c r="A1091" s="6" t="s">
        <v>3869</v>
      </c>
      <c r="B1091" s="6" t="s">
        <v>3861</v>
      </c>
      <c r="C1091" s="6" t="s">
        <v>3870</v>
      </c>
      <c r="D1091" s="15" t="s">
        <v>290</v>
      </c>
      <c r="E1091" s="15" t="s">
        <v>35</v>
      </c>
      <c r="F1091" s="16" t="s">
        <v>3852</v>
      </c>
      <c r="G1091" s="6" t="s">
        <v>37</v>
      </c>
      <c r="H1091" s="6" t="s">
        <v>3871</v>
      </c>
    </row>
    <row r="1092" ht="12.75" customHeight="1">
      <c r="A1092" s="6" t="s">
        <v>3872</v>
      </c>
      <c r="B1092" s="6" t="s">
        <v>3873</v>
      </c>
      <c r="C1092" s="6" t="s">
        <v>2412</v>
      </c>
      <c r="D1092" s="15" t="s">
        <v>855</v>
      </c>
      <c r="E1092" s="15" t="s">
        <v>35</v>
      </c>
      <c r="F1092" s="16" t="s">
        <v>3874</v>
      </c>
      <c r="G1092" s="6" t="s">
        <v>37</v>
      </c>
      <c r="H1092" s="6" t="s">
        <v>3875</v>
      </c>
    </row>
    <row r="1093" ht="12.75" customHeight="1">
      <c r="A1093" s="6" t="s">
        <v>3876</v>
      </c>
      <c r="B1093" s="6" t="s">
        <v>3877</v>
      </c>
      <c r="C1093" s="6" t="s">
        <v>3878</v>
      </c>
      <c r="D1093" s="15" t="s">
        <v>35</v>
      </c>
      <c r="E1093" s="15" t="s">
        <v>256</v>
      </c>
      <c r="F1093" s="16" t="s">
        <v>3879</v>
      </c>
      <c r="G1093" s="6" t="s">
        <v>37</v>
      </c>
      <c r="H1093" s="6" t="s">
        <v>3880</v>
      </c>
    </row>
    <row r="1094" ht="12.75" customHeight="1">
      <c r="A1094" s="6" t="s">
        <v>3881</v>
      </c>
      <c r="B1094" s="6" t="s">
        <v>3877</v>
      </c>
      <c r="C1094" s="6" t="s">
        <v>221</v>
      </c>
      <c r="D1094" s="15" t="s">
        <v>222</v>
      </c>
      <c r="E1094" s="15" t="s">
        <v>35</v>
      </c>
      <c r="F1094" s="16" t="s">
        <v>3882</v>
      </c>
      <c r="G1094" s="6" t="s">
        <v>37</v>
      </c>
      <c r="H1094" s="6" t="s">
        <v>3883</v>
      </c>
    </row>
    <row r="1095" ht="12.75" customHeight="1">
      <c r="A1095" s="6" t="s">
        <v>3884</v>
      </c>
      <c r="B1095" s="6" t="s">
        <v>3877</v>
      </c>
      <c r="C1095" s="6" t="s">
        <v>3885</v>
      </c>
      <c r="D1095" s="15" t="s">
        <v>3886</v>
      </c>
      <c r="E1095" s="15" t="s">
        <v>35</v>
      </c>
      <c r="F1095" s="16" t="s">
        <v>3887</v>
      </c>
      <c r="G1095" s="6" t="s">
        <v>37</v>
      </c>
      <c r="H1095" s="6" t="s">
        <v>3888</v>
      </c>
    </row>
    <row r="1096" ht="12.75" customHeight="1">
      <c r="A1096" s="6" t="s">
        <v>3889</v>
      </c>
      <c r="B1096" s="6" t="s">
        <v>3877</v>
      </c>
      <c r="C1096" s="6" t="s">
        <v>3890</v>
      </c>
      <c r="D1096" s="15" t="s">
        <v>46</v>
      </c>
      <c r="E1096" s="15" t="s">
        <v>35</v>
      </c>
      <c r="F1096" s="16" t="s">
        <v>3891</v>
      </c>
      <c r="G1096" s="6" t="s">
        <v>37</v>
      </c>
      <c r="H1096" s="6" t="s">
        <v>3892</v>
      </c>
    </row>
    <row r="1097" ht="12.75" customHeight="1">
      <c r="A1097" s="6" t="s">
        <v>3893</v>
      </c>
      <c r="B1097" s="6" t="s">
        <v>3877</v>
      </c>
      <c r="C1097" s="6" t="s">
        <v>3890</v>
      </c>
      <c r="D1097" s="15" t="s">
        <v>502</v>
      </c>
      <c r="E1097" s="15" t="s">
        <v>35</v>
      </c>
      <c r="F1097" s="16" t="s">
        <v>3894</v>
      </c>
      <c r="G1097" s="6" t="s">
        <v>37</v>
      </c>
      <c r="H1097" s="6" t="s">
        <v>3895</v>
      </c>
    </row>
    <row r="1098" ht="12.75" customHeight="1">
      <c r="A1098" s="6" t="s">
        <v>3896</v>
      </c>
      <c r="B1098" s="6" t="s">
        <v>3897</v>
      </c>
      <c r="C1098" s="6" t="s">
        <v>168</v>
      </c>
      <c r="D1098" s="15" t="s">
        <v>35</v>
      </c>
      <c r="E1098" s="15" t="s">
        <v>3898</v>
      </c>
      <c r="F1098" s="16" t="s">
        <v>3899</v>
      </c>
      <c r="G1098" s="6" t="s">
        <v>37</v>
      </c>
      <c r="H1098" s="6" t="s">
        <v>3900</v>
      </c>
    </row>
    <row r="1099" ht="12.75" customHeight="1">
      <c r="A1099" s="6" t="s">
        <v>3901</v>
      </c>
      <c r="B1099" s="6" t="s">
        <v>3897</v>
      </c>
      <c r="C1099" s="6" t="s">
        <v>221</v>
      </c>
      <c r="D1099" s="15" t="s">
        <v>222</v>
      </c>
      <c r="E1099" s="15" t="s">
        <v>35</v>
      </c>
      <c r="F1099" s="16" t="s">
        <v>3902</v>
      </c>
      <c r="G1099" s="6" t="s">
        <v>37</v>
      </c>
      <c r="H1099" s="6" t="s">
        <v>3903</v>
      </c>
    </row>
    <row r="1100" ht="12.75" customHeight="1">
      <c r="A1100" s="6" t="s">
        <v>3904</v>
      </c>
      <c r="B1100" s="6" t="s">
        <v>3897</v>
      </c>
      <c r="C1100" s="6" t="s">
        <v>3905</v>
      </c>
      <c r="D1100" s="15" t="s">
        <v>3906</v>
      </c>
      <c r="E1100" s="15" t="s">
        <v>35</v>
      </c>
      <c r="F1100" s="16" t="s">
        <v>3907</v>
      </c>
      <c r="G1100" s="6" t="s">
        <v>37</v>
      </c>
      <c r="H1100" s="6" t="s">
        <v>3908</v>
      </c>
    </row>
    <row r="1101" ht="12.75" customHeight="1">
      <c r="A1101" s="6" t="s">
        <v>3909</v>
      </c>
      <c r="B1101" s="6" t="s">
        <v>3897</v>
      </c>
      <c r="C1101" s="6" t="s">
        <v>3885</v>
      </c>
      <c r="D1101" s="15" t="s">
        <v>50</v>
      </c>
      <c r="E1101" s="15" t="s">
        <v>35</v>
      </c>
      <c r="F1101" s="16" t="s">
        <v>3910</v>
      </c>
      <c r="G1101" s="6" t="s">
        <v>37</v>
      </c>
      <c r="H1101" s="6" t="s">
        <v>3911</v>
      </c>
    </row>
    <row r="1102" ht="12.75" customHeight="1">
      <c r="A1102" s="6" t="s">
        <v>3912</v>
      </c>
      <c r="B1102" s="6" t="s">
        <v>3913</v>
      </c>
      <c r="C1102" s="6" t="s">
        <v>3885</v>
      </c>
      <c r="D1102" s="15" t="s">
        <v>502</v>
      </c>
      <c r="E1102" s="15" t="s">
        <v>35</v>
      </c>
      <c r="F1102" s="16" t="s">
        <v>3914</v>
      </c>
      <c r="G1102" s="6" t="s">
        <v>37</v>
      </c>
      <c r="H1102" s="6" t="s">
        <v>3915</v>
      </c>
    </row>
    <row r="1103" ht="12.75" customHeight="1">
      <c r="A1103" s="6" t="s">
        <v>3916</v>
      </c>
      <c r="B1103" s="6" t="s">
        <v>3913</v>
      </c>
      <c r="C1103" s="6" t="s">
        <v>3885</v>
      </c>
      <c r="D1103" s="15" t="s">
        <v>34</v>
      </c>
      <c r="E1103" s="15" t="s">
        <v>35</v>
      </c>
      <c r="F1103" s="16" t="s">
        <v>3917</v>
      </c>
      <c r="G1103" s="6" t="s">
        <v>37</v>
      </c>
      <c r="H1103" s="6" t="s">
        <v>3918</v>
      </c>
    </row>
    <row r="1104" ht="12.75" customHeight="1">
      <c r="A1104" s="6" t="s">
        <v>3919</v>
      </c>
      <c r="B1104" s="6" t="s">
        <v>3913</v>
      </c>
      <c r="C1104" s="6" t="s">
        <v>33</v>
      </c>
      <c r="D1104" s="15" t="s">
        <v>34</v>
      </c>
      <c r="E1104" s="15" t="s">
        <v>35</v>
      </c>
      <c r="F1104" s="16" t="s">
        <v>3920</v>
      </c>
      <c r="G1104" s="6" t="s">
        <v>37</v>
      </c>
      <c r="H1104" s="6" t="s">
        <v>3921</v>
      </c>
    </row>
    <row r="1105" ht="12.75" customHeight="1">
      <c r="A1105" s="6" t="s">
        <v>3922</v>
      </c>
      <c r="B1105" s="6" t="s">
        <v>3913</v>
      </c>
      <c r="C1105" s="6" t="s">
        <v>3885</v>
      </c>
      <c r="D1105" s="15" t="s">
        <v>50</v>
      </c>
      <c r="E1105" s="15" t="s">
        <v>35</v>
      </c>
      <c r="F1105" s="16" t="s">
        <v>3923</v>
      </c>
      <c r="G1105" s="6" t="s">
        <v>37</v>
      </c>
      <c r="H1105" s="6" t="s">
        <v>3924</v>
      </c>
    </row>
    <row r="1106" ht="12.75" customHeight="1">
      <c r="A1106" s="6" t="s">
        <v>3925</v>
      </c>
      <c r="B1106" s="6" t="s">
        <v>3913</v>
      </c>
      <c r="C1106" s="6" t="s">
        <v>3926</v>
      </c>
      <c r="D1106" s="15" t="s">
        <v>35</v>
      </c>
      <c r="E1106" s="15" t="s">
        <v>71</v>
      </c>
      <c r="F1106" s="16" t="s">
        <v>3927</v>
      </c>
      <c r="G1106" s="6" t="s">
        <v>37</v>
      </c>
      <c r="H1106" s="6" t="s">
        <v>3928</v>
      </c>
    </row>
    <row r="1107" ht="12.75" customHeight="1">
      <c r="A1107" s="6" t="s">
        <v>3929</v>
      </c>
      <c r="B1107" s="6" t="s">
        <v>3913</v>
      </c>
      <c r="C1107" s="6" t="s">
        <v>3930</v>
      </c>
      <c r="D1107" s="15" t="s">
        <v>97</v>
      </c>
      <c r="E1107" s="15" t="s">
        <v>35</v>
      </c>
      <c r="F1107" s="16" t="s">
        <v>3931</v>
      </c>
      <c r="G1107" s="6" t="s">
        <v>37</v>
      </c>
      <c r="H1107" s="6" t="s">
        <v>3932</v>
      </c>
    </row>
    <row r="1108" ht="12.75" customHeight="1">
      <c r="A1108" s="6" t="s">
        <v>3933</v>
      </c>
      <c r="B1108" s="6" t="s">
        <v>3934</v>
      </c>
      <c r="C1108" s="6" t="s">
        <v>33</v>
      </c>
      <c r="D1108" s="15" t="s">
        <v>34</v>
      </c>
      <c r="E1108" s="15" t="s">
        <v>35</v>
      </c>
      <c r="F1108" s="16" t="s">
        <v>3935</v>
      </c>
      <c r="G1108" s="6" t="s">
        <v>37</v>
      </c>
      <c r="H1108" s="6" t="s">
        <v>3936</v>
      </c>
    </row>
    <row r="1109" ht="12.75" customHeight="1">
      <c r="A1109" s="6" t="s">
        <v>3937</v>
      </c>
      <c r="B1109" s="6" t="s">
        <v>3934</v>
      </c>
      <c r="C1109" s="6" t="s">
        <v>3885</v>
      </c>
      <c r="D1109" s="15" t="s">
        <v>50</v>
      </c>
      <c r="E1109" s="15" t="s">
        <v>35</v>
      </c>
      <c r="F1109" s="16" t="s">
        <v>3938</v>
      </c>
      <c r="G1109" s="6" t="s">
        <v>37</v>
      </c>
      <c r="H1109" s="6" t="s">
        <v>3939</v>
      </c>
    </row>
    <row r="1110" ht="12.75" customHeight="1">
      <c r="A1110" s="6" t="s">
        <v>3940</v>
      </c>
      <c r="B1110" s="6" t="s">
        <v>3934</v>
      </c>
      <c r="C1110" s="6" t="s">
        <v>3941</v>
      </c>
      <c r="D1110" s="15" t="s">
        <v>35</v>
      </c>
      <c r="E1110" s="15" t="s">
        <v>3942</v>
      </c>
      <c r="F1110" s="16" t="s">
        <v>3943</v>
      </c>
      <c r="G1110" s="6" t="s">
        <v>37</v>
      </c>
      <c r="H1110" s="6" t="s">
        <v>3944</v>
      </c>
    </row>
    <row r="1111" ht="12.75" customHeight="1">
      <c r="A1111" s="6" t="s">
        <v>3945</v>
      </c>
      <c r="B1111" s="6" t="s">
        <v>3934</v>
      </c>
      <c r="C1111" s="6" t="s">
        <v>221</v>
      </c>
      <c r="D1111" s="15" t="s">
        <v>222</v>
      </c>
      <c r="E1111" s="15" t="s">
        <v>35</v>
      </c>
      <c r="F1111" s="16" t="s">
        <v>3946</v>
      </c>
      <c r="G1111" s="6" t="s">
        <v>37</v>
      </c>
      <c r="H1111" s="6" t="s">
        <v>3947</v>
      </c>
    </row>
    <row r="1112" ht="12.75" customHeight="1">
      <c r="A1112" s="6" t="s">
        <v>3948</v>
      </c>
      <c r="B1112" s="6" t="s">
        <v>3934</v>
      </c>
      <c r="C1112" s="6" t="s">
        <v>230</v>
      </c>
      <c r="D1112" s="15" t="s">
        <v>3898</v>
      </c>
      <c r="E1112" s="15" t="s">
        <v>35</v>
      </c>
      <c r="F1112" s="16" t="s">
        <v>3949</v>
      </c>
      <c r="G1112" s="6" t="s">
        <v>37</v>
      </c>
      <c r="H1112" s="6" t="s">
        <v>3950</v>
      </c>
    </row>
    <row r="1113" ht="12.75" customHeight="1">
      <c r="A1113" s="6" t="s">
        <v>3951</v>
      </c>
      <c r="B1113" s="6" t="s">
        <v>3934</v>
      </c>
      <c r="C1113" s="6" t="s">
        <v>3952</v>
      </c>
      <c r="D1113" s="15" t="s">
        <v>3953</v>
      </c>
      <c r="E1113" s="15" t="s">
        <v>35</v>
      </c>
      <c r="F1113" s="16" t="s">
        <v>3954</v>
      </c>
      <c r="G1113" s="6" t="s">
        <v>37</v>
      </c>
      <c r="H1113" s="6" t="s">
        <v>3955</v>
      </c>
    </row>
    <row r="1114" ht="12.75" customHeight="1">
      <c r="A1114" s="6" t="s">
        <v>3956</v>
      </c>
      <c r="B1114" s="6" t="s">
        <v>3934</v>
      </c>
      <c r="C1114" s="6" t="s">
        <v>3885</v>
      </c>
      <c r="D1114" s="15" t="s">
        <v>855</v>
      </c>
      <c r="E1114" s="15" t="s">
        <v>35</v>
      </c>
      <c r="F1114" s="16" t="s">
        <v>3957</v>
      </c>
      <c r="G1114" s="6" t="s">
        <v>37</v>
      </c>
      <c r="H1114" s="6" t="s">
        <v>3958</v>
      </c>
    </row>
    <row r="1115" ht="12.75" customHeight="1">
      <c r="A1115" s="6" t="s">
        <v>3959</v>
      </c>
      <c r="B1115" s="6" t="s">
        <v>3934</v>
      </c>
      <c r="C1115" s="6" t="s">
        <v>3960</v>
      </c>
      <c r="D1115" s="15" t="s">
        <v>35</v>
      </c>
      <c r="E1115" s="15" t="s">
        <v>3961</v>
      </c>
      <c r="F1115" s="16" t="s">
        <v>3962</v>
      </c>
      <c r="G1115" s="6" t="s">
        <v>37</v>
      </c>
      <c r="H1115" s="6" t="s">
        <v>3963</v>
      </c>
    </row>
    <row r="1116" ht="12.75" customHeight="1">
      <c r="A1116" s="6" t="s">
        <v>3964</v>
      </c>
      <c r="B1116" s="6" t="s">
        <v>3934</v>
      </c>
      <c r="C1116" s="6" t="s">
        <v>221</v>
      </c>
      <c r="D1116" s="15" t="s">
        <v>222</v>
      </c>
      <c r="E1116" s="15" t="s">
        <v>35</v>
      </c>
      <c r="F1116" s="16" t="s">
        <v>3965</v>
      </c>
      <c r="G1116" s="6" t="s">
        <v>37</v>
      </c>
      <c r="H1116" s="6" t="s">
        <v>3966</v>
      </c>
    </row>
    <row r="1117" ht="12.75" customHeight="1">
      <c r="A1117" s="6" t="s">
        <v>3967</v>
      </c>
      <c r="B1117" s="6" t="s">
        <v>3934</v>
      </c>
      <c r="C1117" s="6" t="s">
        <v>397</v>
      </c>
      <c r="D1117" s="15" t="s">
        <v>3968</v>
      </c>
      <c r="E1117" s="15" t="s">
        <v>35</v>
      </c>
      <c r="F1117" s="16" t="s">
        <v>3969</v>
      </c>
      <c r="G1117" s="6" t="s">
        <v>37</v>
      </c>
      <c r="H1117" s="6" t="s">
        <v>3970</v>
      </c>
    </row>
    <row r="1118" ht="12.75" customHeight="1">
      <c r="A1118" s="6" t="s">
        <v>3971</v>
      </c>
      <c r="B1118" s="6" t="s">
        <v>3972</v>
      </c>
      <c r="C1118" s="6" t="s">
        <v>3885</v>
      </c>
      <c r="D1118" s="15" t="s">
        <v>46</v>
      </c>
      <c r="E1118" s="15" t="s">
        <v>35</v>
      </c>
      <c r="F1118" s="16" t="s">
        <v>3973</v>
      </c>
      <c r="G1118" s="6" t="s">
        <v>37</v>
      </c>
      <c r="H1118" s="6" t="s">
        <v>3974</v>
      </c>
    </row>
    <row r="1119" ht="12.75" customHeight="1">
      <c r="A1119" s="6" t="s">
        <v>3975</v>
      </c>
      <c r="B1119" s="6" t="s">
        <v>3972</v>
      </c>
      <c r="C1119" s="6" t="s">
        <v>3976</v>
      </c>
      <c r="D1119" s="15" t="s">
        <v>3484</v>
      </c>
      <c r="E1119" s="15" t="s">
        <v>35</v>
      </c>
      <c r="F1119" s="16" t="s">
        <v>3977</v>
      </c>
      <c r="G1119" s="6" t="s">
        <v>37</v>
      </c>
      <c r="H1119" s="6" t="s">
        <v>3978</v>
      </c>
    </row>
    <row r="1120" ht="12.75" customHeight="1">
      <c r="A1120" s="6" t="s">
        <v>3979</v>
      </c>
      <c r="B1120" s="6" t="s">
        <v>3972</v>
      </c>
      <c r="C1120" s="6" t="s">
        <v>3980</v>
      </c>
      <c r="D1120" s="15" t="s">
        <v>41</v>
      </c>
      <c r="E1120" s="15" t="s">
        <v>35</v>
      </c>
      <c r="F1120" s="16" t="s">
        <v>3981</v>
      </c>
      <c r="G1120" s="6" t="s">
        <v>37</v>
      </c>
      <c r="H1120" s="6" t="s">
        <v>3982</v>
      </c>
    </row>
    <row r="1121" ht="12.75" customHeight="1">
      <c r="A1121" s="6" t="s">
        <v>3983</v>
      </c>
      <c r="B1121" s="6" t="s">
        <v>3972</v>
      </c>
      <c r="C1121" s="6" t="s">
        <v>3984</v>
      </c>
      <c r="D1121" s="15" t="s">
        <v>3985</v>
      </c>
      <c r="E1121" s="15" t="s">
        <v>35</v>
      </c>
      <c r="F1121" s="16" t="s">
        <v>3986</v>
      </c>
      <c r="G1121" s="6" t="s">
        <v>37</v>
      </c>
      <c r="H1121" s="6" t="s">
        <v>3987</v>
      </c>
    </row>
    <row r="1122" ht="12.75" customHeight="1">
      <c r="A1122" s="6" t="s">
        <v>3988</v>
      </c>
      <c r="B1122" s="6" t="s">
        <v>3972</v>
      </c>
      <c r="C1122" s="6" t="s">
        <v>3989</v>
      </c>
      <c r="D1122" s="15" t="s">
        <v>3990</v>
      </c>
      <c r="E1122" s="15" t="s">
        <v>35</v>
      </c>
      <c r="F1122" s="16" t="s">
        <v>3991</v>
      </c>
      <c r="G1122" s="6" t="s">
        <v>37</v>
      </c>
      <c r="H1122" s="6" t="s">
        <v>3992</v>
      </c>
    </row>
    <row r="1123" ht="12.75" customHeight="1">
      <c r="A1123" s="6" t="s">
        <v>3993</v>
      </c>
      <c r="B1123" s="6" t="s">
        <v>3972</v>
      </c>
      <c r="C1123" s="6" t="s">
        <v>3994</v>
      </c>
      <c r="D1123" s="15" t="s">
        <v>1994</v>
      </c>
      <c r="E1123" s="15" t="s">
        <v>35</v>
      </c>
      <c r="F1123" s="16" t="s">
        <v>3995</v>
      </c>
      <c r="G1123" s="6" t="s">
        <v>37</v>
      </c>
      <c r="H1123" s="6" t="s">
        <v>3996</v>
      </c>
    </row>
    <row r="1124" ht="12.75" customHeight="1">
      <c r="A1124" s="6" t="s">
        <v>3997</v>
      </c>
      <c r="B1124" s="6" t="s">
        <v>3972</v>
      </c>
      <c r="C1124" s="6" t="s">
        <v>3998</v>
      </c>
      <c r="D1124" s="15" t="s">
        <v>35</v>
      </c>
      <c r="E1124" s="15" t="s">
        <v>65</v>
      </c>
      <c r="F1124" s="16" t="s">
        <v>3999</v>
      </c>
      <c r="G1124" s="6" t="s">
        <v>37</v>
      </c>
      <c r="H1124" s="6" t="s">
        <v>4000</v>
      </c>
    </row>
    <row r="1125" ht="12.75" customHeight="1">
      <c r="A1125" s="6" t="s">
        <v>4001</v>
      </c>
      <c r="B1125" s="6" t="s">
        <v>3972</v>
      </c>
      <c r="C1125" s="6" t="s">
        <v>3885</v>
      </c>
      <c r="D1125" s="15" t="s">
        <v>2725</v>
      </c>
      <c r="E1125" s="15" t="s">
        <v>35</v>
      </c>
      <c r="F1125" s="16" t="s">
        <v>4002</v>
      </c>
      <c r="G1125" s="6" t="s">
        <v>37</v>
      </c>
      <c r="H1125" s="6" t="s">
        <v>4003</v>
      </c>
    </row>
    <row r="1126" ht="12.75" customHeight="1">
      <c r="A1126" s="6" t="s">
        <v>4004</v>
      </c>
      <c r="B1126" s="6" t="s">
        <v>3972</v>
      </c>
      <c r="C1126" s="6" t="s">
        <v>3885</v>
      </c>
      <c r="D1126" s="15" t="s">
        <v>299</v>
      </c>
      <c r="E1126" s="15" t="s">
        <v>35</v>
      </c>
      <c r="F1126" s="16" t="s">
        <v>4005</v>
      </c>
      <c r="G1126" s="6" t="s">
        <v>37</v>
      </c>
      <c r="H1126" s="6" t="s">
        <v>4006</v>
      </c>
    </row>
    <row r="1127" ht="12.75" customHeight="1">
      <c r="A1127" s="6" t="s">
        <v>4007</v>
      </c>
      <c r="B1127" s="6" t="s">
        <v>4008</v>
      </c>
      <c r="C1127" s="6" t="s">
        <v>33</v>
      </c>
      <c r="D1127" s="15" t="s">
        <v>711</v>
      </c>
      <c r="E1127" s="15" t="s">
        <v>35</v>
      </c>
      <c r="F1127" s="16" t="s">
        <v>4009</v>
      </c>
      <c r="G1127" s="6" t="s">
        <v>37</v>
      </c>
      <c r="H1127" s="6" t="s">
        <v>4010</v>
      </c>
    </row>
    <row r="1128" ht="12.75" customHeight="1">
      <c r="A1128" s="6" t="s">
        <v>4011</v>
      </c>
      <c r="B1128" s="6" t="s">
        <v>4008</v>
      </c>
      <c r="C1128" s="6" t="s">
        <v>4012</v>
      </c>
      <c r="D1128" s="15" t="s">
        <v>35</v>
      </c>
      <c r="E1128" s="15" t="s">
        <v>4013</v>
      </c>
      <c r="F1128" s="16" t="s">
        <v>4014</v>
      </c>
      <c r="G1128" s="6" t="s">
        <v>37</v>
      </c>
      <c r="H1128" s="6" t="s">
        <v>4015</v>
      </c>
    </row>
    <row r="1129" ht="12.75" customHeight="1">
      <c r="A1129" s="6" t="s">
        <v>4016</v>
      </c>
      <c r="B1129" s="6" t="s">
        <v>4008</v>
      </c>
      <c r="C1129" s="6" t="s">
        <v>221</v>
      </c>
      <c r="D1129" s="15" t="s">
        <v>222</v>
      </c>
      <c r="E1129" s="15" t="s">
        <v>35</v>
      </c>
      <c r="F1129" s="16" t="s">
        <v>4017</v>
      </c>
      <c r="G1129" s="6" t="s">
        <v>37</v>
      </c>
      <c r="H1129" s="6" t="s">
        <v>4018</v>
      </c>
    </row>
    <row r="1130" ht="12.75" customHeight="1">
      <c r="A1130" s="6" t="s">
        <v>4019</v>
      </c>
      <c r="B1130" s="6" t="s">
        <v>4008</v>
      </c>
      <c r="C1130" s="6" t="s">
        <v>397</v>
      </c>
      <c r="D1130" s="15" t="s">
        <v>4020</v>
      </c>
      <c r="E1130" s="15" t="s">
        <v>35</v>
      </c>
      <c r="F1130" s="16" t="s">
        <v>4021</v>
      </c>
      <c r="G1130" s="6" t="s">
        <v>37</v>
      </c>
      <c r="H1130" s="6" t="s">
        <v>4022</v>
      </c>
    </row>
    <row r="1131" ht="12.75" customHeight="1">
      <c r="A1131" s="6" t="s">
        <v>4023</v>
      </c>
      <c r="B1131" s="6" t="s">
        <v>4024</v>
      </c>
      <c r="C1131" s="6" t="s">
        <v>4025</v>
      </c>
      <c r="D1131" s="15" t="s">
        <v>35</v>
      </c>
      <c r="E1131" s="15" t="s">
        <v>65</v>
      </c>
      <c r="F1131" s="16" t="s">
        <v>4026</v>
      </c>
      <c r="G1131" s="6" t="s">
        <v>37</v>
      </c>
      <c r="H1131" s="6" t="s">
        <v>4027</v>
      </c>
    </row>
    <row r="1132" ht="12.75" customHeight="1">
      <c r="A1132" s="6" t="s">
        <v>4028</v>
      </c>
      <c r="B1132" s="6" t="s">
        <v>4024</v>
      </c>
      <c r="C1132" s="6" t="s">
        <v>33</v>
      </c>
      <c r="D1132" s="15" t="s">
        <v>50</v>
      </c>
      <c r="E1132" s="15" t="s">
        <v>35</v>
      </c>
      <c r="F1132" s="16" t="s">
        <v>4029</v>
      </c>
      <c r="G1132" s="6" t="s">
        <v>37</v>
      </c>
      <c r="H1132" s="6" t="s">
        <v>4030</v>
      </c>
    </row>
    <row r="1133" ht="12.75" customHeight="1">
      <c r="A1133" s="6" t="s">
        <v>4031</v>
      </c>
      <c r="B1133" s="6" t="s">
        <v>4024</v>
      </c>
      <c r="C1133" s="6" t="s">
        <v>4032</v>
      </c>
      <c r="D1133" s="15" t="s">
        <v>35</v>
      </c>
      <c r="E1133" s="15" t="s">
        <v>318</v>
      </c>
      <c r="F1133" s="16" t="s">
        <v>4033</v>
      </c>
      <c r="G1133" s="6" t="s">
        <v>37</v>
      </c>
      <c r="H1133" s="6" t="s">
        <v>4034</v>
      </c>
    </row>
    <row r="1134" ht="12.75" customHeight="1">
      <c r="A1134" s="6" t="s">
        <v>4035</v>
      </c>
      <c r="B1134" s="6" t="s">
        <v>4024</v>
      </c>
      <c r="C1134" s="6" t="s">
        <v>221</v>
      </c>
      <c r="D1134" s="15" t="s">
        <v>222</v>
      </c>
      <c r="E1134" s="15" t="s">
        <v>35</v>
      </c>
      <c r="F1134" s="16" t="s">
        <v>4036</v>
      </c>
      <c r="G1134" s="6" t="s">
        <v>37</v>
      </c>
      <c r="H1134" s="6" t="s">
        <v>4037</v>
      </c>
    </row>
    <row r="1135" ht="12.75" customHeight="1">
      <c r="A1135" s="6" t="s">
        <v>4038</v>
      </c>
      <c r="B1135" s="6" t="s">
        <v>4024</v>
      </c>
      <c r="C1135" s="6" t="s">
        <v>4039</v>
      </c>
      <c r="D1135" s="15" t="s">
        <v>4040</v>
      </c>
      <c r="E1135" s="15" t="s">
        <v>35</v>
      </c>
      <c r="F1135" s="16" t="s">
        <v>4041</v>
      </c>
      <c r="G1135" s="6" t="s">
        <v>868</v>
      </c>
      <c r="H1135" s="6" t="s">
        <v>4042</v>
      </c>
    </row>
    <row r="1136" ht="12.75" customHeight="1">
      <c r="A1136" s="6" t="s">
        <v>4043</v>
      </c>
      <c r="B1136" s="6" t="s">
        <v>4024</v>
      </c>
      <c r="C1136" s="6" t="s">
        <v>4044</v>
      </c>
      <c r="D1136" s="15" t="s">
        <v>35</v>
      </c>
      <c r="E1136" s="15" t="s">
        <v>65</v>
      </c>
      <c r="F1136" s="16" t="s">
        <v>4045</v>
      </c>
      <c r="G1136" s="6" t="s">
        <v>37</v>
      </c>
      <c r="H1136" s="6" t="s">
        <v>4046</v>
      </c>
    </row>
    <row r="1137" ht="12.75" customHeight="1">
      <c r="A1137" s="6" t="s">
        <v>4047</v>
      </c>
      <c r="B1137" s="6" t="s">
        <v>4024</v>
      </c>
      <c r="C1137" s="6" t="s">
        <v>4048</v>
      </c>
      <c r="D1137" s="15" t="s">
        <v>65</v>
      </c>
      <c r="E1137" s="15" t="s">
        <v>35</v>
      </c>
      <c r="F1137" s="16" t="s">
        <v>4041</v>
      </c>
      <c r="G1137" s="6" t="s">
        <v>37</v>
      </c>
      <c r="H1137" s="6" t="s">
        <v>4049</v>
      </c>
    </row>
    <row r="1138" ht="12.75" customHeight="1">
      <c r="A1138" s="6" t="s">
        <v>4050</v>
      </c>
      <c r="B1138" s="6" t="s">
        <v>4024</v>
      </c>
      <c r="C1138" s="6" t="s">
        <v>3885</v>
      </c>
      <c r="D1138" s="15" t="s">
        <v>890</v>
      </c>
      <c r="E1138" s="15" t="s">
        <v>35</v>
      </c>
      <c r="F1138" s="16" t="s">
        <v>4051</v>
      </c>
      <c r="G1138" s="6" t="s">
        <v>37</v>
      </c>
      <c r="H1138" s="6" t="s">
        <v>4052</v>
      </c>
    </row>
    <row r="1139" ht="12.75" customHeight="1">
      <c r="A1139" s="6" t="s">
        <v>4053</v>
      </c>
      <c r="B1139" s="6" t="s">
        <v>4054</v>
      </c>
      <c r="C1139" s="6" t="s">
        <v>3885</v>
      </c>
      <c r="D1139" s="15" t="s">
        <v>123</v>
      </c>
      <c r="E1139" s="15" t="s">
        <v>35</v>
      </c>
      <c r="F1139" s="16" t="s">
        <v>4055</v>
      </c>
      <c r="G1139" s="6" t="s">
        <v>37</v>
      </c>
      <c r="H1139" s="6" t="s">
        <v>4056</v>
      </c>
    </row>
    <row r="1140" ht="12.75" customHeight="1">
      <c r="A1140" s="6" t="s">
        <v>4057</v>
      </c>
      <c r="B1140" s="6" t="s">
        <v>4054</v>
      </c>
      <c r="C1140" s="6" t="s">
        <v>4058</v>
      </c>
      <c r="D1140" s="15" t="s">
        <v>35</v>
      </c>
      <c r="E1140" s="15" t="s">
        <v>335</v>
      </c>
      <c r="F1140" s="16" t="s">
        <v>4059</v>
      </c>
      <c r="G1140" s="6" t="s">
        <v>37</v>
      </c>
      <c r="H1140" s="6" t="s">
        <v>4060</v>
      </c>
    </row>
    <row r="1141" ht="12.75" customHeight="1">
      <c r="A1141" s="6" t="s">
        <v>4061</v>
      </c>
      <c r="B1141" s="6" t="s">
        <v>4062</v>
      </c>
      <c r="C1141" s="6" t="s">
        <v>4063</v>
      </c>
      <c r="D1141" s="15" t="s">
        <v>2038</v>
      </c>
      <c r="E1141" s="15" t="s">
        <v>35</v>
      </c>
      <c r="F1141" s="16" t="s">
        <v>4064</v>
      </c>
      <c r="G1141" s="6" t="s">
        <v>37</v>
      </c>
      <c r="H1141" s="6" t="s">
        <v>4065</v>
      </c>
    </row>
    <row r="1142" ht="12.75" customHeight="1">
      <c r="A1142" s="6" t="s">
        <v>4066</v>
      </c>
      <c r="B1142" s="6" t="s">
        <v>4062</v>
      </c>
      <c r="C1142" s="6" t="s">
        <v>3885</v>
      </c>
      <c r="D1142" s="15" t="s">
        <v>41</v>
      </c>
      <c r="E1142" s="15" t="s">
        <v>35</v>
      </c>
      <c r="F1142" s="16" t="s">
        <v>4067</v>
      </c>
      <c r="G1142" s="6" t="s">
        <v>37</v>
      </c>
      <c r="H1142" s="6" t="s">
        <v>4068</v>
      </c>
    </row>
    <row r="1143" ht="12.75" customHeight="1">
      <c r="A1143" s="6" t="s">
        <v>4069</v>
      </c>
      <c r="B1143" s="6" t="s">
        <v>4062</v>
      </c>
      <c r="C1143" s="6" t="s">
        <v>70</v>
      </c>
      <c r="D1143" s="15" t="s">
        <v>97</v>
      </c>
      <c r="E1143" s="15" t="s">
        <v>35</v>
      </c>
      <c r="F1143" s="16" t="s">
        <v>4070</v>
      </c>
      <c r="G1143" s="6" t="s">
        <v>37</v>
      </c>
      <c r="H1143" s="6" t="s">
        <v>4071</v>
      </c>
    </row>
    <row r="1144" ht="12.75" customHeight="1">
      <c r="A1144" s="6" t="s">
        <v>4072</v>
      </c>
      <c r="B1144" s="6" t="s">
        <v>4062</v>
      </c>
      <c r="C1144" s="6" t="s">
        <v>4073</v>
      </c>
      <c r="D1144" s="15" t="s">
        <v>123</v>
      </c>
      <c r="E1144" s="15" t="s">
        <v>35</v>
      </c>
      <c r="F1144" s="16" t="s">
        <v>4074</v>
      </c>
      <c r="G1144" s="6" t="s">
        <v>37</v>
      </c>
      <c r="H1144" s="6" t="s">
        <v>4075</v>
      </c>
    </row>
    <row r="1145" ht="12.75" customHeight="1">
      <c r="A1145" s="6" t="s">
        <v>4076</v>
      </c>
      <c r="B1145" s="6" t="s">
        <v>4077</v>
      </c>
      <c r="C1145" s="6" t="s">
        <v>3885</v>
      </c>
      <c r="D1145" s="15" t="s">
        <v>123</v>
      </c>
      <c r="E1145" s="15" t="s">
        <v>35</v>
      </c>
      <c r="F1145" s="16" t="s">
        <v>4078</v>
      </c>
      <c r="G1145" s="6" t="s">
        <v>37</v>
      </c>
      <c r="H1145" s="6" t="s">
        <v>4079</v>
      </c>
    </row>
    <row r="1146" ht="12.75" customHeight="1">
      <c r="A1146" s="6" t="s">
        <v>4080</v>
      </c>
      <c r="B1146" s="6" t="s">
        <v>4081</v>
      </c>
      <c r="C1146" s="6" t="s">
        <v>3885</v>
      </c>
      <c r="D1146" s="15" t="s">
        <v>97</v>
      </c>
      <c r="E1146" s="15" t="s">
        <v>35</v>
      </c>
      <c r="F1146" s="16" t="s">
        <v>4082</v>
      </c>
      <c r="G1146" s="6" t="s">
        <v>37</v>
      </c>
      <c r="H1146" s="6" t="s">
        <v>4083</v>
      </c>
    </row>
    <row r="1147" ht="12.75" customHeight="1">
      <c r="A1147" s="6" t="s">
        <v>4084</v>
      </c>
      <c r="B1147" s="6" t="s">
        <v>4085</v>
      </c>
      <c r="C1147" s="6" t="s">
        <v>3885</v>
      </c>
      <c r="D1147" s="15" t="s">
        <v>443</v>
      </c>
      <c r="E1147" s="15" t="s">
        <v>35</v>
      </c>
      <c r="F1147" s="16" t="s">
        <v>4086</v>
      </c>
      <c r="G1147" s="6" t="s">
        <v>37</v>
      </c>
      <c r="H1147" s="6" t="s">
        <v>4087</v>
      </c>
    </row>
    <row r="1148" ht="12.75" customHeight="1">
      <c r="A1148" s="6" t="s">
        <v>4088</v>
      </c>
      <c r="B1148" s="6" t="s">
        <v>4089</v>
      </c>
      <c r="C1148" s="6" t="s">
        <v>3885</v>
      </c>
      <c r="D1148" s="15" t="s">
        <v>41</v>
      </c>
      <c r="E1148" s="15" t="s">
        <v>35</v>
      </c>
      <c r="F1148" s="16" t="s">
        <v>4090</v>
      </c>
      <c r="G1148" s="6" t="s">
        <v>37</v>
      </c>
      <c r="H1148" s="6" t="s">
        <v>4091</v>
      </c>
    </row>
    <row r="1149" ht="12.75" customHeight="1">
      <c r="A1149" s="6" t="s">
        <v>4092</v>
      </c>
      <c r="B1149" s="6" t="s">
        <v>4093</v>
      </c>
      <c r="C1149" s="6" t="s">
        <v>3885</v>
      </c>
      <c r="D1149" s="15" t="s">
        <v>34</v>
      </c>
      <c r="E1149" s="15" t="s">
        <v>35</v>
      </c>
      <c r="F1149" s="16" t="s">
        <v>4094</v>
      </c>
      <c r="G1149" s="6" t="s">
        <v>37</v>
      </c>
      <c r="H1149" s="6" t="s">
        <v>4095</v>
      </c>
    </row>
    <row r="1150" ht="12.75" customHeight="1">
      <c r="A1150" s="6" t="s">
        <v>4096</v>
      </c>
      <c r="B1150" s="6" t="s">
        <v>4093</v>
      </c>
      <c r="C1150" s="6" t="s">
        <v>4097</v>
      </c>
      <c r="D1150" s="15" t="s">
        <v>50</v>
      </c>
      <c r="E1150" s="15" t="s">
        <v>35</v>
      </c>
      <c r="F1150" s="16" t="s">
        <v>4098</v>
      </c>
      <c r="G1150" s="6" t="s">
        <v>37</v>
      </c>
      <c r="H1150" s="6" t="s">
        <v>4099</v>
      </c>
    </row>
    <row r="1151" ht="12.75" customHeight="1">
      <c r="A1151" s="6" t="s">
        <v>4100</v>
      </c>
      <c r="B1151" s="6" t="s">
        <v>4093</v>
      </c>
      <c r="C1151" s="6" t="s">
        <v>33</v>
      </c>
      <c r="D1151" s="15" t="s">
        <v>41</v>
      </c>
      <c r="E1151" s="15" t="s">
        <v>35</v>
      </c>
      <c r="F1151" s="16" t="s">
        <v>4101</v>
      </c>
      <c r="G1151" s="6" t="s">
        <v>37</v>
      </c>
      <c r="H1151" s="6" t="s">
        <v>4102</v>
      </c>
    </row>
    <row r="1152" ht="12.75" customHeight="1">
      <c r="A1152" s="6" t="s">
        <v>4103</v>
      </c>
      <c r="B1152" s="6" t="s">
        <v>4093</v>
      </c>
      <c r="C1152" s="6" t="s">
        <v>40</v>
      </c>
      <c r="D1152" s="15" t="s">
        <v>35</v>
      </c>
      <c r="E1152" s="15" t="s">
        <v>71</v>
      </c>
      <c r="F1152" s="16" t="s">
        <v>4104</v>
      </c>
      <c r="G1152" s="6" t="s">
        <v>37</v>
      </c>
      <c r="H1152" s="6" t="s">
        <v>4105</v>
      </c>
    </row>
    <row r="1153" ht="12.75" customHeight="1">
      <c r="A1153" s="6" t="s">
        <v>4106</v>
      </c>
      <c r="B1153" s="6" t="s">
        <v>4093</v>
      </c>
      <c r="C1153" s="6" t="s">
        <v>3885</v>
      </c>
      <c r="D1153" s="15" t="s">
        <v>183</v>
      </c>
      <c r="E1153" s="15" t="s">
        <v>35</v>
      </c>
      <c r="F1153" s="16" t="s">
        <v>4107</v>
      </c>
      <c r="G1153" s="6" t="s">
        <v>37</v>
      </c>
      <c r="H1153" s="6" t="s">
        <v>4108</v>
      </c>
    </row>
    <row r="1154" ht="12.75" customHeight="1">
      <c r="A1154" s="6" t="s">
        <v>4109</v>
      </c>
      <c r="B1154" s="6" t="s">
        <v>4110</v>
      </c>
      <c r="C1154" s="6" t="s">
        <v>3885</v>
      </c>
      <c r="D1154" s="15" t="s">
        <v>890</v>
      </c>
      <c r="E1154" s="15" t="s">
        <v>35</v>
      </c>
      <c r="F1154" s="16" t="s">
        <v>4111</v>
      </c>
      <c r="G1154" s="6" t="s">
        <v>37</v>
      </c>
      <c r="H1154" s="6" t="s">
        <v>4112</v>
      </c>
    </row>
    <row r="1155" ht="12.75" customHeight="1">
      <c r="A1155" s="6" t="s">
        <v>4113</v>
      </c>
      <c r="B1155" s="6" t="s">
        <v>4110</v>
      </c>
      <c r="C1155" s="6" t="s">
        <v>4114</v>
      </c>
      <c r="D1155" s="15" t="s">
        <v>34</v>
      </c>
      <c r="E1155" s="15" t="s">
        <v>35</v>
      </c>
      <c r="F1155" s="16" t="s">
        <v>4115</v>
      </c>
      <c r="G1155" s="6" t="s">
        <v>37</v>
      </c>
      <c r="H1155" s="6" t="s">
        <v>4116</v>
      </c>
    </row>
    <row r="1156" ht="12.75" customHeight="1">
      <c r="A1156" s="6" t="s">
        <v>4117</v>
      </c>
      <c r="B1156" s="6" t="s">
        <v>4118</v>
      </c>
      <c r="C1156" s="6" t="s">
        <v>4119</v>
      </c>
      <c r="D1156" s="15" t="s">
        <v>35</v>
      </c>
      <c r="E1156" s="15" t="s">
        <v>71</v>
      </c>
      <c r="F1156" s="16" t="s">
        <v>4120</v>
      </c>
      <c r="G1156" s="6" t="s">
        <v>37</v>
      </c>
      <c r="H1156" s="6" t="s">
        <v>4121</v>
      </c>
    </row>
    <row r="1157" ht="12.75" customHeight="1">
      <c r="A1157" s="6" t="s">
        <v>4122</v>
      </c>
      <c r="B1157" s="6" t="s">
        <v>4118</v>
      </c>
      <c r="C1157" s="6" t="s">
        <v>3885</v>
      </c>
      <c r="D1157" s="15" t="s">
        <v>890</v>
      </c>
      <c r="E1157" s="15" t="s">
        <v>35</v>
      </c>
      <c r="F1157" s="16" t="s">
        <v>4123</v>
      </c>
      <c r="G1157" s="6" t="s">
        <v>37</v>
      </c>
      <c r="H1157" s="6" t="s">
        <v>4124</v>
      </c>
    </row>
    <row r="1158" ht="12.75" customHeight="1">
      <c r="A1158" s="6" t="s">
        <v>4125</v>
      </c>
      <c r="B1158" s="6" t="s">
        <v>4118</v>
      </c>
      <c r="C1158" s="6" t="s">
        <v>168</v>
      </c>
      <c r="D1158" s="15" t="s">
        <v>35</v>
      </c>
      <c r="E1158" s="15" t="s">
        <v>97</v>
      </c>
      <c r="F1158" s="16" t="s">
        <v>4126</v>
      </c>
      <c r="G1158" s="6" t="s">
        <v>37</v>
      </c>
      <c r="H1158" s="6" t="s">
        <v>4127</v>
      </c>
    </row>
    <row r="1159" ht="12.75" customHeight="1">
      <c r="A1159" s="6" t="s">
        <v>4128</v>
      </c>
      <c r="B1159" s="6" t="s">
        <v>4129</v>
      </c>
      <c r="C1159" s="6" t="s">
        <v>2412</v>
      </c>
      <c r="D1159" s="15" t="s">
        <v>211</v>
      </c>
      <c r="E1159" s="15" t="s">
        <v>35</v>
      </c>
      <c r="F1159" s="16" t="s">
        <v>4098</v>
      </c>
      <c r="G1159" s="6" t="s">
        <v>37</v>
      </c>
      <c r="H1159" s="6" t="s">
        <v>4130</v>
      </c>
    </row>
    <row r="1160" ht="12.75" customHeight="1">
      <c r="A1160" s="6" t="s">
        <v>4131</v>
      </c>
      <c r="B1160" s="6" t="s">
        <v>4129</v>
      </c>
      <c r="C1160" s="6" t="s">
        <v>33</v>
      </c>
      <c r="D1160" s="15" t="s">
        <v>34</v>
      </c>
      <c r="E1160" s="15" t="s">
        <v>35</v>
      </c>
      <c r="F1160" s="16" t="s">
        <v>4132</v>
      </c>
      <c r="G1160" s="6" t="s">
        <v>37</v>
      </c>
      <c r="H1160" s="6" t="s">
        <v>4133</v>
      </c>
    </row>
    <row r="1161" ht="12.75" customHeight="1">
      <c r="A1161" s="6" t="s">
        <v>4134</v>
      </c>
      <c r="B1161" s="6" t="s">
        <v>4135</v>
      </c>
      <c r="C1161" s="6" t="s">
        <v>4136</v>
      </c>
      <c r="D1161" s="15" t="s">
        <v>35</v>
      </c>
      <c r="E1161" s="15" t="s">
        <v>374</v>
      </c>
      <c r="F1161" s="16" t="s">
        <v>4137</v>
      </c>
      <c r="G1161" s="6" t="s">
        <v>37</v>
      </c>
      <c r="H1161" s="6" t="s">
        <v>4138</v>
      </c>
    </row>
    <row r="1162" ht="12.75" customHeight="1">
      <c r="A1162" s="6" t="s">
        <v>4139</v>
      </c>
      <c r="B1162" s="6" t="s">
        <v>4135</v>
      </c>
      <c r="C1162" s="6" t="s">
        <v>221</v>
      </c>
      <c r="D1162" s="15" t="s">
        <v>222</v>
      </c>
      <c r="E1162" s="15" t="s">
        <v>35</v>
      </c>
      <c r="F1162" s="16" t="s">
        <v>4140</v>
      </c>
      <c r="G1162" s="6" t="s">
        <v>37</v>
      </c>
      <c r="H1162" s="6" t="s">
        <v>4141</v>
      </c>
    </row>
    <row r="1163" ht="12.75" customHeight="1">
      <c r="A1163" s="6" t="s">
        <v>4142</v>
      </c>
      <c r="B1163" s="6" t="s">
        <v>4135</v>
      </c>
      <c r="C1163" s="6" t="s">
        <v>912</v>
      </c>
      <c r="D1163" s="15" t="s">
        <v>35</v>
      </c>
      <c r="E1163" s="15" t="s">
        <v>97</v>
      </c>
      <c r="F1163" s="16" t="s">
        <v>4143</v>
      </c>
      <c r="G1163" s="6" t="s">
        <v>37</v>
      </c>
      <c r="H1163" s="6" t="s">
        <v>4144</v>
      </c>
    </row>
    <row r="1164" ht="12.75" customHeight="1">
      <c r="A1164" s="6" t="s">
        <v>4145</v>
      </c>
      <c r="B1164" s="6" t="s">
        <v>4135</v>
      </c>
      <c r="C1164" s="6" t="s">
        <v>3381</v>
      </c>
      <c r="D1164" s="15" t="s">
        <v>4146</v>
      </c>
      <c r="E1164" s="15" t="s">
        <v>35</v>
      </c>
      <c r="F1164" s="16" t="s">
        <v>4147</v>
      </c>
      <c r="G1164" s="6" t="s">
        <v>37</v>
      </c>
      <c r="H1164" s="6" t="s">
        <v>4148</v>
      </c>
    </row>
    <row r="1165" ht="12.75" customHeight="1">
      <c r="A1165" s="6" t="s">
        <v>4149</v>
      </c>
      <c r="B1165" s="6" t="s">
        <v>4135</v>
      </c>
      <c r="C1165" s="6" t="s">
        <v>2412</v>
      </c>
      <c r="D1165" s="15" t="s">
        <v>855</v>
      </c>
      <c r="E1165" s="15" t="s">
        <v>35</v>
      </c>
      <c r="F1165" s="16" t="s">
        <v>4150</v>
      </c>
      <c r="G1165" s="6" t="s">
        <v>37</v>
      </c>
      <c r="H1165" s="6" t="s">
        <v>4151</v>
      </c>
    </row>
    <row r="1166" ht="12.75" customHeight="1">
      <c r="A1166" s="6" t="s">
        <v>4152</v>
      </c>
      <c r="B1166" s="6" t="s">
        <v>4135</v>
      </c>
      <c r="C1166" s="6" t="s">
        <v>33</v>
      </c>
      <c r="D1166" s="15" t="s">
        <v>55</v>
      </c>
      <c r="E1166" s="15" t="s">
        <v>35</v>
      </c>
      <c r="F1166" s="16" t="s">
        <v>4153</v>
      </c>
      <c r="G1166" s="6" t="s">
        <v>37</v>
      </c>
      <c r="H1166" s="6" t="s">
        <v>4154</v>
      </c>
    </row>
    <row r="1167" ht="12.75" customHeight="1">
      <c r="A1167" s="6" t="s">
        <v>4155</v>
      </c>
      <c r="B1167" s="6" t="s">
        <v>4156</v>
      </c>
      <c r="C1167" s="6" t="s">
        <v>3247</v>
      </c>
      <c r="D1167" s="15" t="s">
        <v>35</v>
      </c>
      <c r="E1167" s="15" t="s">
        <v>65</v>
      </c>
      <c r="F1167" s="16" t="s">
        <v>4157</v>
      </c>
      <c r="G1167" s="6" t="s">
        <v>37</v>
      </c>
      <c r="H1167" s="6" t="s">
        <v>4158</v>
      </c>
    </row>
    <row r="1168" ht="12.75" customHeight="1">
      <c r="A1168" s="6" t="s">
        <v>4159</v>
      </c>
      <c r="B1168" s="6" t="s">
        <v>4156</v>
      </c>
      <c r="C1168" s="6" t="s">
        <v>2384</v>
      </c>
      <c r="D1168" s="15" t="s">
        <v>290</v>
      </c>
      <c r="E1168" s="15" t="s">
        <v>35</v>
      </c>
      <c r="F1168" s="16" t="s">
        <v>4160</v>
      </c>
      <c r="G1168" s="6" t="s">
        <v>37</v>
      </c>
      <c r="H1168" s="6" t="s">
        <v>4161</v>
      </c>
    </row>
    <row r="1169" ht="12.75" customHeight="1">
      <c r="A1169" s="6" t="s">
        <v>4162</v>
      </c>
      <c r="B1169" s="6" t="s">
        <v>4156</v>
      </c>
      <c r="C1169" s="6" t="s">
        <v>2412</v>
      </c>
      <c r="D1169" s="15" t="s">
        <v>1412</v>
      </c>
      <c r="E1169" s="15" t="s">
        <v>35</v>
      </c>
      <c r="F1169" s="16" t="s">
        <v>4150</v>
      </c>
      <c r="G1169" s="6" t="s">
        <v>37</v>
      </c>
      <c r="H1169" s="6" t="s">
        <v>4163</v>
      </c>
    </row>
    <row r="1170" ht="12.75" customHeight="1">
      <c r="A1170" s="6" t="s">
        <v>4164</v>
      </c>
      <c r="B1170" s="6" t="s">
        <v>4165</v>
      </c>
      <c r="C1170" s="6" t="s">
        <v>4044</v>
      </c>
      <c r="D1170" s="15" t="s">
        <v>35</v>
      </c>
      <c r="E1170" s="15" t="s">
        <v>290</v>
      </c>
      <c r="F1170" s="16" t="s">
        <v>4166</v>
      </c>
      <c r="G1170" s="6" t="s">
        <v>37</v>
      </c>
      <c r="H1170" s="6" t="s">
        <v>4167</v>
      </c>
    </row>
    <row r="1171" ht="12.75" customHeight="1">
      <c r="A1171" s="6" t="s">
        <v>4168</v>
      </c>
      <c r="B1171" s="6" t="s">
        <v>4165</v>
      </c>
      <c r="C1171" s="6" t="s">
        <v>4169</v>
      </c>
      <c r="D1171" s="15" t="s">
        <v>3499</v>
      </c>
      <c r="E1171" s="15" t="s">
        <v>35</v>
      </c>
      <c r="F1171" s="16" t="s">
        <v>4153</v>
      </c>
      <c r="G1171" s="6" t="s">
        <v>37</v>
      </c>
      <c r="H1171" s="6" t="s">
        <v>4170</v>
      </c>
    </row>
    <row r="1172" ht="12.75" customHeight="1">
      <c r="A1172" s="6" t="s">
        <v>4171</v>
      </c>
      <c r="B1172" s="6" t="s">
        <v>4165</v>
      </c>
      <c r="C1172" s="6" t="s">
        <v>4172</v>
      </c>
      <c r="D1172" s="15" t="s">
        <v>35</v>
      </c>
      <c r="E1172" s="15" t="s">
        <v>515</v>
      </c>
      <c r="F1172" s="16" t="s">
        <v>4173</v>
      </c>
      <c r="G1172" s="6" t="s">
        <v>37</v>
      </c>
      <c r="H1172" s="6" t="s">
        <v>4174</v>
      </c>
    </row>
    <row r="1173" ht="12.75" customHeight="1">
      <c r="A1173" s="6" t="s">
        <v>4175</v>
      </c>
      <c r="B1173" s="6" t="s">
        <v>4165</v>
      </c>
      <c r="C1173" s="6" t="s">
        <v>4176</v>
      </c>
      <c r="D1173" s="15" t="s">
        <v>71</v>
      </c>
      <c r="E1173" s="15" t="s">
        <v>35</v>
      </c>
      <c r="F1173" s="16" t="s">
        <v>4150</v>
      </c>
      <c r="G1173" s="6" t="s">
        <v>37</v>
      </c>
      <c r="H1173" s="6" t="s">
        <v>4177</v>
      </c>
    </row>
    <row r="1174" ht="12.75" customHeight="1">
      <c r="A1174" s="6" t="s">
        <v>4178</v>
      </c>
      <c r="B1174" s="6" t="s">
        <v>4179</v>
      </c>
      <c r="C1174" s="6" t="s">
        <v>40</v>
      </c>
      <c r="D1174" s="15" t="s">
        <v>35</v>
      </c>
      <c r="E1174" s="15" t="s">
        <v>189</v>
      </c>
      <c r="F1174" s="16" t="s">
        <v>4180</v>
      </c>
      <c r="G1174" s="6" t="s">
        <v>37</v>
      </c>
      <c r="H1174" s="6" t="s">
        <v>4181</v>
      </c>
    </row>
    <row r="1175" ht="12.75" customHeight="1">
      <c r="A1175" s="6" t="s">
        <v>4182</v>
      </c>
      <c r="B1175" s="6" t="s">
        <v>4179</v>
      </c>
      <c r="C1175" s="6" t="s">
        <v>4183</v>
      </c>
      <c r="D1175" s="15" t="s">
        <v>35</v>
      </c>
      <c r="E1175" s="15" t="s">
        <v>3985</v>
      </c>
      <c r="F1175" s="16" t="s">
        <v>4184</v>
      </c>
      <c r="G1175" s="6" t="s">
        <v>37</v>
      </c>
      <c r="H1175" s="6" t="s">
        <v>4185</v>
      </c>
    </row>
    <row r="1176" ht="12.75" customHeight="1">
      <c r="A1176" s="6" t="s">
        <v>4186</v>
      </c>
      <c r="B1176" s="6" t="s">
        <v>4179</v>
      </c>
      <c r="C1176" s="6" t="s">
        <v>4176</v>
      </c>
      <c r="D1176" s="15" t="s">
        <v>189</v>
      </c>
      <c r="E1176" s="15" t="s">
        <v>35</v>
      </c>
      <c r="F1176" s="16" t="s">
        <v>4187</v>
      </c>
      <c r="G1176" s="6" t="s">
        <v>37</v>
      </c>
      <c r="H1176" s="6" t="s">
        <v>4188</v>
      </c>
    </row>
    <row r="1177" ht="12.75" customHeight="1">
      <c r="A1177" s="6" t="s">
        <v>4189</v>
      </c>
      <c r="B1177" s="6" t="s">
        <v>4179</v>
      </c>
      <c r="C1177" s="6" t="s">
        <v>4190</v>
      </c>
      <c r="D1177" s="15" t="s">
        <v>4191</v>
      </c>
      <c r="E1177" s="15" t="s">
        <v>35</v>
      </c>
      <c r="F1177" s="16" t="s">
        <v>4192</v>
      </c>
      <c r="G1177" s="6" t="s">
        <v>868</v>
      </c>
      <c r="H1177" s="6" t="s">
        <v>4193</v>
      </c>
    </row>
    <row r="1178" ht="12.75" customHeight="1">
      <c r="A1178" s="6" t="s">
        <v>4194</v>
      </c>
      <c r="B1178" s="6" t="s">
        <v>4195</v>
      </c>
      <c r="C1178" s="6" t="s">
        <v>3694</v>
      </c>
      <c r="D1178" s="15" t="s">
        <v>34</v>
      </c>
      <c r="E1178" s="15" t="s">
        <v>35</v>
      </c>
      <c r="F1178" s="16" t="s">
        <v>4150</v>
      </c>
      <c r="G1178" s="6" t="s">
        <v>37</v>
      </c>
      <c r="H1178" s="6" t="s">
        <v>4196</v>
      </c>
    </row>
    <row r="1179" ht="12.75" customHeight="1">
      <c r="A1179" s="6" t="s">
        <v>4197</v>
      </c>
      <c r="B1179" s="6" t="s">
        <v>4195</v>
      </c>
      <c r="C1179" s="6" t="s">
        <v>33</v>
      </c>
      <c r="D1179" s="15" t="s">
        <v>55</v>
      </c>
      <c r="E1179" s="15" t="s">
        <v>35</v>
      </c>
      <c r="F1179" s="16" t="s">
        <v>4153</v>
      </c>
      <c r="G1179" s="6" t="s">
        <v>37</v>
      </c>
      <c r="H1179" s="6" t="s">
        <v>4198</v>
      </c>
    </row>
    <row r="1180" ht="12.75" customHeight="1">
      <c r="A1180" s="6" t="s">
        <v>4199</v>
      </c>
      <c r="B1180" s="6" t="s">
        <v>4200</v>
      </c>
      <c r="C1180" s="6" t="s">
        <v>4201</v>
      </c>
      <c r="D1180" s="15" t="s">
        <v>35</v>
      </c>
      <c r="E1180" s="15" t="s">
        <v>335</v>
      </c>
      <c r="F1180" s="16" t="s">
        <v>4202</v>
      </c>
      <c r="G1180" s="6" t="s">
        <v>37</v>
      </c>
      <c r="H1180" s="6" t="s">
        <v>4203</v>
      </c>
    </row>
    <row r="1181" ht="12.75" customHeight="1">
      <c r="A1181" s="6" t="s">
        <v>4204</v>
      </c>
      <c r="B1181" s="6" t="s">
        <v>4200</v>
      </c>
      <c r="C1181" s="6" t="s">
        <v>168</v>
      </c>
      <c r="D1181" s="15" t="s">
        <v>35</v>
      </c>
      <c r="E1181" s="15" t="s">
        <v>50</v>
      </c>
      <c r="F1181" s="16" t="s">
        <v>4205</v>
      </c>
      <c r="G1181" s="6" t="s">
        <v>37</v>
      </c>
      <c r="H1181" s="6" t="s">
        <v>4206</v>
      </c>
    </row>
    <row r="1182" ht="12.75" customHeight="1">
      <c r="A1182" s="6" t="s">
        <v>4207</v>
      </c>
      <c r="B1182" s="6" t="s">
        <v>4200</v>
      </c>
      <c r="C1182" s="6" t="s">
        <v>2384</v>
      </c>
      <c r="D1182" s="15" t="s">
        <v>76</v>
      </c>
      <c r="E1182" s="15" t="s">
        <v>35</v>
      </c>
      <c r="F1182" s="16" t="s">
        <v>4208</v>
      </c>
      <c r="G1182" s="6" t="s">
        <v>37</v>
      </c>
      <c r="H1182" s="6" t="s">
        <v>4209</v>
      </c>
    </row>
    <row r="1183" ht="12.75" customHeight="1">
      <c r="A1183" s="6" t="s">
        <v>4210</v>
      </c>
      <c r="B1183" s="6" t="s">
        <v>4200</v>
      </c>
      <c r="C1183" s="6" t="s">
        <v>33</v>
      </c>
      <c r="D1183" s="15" t="s">
        <v>34</v>
      </c>
      <c r="E1183" s="15" t="s">
        <v>35</v>
      </c>
      <c r="F1183" s="16" t="s">
        <v>4153</v>
      </c>
      <c r="G1183" s="6" t="s">
        <v>37</v>
      </c>
      <c r="H1183" s="6" t="s">
        <v>4211</v>
      </c>
    </row>
    <row r="1184" ht="12.75" customHeight="1">
      <c r="A1184" s="6" t="s">
        <v>4212</v>
      </c>
      <c r="B1184" s="6" t="s">
        <v>4213</v>
      </c>
      <c r="C1184" s="6" t="s">
        <v>1765</v>
      </c>
      <c r="D1184" s="15" t="s">
        <v>35</v>
      </c>
      <c r="E1184" s="15" t="s">
        <v>65</v>
      </c>
      <c r="F1184" s="16" t="s">
        <v>4157</v>
      </c>
      <c r="G1184" s="6" t="s">
        <v>37</v>
      </c>
      <c r="H1184" s="6" t="s">
        <v>4214</v>
      </c>
    </row>
    <row r="1185" ht="12.75" customHeight="1">
      <c r="A1185" s="6" t="s">
        <v>4215</v>
      </c>
      <c r="B1185" s="6" t="s">
        <v>4213</v>
      </c>
      <c r="C1185" s="6" t="s">
        <v>2412</v>
      </c>
      <c r="D1185" s="15" t="s">
        <v>50</v>
      </c>
      <c r="E1185" s="15" t="s">
        <v>35</v>
      </c>
      <c r="F1185" s="16" t="s">
        <v>4216</v>
      </c>
      <c r="G1185" s="6" t="s">
        <v>37</v>
      </c>
      <c r="H1185" s="6" t="s">
        <v>4217</v>
      </c>
    </row>
    <row r="1186" ht="12.75" customHeight="1">
      <c r="A1186" s="6" t="s">
        <v>4218</v>
      </c>
      <c r="B1186" s="6" t="s">
        <v>4213</v>
      </c>
      <c r="C1186" s="6" t="s">
        <v>4219</v>
      </c>
      <c r="D1186" s="15" t="s">
        <v>97</v>
      </c>
      <c r="E1186" s="15" t="s">
        <v>35</v>
      </c>
      <c r="F1186" s="16" t="s">
        <v>4205</v>
      </c>
      <c r="G1186" s="6" t="s">
        <v>37</v>
      </c>
      <c r="H1186" s="6" t="s">
        <v>4220</v>
      </c>
    </row>
    <row r="1187" ht="12.75" customHeight="1">
      <c r="A1187" s="6" t="s">
        <v>4221</v>
      </c>
      <c r="B1187" s="6" t="s">
        <v>4213</v>
      </c>
      <c r="C1187" s="6" t="s">
        <v>33</v>
      </c>
      <c r="D1187" s="15" t="s">
        <v>41</v>
      </c>
      <c r="E1187" s="15" t="s">
        <v>35</v>
      </c>
      <c r="F1187" s="16" t="s">
        <v>4222</v>
      </c>
      <c r="G1187" s="6" t="s">
        <v>37</v>
      </c>
      <c r="H1187" s="6" t="s">
        <v>4223</v>
      </c>
    </row>
    <row r="1188" ht="12.75" customHeight="1">
      <c r="A1188" s="6" t="s">
        <v>4224</v>
      </c>
      <c r="B1188" s="6" t="s">
        <v>4225</v>
      </c>
      <c r="C1188" s="6" t="s">
        <v>2412</v>
      </c>
      <c r="D1188" s="15" t="s">
        <v>685</v>
      </c>
      <c r="E1188" s="15" t="s">
        <v>35</v>
      </c>
      <c r="F1188" s="16" t="s">
        <v>4226</v>
      </c>
      <c r="G1188" s="6" t="s">
        <v>37</v>
      </c>
      <c r="H1188" s="6" t="s">
        <v>4227</v>
      </c>
    </row>
    <row r="1189" ht="12.75" customHeight="1">
      <c r="A1189" s="6" t="s">
        <v>4228</v>
      </c>
      <c r="B1189" s="6" t="s">
        <v>4225</v>
      </c>
      <c r="C1189" s="6" t="s">
        <v>33</v>
      </c>
      <c r="D1189" s="15" t="s">
        <v>34</v>
      </c>
      <c r="E1189" s="15" t="s">
        <v>35</v>
      </c>
      <c r="F1189" s="16" t="s">
        <v>4229</v>
      </c>
      <c r="G1189" s="6" t="s">
        <v>37</v>
      </c>
      <c r="H1189" s="6" t="s">
        <v>4230</v>
      </c>
    </row>
    <row r="1190" ht="12.75" customHeight="1">
      <c r="A1190" s="6" t="s">
        <v>4231</v>
      </c>
      <c r="B1190" s="6" t="s">
        <v>4232</v>
      </c>
      <c r="C1190" s="6" t="s">
        <v>2412</v>
      </c>
      <c r="D1190" s="15" t="s">
        <v>50</v>
      </c>
      <c r="E1190" s="15" t="s">
        <v>35</v>
      </c>
      <c r="F1190" s="16" t="s">
        <v>4233</v>
      </c>
      <c r="G1190" s="6" t="s">
        <v>37</v>
      </c>
      <c r="H1190" s="6" t="s">
        <v>4234</v>
      </c>
    </row>
    <row r="1191" ht="12.75" customHeight="1">
      <c r="A1191" s="6" t="s">
        <v>4235</v>
      </c>
      <c r="B1191" s="6" t="s">
        <v>4232</v>
      </c>
      <c r="C1191" s="6" t="s">
        <v>1816</v>
      </c>
      <c r="D1191" s="15" t="s">
        <v>41</v>
      </c>
      <c r="E1191" s="15" t="s">
        <v>35</v>
      </c>
      <c r="F1191" s="16" t="s">
        <v>4236</v>
      </c>
      <c r="G1191" s="6" t="s">
        <v>37</v>
      </c>
      <c r="H1191" s="6" t="s">
        <v>4237</v>
      </c>
    </row>
    <row r="1192" ht="12.75" customHeight="1">
      <c r="A1192" s="6" t="s">
        <v>4238</v>
      </c>
      <c r="B1192" s="6" t="s">
        <v>4232</v>
      </c>
      <c r="C1192" s="6" t="s">
        <v>4239</v>
      </c>
      <c r="D1192" s="15" t="s">
        <v>4240</v>
      </c>
      <c r="E1192" s="15" t="s">
        <v>35</v>
      </c>
      <c r="F1192" s="16" t="s">
        <v>4241</v>
      </c>
      <c r="G1192" s="6" t="s">
        <v>37</v>
      </c>
      <c r="H1192" s="6" t="s">
        <v>4242</v>
      </c>
    </row>
    <row r="1193" ht="12.75" customHeight="1">
      <c r="A1193" s="6" t="s">
        <v>4243</v>
      </c>
      <c r="B1193" s="6" t="s">
        <v>4232</v>
      </c>
      <c r="C1193" s="6" t="s">
        <v>33</v>
      </c>
      <c r="D1193" s="15" t="s">
        <v>34</v>
      </c>
      <c r="E1193" s="15" t="s">
        <v>35</v>
      </c>
      <c r="F1193" s="16" t="s">
        <v>4244</v>
      </c>
      <c r="G1193" s="6" t="s">
        <v>37</v>
      </c>
      <c r="H1193" s="6" t="s">
        <v>4245</v>
      </c>
    </row>
    <row r="1194" ht="12.75" customHeight="1">
      <c r="A1194" s="6" t="s">
        <v>4246</v>
      </c>
      <c r="B1194" s="6" t="s">
        <v>4247</v>
      </c>
      <c r="C1194" s="6" t="s">
        <v>2412</v>
      </c>
      <c r="D1194" s="15" t="s">
        <v>34</v>
      </c>
      <c r="E1194" s="15" t="s">
        <v>35</v>
      </c>
      <c r="F1194" s="16" t="s">
        <v>4248</v>
      </c>
      <c r="G1194" s="6" t="s">
        <v>37</v>
      </c>
      <c r="H1194" s="6" t="s">
        <v>4249</v>
      </c>
    </row>
    <row r="1195" ht="12.75" customHeight="1">
      <c r="A1195" s="6" t="s">
        <v>4250</v>
      </c>
      <c r="B1195" s="6" t="s">
        <v>4247</v>
      </c>
      <c r="C1195" s="6" t="s">
        <v>33</v>
      </c>
      <c r="D1195" s="15" t="s">
        <v>34</v>
      </c>
      <c r="E1195" s="15" t="s">
        <v>35</v>
      </c>
      <c r="F1195" s="16" t="s">
        <v>4251</v>
      </c>
      <c r="G1195" s="6" t="s">
        <v>37</v>
      </c>
      <c r="H1195" s="6" t="s">
        <v>4252</v>
      </c>
    </row>
    <row r="1196" ht="12.75" customHeight="1">
      <c r="A1196" s="6" t="s">
        <v>4253</v>
      </c>
      <c r="B1196" s="6" t="s">
        <v>4254</v>
      </c>
      <c r="C1196" s="6" t="s">
        <v>4255</v>
      </c>
      <c r="D1196" s="15" t="s">
        <v>55</v>
      </c>
      <c r="E1196" s="15" t="s">
        <v>35</v>
      </c>
      <c r="F1196" s="16" t="s">
        <v>4256</v>
      </c>
      <c r="G1196" s="6" t="s">
        <v>37</v>
      </c>
      <c r="H1196" s="6" t="s">
        <v>4257</v>
      </c>
    </row>
    <row r="1197" ht="12.75" customHeight="1">
      <c r="A1197" s="6" t="s">
        <v>4258</v>
      </c>
      <c r="B1197" s="6" t="s">
        <v>4254</v>
      </c>
      <c r="C1197" s="6" t="s">
        <v>3356</v>
      </c>
      <c r="D1197" s="15" t="s">
        <v>35</v>
      </c>
      <c r="E1197" s="15" t="s">
        <v>623</v>
      </c>
      <c r="F1197" s="16" t="s">
        <v>4259</v>
      </c>
      <c r="G1197" s="6" t="s">
        <v>37</v>
      </c>
      <c r="H1197" s="6" t="s">
        <v>4260</v>
      </c>
    </row>
    <row r="1198" ht="12.75" customHeight="1">
      <c r="A1198" s="6" t="s">
        <v>4261</v>
      </c>
      <c r="B1198" s="6" t="s">
        <v>4254</v>
      </c>
      <c r="C1198" s="6" t="s">
        <v>221</v>
      </c>
      <c r="D1198" s="15" t="s">
        <v>222</v>
      </c>
      <c r="E1198" s="15" t="s">
        <v>35</v>
      </c>
      <c r="F1198" s="16" t="s">
        <v>4262</v>
      </c>
      <c r="G1198" s="6" t="s">
        <v>37</v>
      </c>
      <c r="H1198" s="6" t="s">
        <v>4263</v>
      </c>
    </row>
    <row r="1199" ht="12.75" customHeight="1">
      <c r="A1199" s="6" t="s">
        <v>4264</v>
      </c>
      <c r="B1199" s="6" t="s">
        <v>4254</v>
      </c>
      <c r="C1199" s="6" t="s">
        <v>33</v>
      </c>
      <c r="D1199" s="15" t="s">
        <v>4265</v>
      </c>
      <c r="E1199" s="15" t="s">
        <v>35</v>
      </c>
      <c r="F1199" s="16" t="s">
        <v>4266</v>
      </c>
      <c r="G1199" s="6" t="s">
        <v>37</v>
      </c>
      <c r="H1199" s="6" t="s">
        <v>4267</v>
      </c>
    </row>
    <row r="1200" ht="12.75" customHeight="1">
      <c r="A1200" s="6" t="s">
        <v>4268</v>
      </c>
      <c r="B1200" s="6" t="s">
        <v>4254</v>
      </c>
      <c r="C1200" s="6" t="s">
        <v>33</v>
      </c>
      <c r="D1200" s="15" t="s">
        <v>41</v>
      </c>
      <c r="E1200" s="15" t="s">
        <v>35</v>
      </c>
      <c r="F1200" s="16" t="s">
        <v>4269</v>
      </c>
      <c r="G1200" s="6" t="s">
        <v>37</v>
      </c>
      <c r="H1200" s="6" t="s">
        <v>4270</v>
      </c>
    </row>
    <row r="1201" ht="12.75" customHeight="1">
      <c r="A1201" s="6" t="s">
        <v>4271</v>
      </c>
      <c r="B1201" s="6" t="s">
        <v>4272</v>
      </c>
      <c r="C1201" s="6" t="s">
        <v>33</v>
      </c>
      <c r="D1201" s="15" t="s">
        <v>97</v>
      </c>
      <c r="E1201" s="15" t="s">
        <v>35</v>
      </c>
      <c r="F1201" s="16" t="s">
        <v>4273</v>
      </c>
      <c r="G1201" s="6" t="s">
        <v>37</v>
      </c>
      <c r="H1201" s="6" t="s">
        <v>4274</v>
      </c>
    </row>
    <row r="1202" ht="12.75" customHeight="1">
      <c r="A1202" s="6" t="s">
        <v>4275</v>
      </c>
      <c r="B1202" s="6" t="s">
        <v>4272</v>
      </c>
      <c r="C1202" s="6" t="s">
        <v>2412</v>
      </c>
      <c r="D1202" s="15" t="s">
        <v>443</v>
      </c>
      <c r="E1202" s="15" t="s">
        <v>35</v>
      </c>
      <c r="F1202" s="16" t="s">
        <v>4276</v>
      </c>
      <c r="G1202" s="6" t="s">
        <v>37</v>
      </c>
      <c r="H1202" s="6" t="s">
        <v>4277</v>
      </c>
    </row>
    <row r="1203" ht="12.75" customHeight="1">
      <c r="A1203" s="6" t="s">
        <v>4278</v>
      </c>
      <c r="B1203" s="6" t="s">
        <v>4279</v>
      </c>
      <c r="C1203" s="6" t="s">
        <v>4280</v>
      </c>
      <c r="D1203" s="15" t="s">
        <v>34</v>
      </c>
      <c r="E1203" s="15" t="s">
        <v>35</v>
      </c>
      <c r="F1203" s="16" t="s">
        <v>4281</v>
      </c>
      <c r="G1203" s="6" t="s">
        <v>37</v>
      </c>
      <c r="H1203" s="6" t="s">
        <v>4282</v>
      </c>
    </row>
    <row r="1204" ht="12.75" customHeight="1">
      <c r="A1204" s="6" t="s">
        <v>4283</v>
      </c>
      <c r="B1204" s="6" t="s">
        <v>4279</v>
      </c>
      <c r="C1204" s="6" t="s">
        <v>4280</v>
      </c>
      <c r="D1204" s="15" t="s">
        <v>55</v>
      </c>
      <c r="E1204" s="15" t="s">
        <v>35</v>
      </c>
      <c r="F1204" s="16" t="s">
        <v>4284</v>
      </c>
      <c r="G1204" s="6" t="s">
        <v>37</v>
      </c>
      <c r="H1204" s="6" t="s">
        <v>4285</v>
      </c>
    </row>
    <row r="1205" ht="12.75" customHeight="1">
      <c r="A1205" s="6" t="s">
        <v>4286</v>
      </c>
      <c r="B1205" s="6" t="s">
        <v>4279</v>
      </c>
      <c r="C1205" s="6" t="s">
        <v>2019</v>
      </c>
      <c r="D1205" s="15" t="s">
        <v>35</v>
      </c>
      <c r="E1205" s="15" t="s">
        <v>65</v>
      </c>
      <c r="F1205" s="16" t="s">
        <v>4287</v>
      </c>
      <c r="G1205" s="6" t="s">
        <v>37</v>
      </c>
      <c r="H1205" s="6" t="s">
        <v>4288</v>
      </c>
    </row>
    <row r="1206" ht="12.75" customHeight="1">
      <c r="A1206" s="6" t="s">
        <v>4289</v>
      </c>
      <c r="B1206" s="6" t="s">
        <v>4279</v>
      </c>
      <c r="C1206" s="6" t="s">
        <v>4290</v>
      </c>
      <c r="D1206" s="15" t="s">
        <v>65</v>
      </c>
      <c r="E1206" s="15" t="s">
        <v>35</v>
      </c>
      <c r="F1206" s="16" t="s">
        <v>4284</v>
      </c>
      <c r="G1206" s="6" t="s">
        <v>37</v>
      </c>
      <c r="H1206" s="6" t="s">
        <v>4291</v>
      </c>
    </row>
    <row r="1207" ht="12.75" customHeight="1">
      <c r="A1207" s="6" t="s">
        <v>4292</v>
      </c>
      <c r="B1207" s="6" t="s">
        <v>4279</v>
      </c>
      <c r="C1207" s="6" t="s">
        <v>912</v>
      </c>
      <c r="D1207" s="15" t="s">
        <v>35</v>
      </c>
      <c r="E1207" s="15" t="s">
        <v>97</v>
      </c>
      <c r="F1207" s="16" t="s">
        <v>4293</v>
      </c>
      <c r="G1207" s="6" t="s">
        <v>37</v>
      </c>
      <c r="H1207" s="6" t="s">
        <v>4294</v>
      </c>
    </row>
    <row r="1208" ht="12.75" customHeight="1">
      <c r="A1208" s="6" t="s">
        <v>4295</v>
      </c>
      <c r="B1208" s="6" t="s">
        <v>4296</v>
      </c>
      <c r="C1208" s="6" t="s">
        <v>33</v>
      </c>
      <c r="D1208" s="15" t="s">
        <v>34</v>
      </c>
      <c r="E1208" s="15" t="s">
        <v>35</v>
      </c>
      <c r="F1208" s="16" t="s">
        <v>4297</v>
      </c>
      <c r="G1208" s="6" t="s">
        <v>37</v>
      </c>
      <c r="H1208" s="6" t="s">
        <v>4298</v>
      </c>
    </row>
    <row r="1209" ht="12.75" customHeight="1">
      <c r="A1209" s="6" t="s">
        <v>4299</v>
      </c>
      <c r="B1209" s="6" t="s">
        <v>4296</v>
      </c>
      <c r="C1209" s="6" t="s">
        <v>2412</v>
      </c>
      <c r="D1209" s="15" t="s">
        <v>41</v>
      </c>
      <c r="E1209" s="15" t="s">
        <v>35</v>
      </c>
      <c r="F1209" s="16" t="s">
        <v>4300</v>
      </c>
      <c r="G1209" s="6" t="s">
        <v>37</v>
      </c>
      <c r="H1209" s="6" t="s">
        <v>4301</v>
      </c>
    </row>
    <row r="1210" ht="12.75" customHeight="1">
      <c r="A1210" s="6" t="s">
        <v>4302</v>
      </c>
      <c r="B1210" s="6" t="s">
        <v>4303</v>
      </c>
      <c r="C1210" s="6" t="s">
        <v>2412</v>
      </c>
      <c r="D1210" s="15" t="s">
        <v>41</v>
      </c>
      <c r="E1210" s="15" t="s">
        <v>35</v>
      </c>
      <c r="F1210" s="16" t="s">
        <v>4304</v>
      </c>
      <c r="G1210" s="6" t="s">
        <v>37</v>
      </c>
      <c r="H1210" s="6" t="s">
        <v>4305</v>
      </c>
    </row>
    <row r="1211" ht="12.75" customHeight="1">
      <c r="A1211" s="6" t="s">
        <v>4306</v>
      </c>
      <c r="B1211" s="6" t="s">
        <v>4307</v>
      </c>
      <c r="C1211" s="6" t="s">
        <v>4308</v>
      </c>
      <c r="D1211" s="15" t="s">
        <v>35</v>
      </c>
      <c r="E1211" s="15" t="s">
        <v>189</v>
      </c>
      <c r="F1211" s="16" t="s">
        <v>4269</v>
      </c>
      <c r="G1211" s="6" t="s">
        <v>37</v>
      </c>
      <c r="H1211" s="6" t="s">
        <v>4309</v>
      </c>
    </row>
    <row r="1212" ht="12.75" customHeight="1">
      <c r="A1212" s="6" t="s">
        <v>4310</v>
      </c>
      <c r="B1212" s="6" t="s">
        <v>4307</v>
      </c>
      <c r="C1212" s="6" t="s">
        <v>2412</v>
      </c>
      <c r="D1212" s="15" t="s">
        <v>1864</v>
      </c>
      <c r="E1212" s="15" t="s">
        <v>35</v>
      </c>
      <c r="F1212" s="16" t="s">
        <v>4311</v>
      </c>
      <c r="G1212" s="6" t="s">
        <v>37</v>
      </c>
      <c r="H1212" s="6" t="s">
        <v>4312</v>
      </c>
    </row>
    <row r="1213" ht="12.75" customHeight="1">
      <c r="A1213" s="6" t="s">
        <v>4313</v>
      </c>
      <c r="B1213" s="6" t="s">
        <v>4307</v>
      </c>
      <c r="C1213" s="6" t="s">
        <v>2412</v>
      </c>
      <c r="D1213" s="15" t="s">
        <v>4314</v>
      </c>
      <c r="E1213" s="15" t="s">
        <v>35</v>
      </c>
      <c r="F1213" s="16" t="s">
        <v>4300</v>
      </c>
      <c r="G1213" s="6" t="s">
        <v>37</v>
      </c>
      <c r="H1213" s="6" t="s">
        <v>4315</v>
      </c>
    </row>
    <row r="1214" ht="12.75" customHeight="1">
      <c r="A1214" s="6" t="s">
        <v>4316</v>
      </c>
      <c r="B1214" s="6" t="s">
        <v>4307</v>
      </c>
      <c r="C1214" s="6" t="s">
        <v>40</v>
      </c>
      <c r="D1214" s="15" t="s">
        <v>35</v>
      </c>
      <c r="E1214" s="15" t="s">
        <v>189</v>
      </c>
      <c r="F1214" s="16" t="s">
        <v>4266</v>
      </c>
      <c r="G1214" s="6" t="s">
        <v>37</v>
      </c>
      <c r="H1214" s="6" t="s">
        <v>4317</v>
      </c>
    </row>
    <row r="1215" ht="12.75" customHeight="1">
      <c r="A1215" s="6" t="s">
        <v>4318</v>
      </c>
      <c r="B1215" s="6" t="s">
        <v>4307</v>
      </c>
      <c r="C1215" s="6" t="s">
        <v>2412</v>
      </c>
      <c r="D1215" s="15" t="s">
        <v>264</v>
      </c>
      <c r="E1215" s="15" t="s">
        <v>35</v>
      </c>
      <c r="F1215" s="16" t="s">
        <v>4276</v>
      </c>
      <c r="G1215" s="6" t="s">
        <v>37</v>
      </c>
      <c r="H1215" s="6" t="s">
        <v>4319</v>
      </c>
    </row>
    <row r="1216" ht="12.75" customHeight="1">
      <c r="A1216" s="6" t="s">
        <v>4320</v>
      </c>
      <c r="B1216" s="6" t="s">
        <v>4321</v>
      </c>
      <c r="C1216" s="6" t="s">
        <v>2412</v>
      </c>
      <c r="D1216" s="15" t="s">
        <v>34</v>
      </c>
      <c r="E1216" s="15" t="s">
        <v>35</v>
      </c>
      <c r="F1216" s="16" t="s">
        <v>4281</v>
      </c>
      <c r="G1216" s="6" t="s">
        <v>37</v>
      </c>
      <c r="H1216" s="6" t="s">
        <v>4322</v>
      </c>
    </row>
    <row r="1217" ht="12.75" customHeight="1">
      <c r="A1217" s="6" t="s">
        <v>4323</v>
      </c>
      <c r="B1217" s="6" t="s">
        <v>4324</v>
      </c>
      <c r="C1217" s="6" t="s">
        <v>4325</v>
      </c>
      <c r="D1217" s="15" t="s">
        <v>35</v>
      </c>
      <c r="E1217" s="15" t="s">
        <v>2043</v>
      </c>
      <c r="F1217" s="16" t="s">
        <v>4326</v>
      </c>
      <c r="G1217" s="6" t="s">
        <v>37</v>
      </c>
      <c r="H1217" s="6" t="s">
        <v>4327</v>
      </c>
    </row>
    <row r="1218" ht="12.75" customHeight="1">
      <c r="A1218" s="6" t="s">
        <v>4328</v>
      </c>
      <c r="B1218" s="6" t="s">
        <v>4324</v>
      </c>
      <c r="C1218" s="6" t="s">
        <v>2412</v>
      </c>
      <c r="D1218" s="15" t="s">
        <v>211</v>
      </c>
      <c r="E1218" s="15" t="s">
        <v>35</v>
      </c>
      <c r="F1218" s="16" t="s">
        <v>4329</v>
      </c>
      <c r="G1218" s="6" t="s">
        <v>37</v>
      </c>
      <c r="H1218" s="6" t="s">
        <v>4330</v>
      </c>
    </row>
    <row r="1219" ht="12.75" customHeight="1">
      <c r="A1219" s="6" t="s">
        <v>4331</v>
      </c>
      <c r="B1219" s="6" t="s">
        <v>4324</v>
      </c>
      <c r="C1219" s="6" t="s">
        <v>2412</v>
      </c>
      <c r="D1219" s="15" t="s">
        <v>946</v>
      </c>
      <c r="E1219" s="15" t="s">
        <v>35</v>
      </c>
      <c r="F1219" s="16" t="s">
        <v>4332</v>
      </c>
      <c r="G1219" s="6" t="s">
        <v>37</v>
      </c>
      <c r="H1219" s="6" t="s">
        <v>4333</v>
      </c>
    </row>
    <row r="1220" ht="12.75" customHeight="1">
      <c r="A1220" s="6" t="s">
        <v>4334</v>
      </c>
      <c r="B1220" s="6" t="s">
        <v>4324</v>
      </c>
      <c r="C1220" s="6" t="s">
        <v>4335</v>
      </c>
      <c r="D1220" s="15" t="s">
        <v>41</v>
      </c>
      <c r="E1220" s="15" t="s">
        <v>35</v>
      </c>
      <c r="F1220" s="16" t="s">
        <v>4336</v>
      </c>
      <c r="G1220" s="6" t="s">
        <v>37</v>
      </c>
      <c r="H1220" s="6" t="s">
        <v>4337</v>
      </c>
    </row>
    <row r="1221" ht="12.75" customHeight="1">
      <c r="A1221" s="6" t="s">
        <v>4338</v>
      </c>
      <c r="B1221" s="6" t="s">
        <v>4324</v>
      </c>
      <c r="C1221" s="6" t="s">
        <v>33</v>
      </c>
      <c r="D1221" s="15" t="s">
        <v>34</v>
      </c>
      <c r="E1221" s="15" t="s">
        <v>35</v>
      </c>
      <c r="F1221" s="16" t="s">
        <v>4339</v>
      </c>
      <c r="G1221" s="6" t="s">
        <v>37</v>
      </c>
      <c r="H1221" s="6" t="s">
        <v>4340</v>
      </c>
    </row>
    <row r="1222" ht="12.75" customHeight="1">
      <c r="A1222" s="6" t="s">
        <v>4341</v>
      </c>
      <c r="B1222" s="6" t="s">
        <v>4342</v>
      </c>
      <c r="C1222" s="6" t="s">
        <v>70</v>
      </c>
      <c r="D1222" s="15" t="s">
        <v>50</v>
      </c>
      <c r="E1222" s="15" t="s">
        <v>35</v>
      </c>
      <c r="F1222" s="16" t="s">
        <v>4343</v>
      </c>
      <c r="G1222" s="6" t="s">
        <v>37</v>
      </c>
      <c r="H1222" s="6" t="s">
        <v>4344</v>
      </c>
    </row>
    <row r="1223" ht="12.75" customHeight="1">
      <c r="A1223" s="6" t="s">
        <v>4345</v>
      </c>
      <c r="B1223" s="6" t="s">
        <v>4346</v>
      </c>
      <c r="C1223" s="6" t="s">
        <v>4044</v>
      </c>
      <c r="D1223" s="15" t="s">
        <v>35</v>
      </c>
      <c r="E1223" s="15" t="s">
        <v>4347</v>
      </c>
      <c r="F1223" s="16" t="s">
        <v>4348</v>
      </c>
      <c r="G1223" s="6" t="s">
        <v>37</v>
      </c>
      <c r="H1223" s="6" t="s">
        <v>4349</v>
      </c>
    </row>
    <row r="1224" ht="12.75" customHeight="1">
      <c r="A1224" s="6" t="s">
        <v>4350</v>
      </c>
      <c r="B1224" s="6" t="s">
        <v>4346</v>
      </c>
      <c r="C1224" s="6" t="s">
        <v>221</v>
      </c>
      <c r="D1224" s="15" t="s">
        <v>222</v>
      </c>
      <c r="E1224" s="15" t="s">
        <v>35</v>
      </c>
      <c r="F1224" s="16" t="s">
        <v>4351</v>
      </c>
      <c r="G1224" s="6" t="s">
        <v>37</v>
      </c>
      <c r="H1224" s="6" t="s">
        <v>4352</v>
      </c>
    </row>
    <row r="1225" ht="12.75" customHeight="1">
      <c r="A1225" s="6" t="s">
        <v>4353</v>
      </c>
      <c r="B1225" s="6" t="s">
        <v>4346</v>
      </c>
      <c r="C1225" s="6" t="s">
        <v>4354</v>
      </c>
      <c r="D1225" s="15" t="s">
        <v>4355</v>
      </c>
      <c r="E1225" s="15" t="s">
        <v>35</v>
      </c>
      <c r="F1225" s="16" t="s">
        <v>4356</v>
      </c>
      <c r="G1225" s="6" t="s">
        <v>37</v>
      </c>
      <c r="H1225" s="6" t="s">
        <v>4357</v>
      </c>
    </row>
    <row r="1226" ht="12.75" customHeight="1">
      <c r="A1226" s="6" t="s">
        <v>4358</v>
      </c>
      <c r="B1226" s="6" t="s">
        <v>4359</v>
      </c>
      <c r="C1226" s="6" t="s">
        <v>33</v>
      </c>
      <c r="D1226" s="15" t="s">
        <v>34</v>
      </c>
      <c r="E1226" s="15" t="s">
        <v>35</v>
      </c>
      <c r="F1226" s="16" t="s">
        <v>4360</v>
      </c>
      <c r="G1226" s="6" t="s">
        <v>37</v>
      </c>
      <c r="H1226" s="6" t="s">
        <v>4361</v>
      </c>
    </row>
    <row r="1227" ht="12.75" customHeight="1">
      <c r="A1227" s="6" t="s">
        <v>4362</v>
      </c>
      <c r="B1227" s="6" t="s">
        <v>4359</v>
      </c>
      <c r="C1227" s="6" t="s">
        <v>2412</v>
      </c>
      <c r="D1227" s="15" t="s">
        <v>744</v>
      </c>
      <c r="E1227" s="15" t="s">
        <v>35</v>
      </c>
      <c r="F1227" s="16" t="s">
        <v>4363</v>
      </c>
      <c r="G1227" s="6" t="s">
        <v>37</v>
      </c>
      <c r="H1227" s="6" t="s">
        <v>4364</v>
      </c>
    </row>
    <row r="1228" ht="12.75" customHeight="1">
      <c r="A1228" s="6" t="s">
        <v>4365</v>
      </c>
      <c r="B1228" s="6" t="s">
        <v>4366</v>
      </c>
      <c r="C1228" s="6" t="s">
        <v>2412</v>
      </c>
      <c r="D1228" s="15" t="s">
        <v>50</v>
      </c>
      <c r="E1228" s="15" t="s">
        <v>35</v>
      </c>
      <c r="F1228" s="16" t="s">
        <v>4367</v>
      </c>
      <c r="G1228" s="6" t="s">
        <v>37</v>
      </c>
      <c r="H1228" s="6" t="s">
        <v>4368</v>
      </c>
    </row>
    <row r="1229" ht="12.75" customHeight="1">
      <c r="A1229" s="6" t="s">
        <v>4369</v>
      </c>
      <c r="B1229" s="6" t="s">
        <v>4366</v>
      </c>
      <c r="C1229" s="6" t="s">
        <v>33</v>
      </c>
      <c r="D1229" s="15" t="s">
        <v>34</v>
      </c>
      <c r="E1229" s="15" t="s">
        <v>35</v>
      </c>
      <c r="F1229" s="16" t="s">
        <v>4370</v>
      </c>
      <c r="G1229" s="6" t="s">
        <v>37</v>
      </c>
      <c r="H1229" s="6" t="s">
        <v>4371</v>
      </c>
    </row>
    <row r="1230" ht="12.75" customHeight="1">
      <c r="A1230" s="6" t="s">
        <v>4372</v>
      </c>
      <c r="B1230" s="6" t="s">
        <v>4373</v>
      </c>
      <c r="C1230" s="6" t="s">
        <v>33</v>
      </c>
      <c r="D1230" s="15" t="s">
        <v>34</v>
      </c>
      <c r="E1230" s="15" t="s">
        <v>35</v>
      </c>
      <c r="F1230" s="16" t="s">
        <v>4374</v>
      </c>
      <c r="G1230" s="6" t="s">
        <v>37</v>
      </c>
      <c r="H1230" s="6" t="s">
        <v>4375</v>
      </c>
    </row>
    <row r="1231" ht="12.75" customHeight="1">
      <c r="A1231" s="6" t="s">
        <v>4376</v>
      </c>
      <c r="B1231" s="6" t="s">
        <v>4373</v>
      </c>
      <c r="C1231" s="6" t="s">
        <v>208</v>
      </c>
      <c r="D1231" s="15" t="s">
        <v>35</v>
      </c>
      <c r="E1231" s="15" t="s">
        <v>65</v>
      </c>
      <c r="F1231" s="16" t="s">
        <v>4377</v>
      </c>
      <c r="G1231" s="6" t="s">
        <v>37</v>
      </c>
      <c r="H1231" s="6" t="s">
        <v>4378</v>
      </c>
    </row>
    <row r="1232" ht="12.75" customHeight="1">
      <c r="A1232" s="6" t="s">
        <v>4379</v>
      </c>
      <c r="B1232" s="6" t="s">
        <v>4373</v>
      </c>
      <c r="C1232" s="6" t="s">
        <v>33</v>
      </c>
      <c r="D1232" s="15" t="s">
        <v>50</v>
      </c>
      <c r="E1232" s="15" t="s">
        <v>35</v>
      </c>
      <c r="F1232" s="16" t="s">
        <v>4380</v>
      </c>
      <c r="G1232" s="6" t="s">
        <v>37</v>
      </c>
      <c r="H1232" s="6" t="s">
        <v>4381</v>
      </c>
    </row>
    <row r="1233" ht="12.75" customHeight="1">
      <c r="A1233" s="6" t="s">
        <v>4382</v>
      </c>
      <c r="B1233" s="6" t="s">
        <v>4383</v>
      </c>
      <c r="C1233" s="6" t="s">
        <v>2412</v>
      </c>
      <c r="D1233" s="15" t="s">
        <v>1920</v>
      </c>
      <c r="E1233" s="15" t="s">
        <v>35</v>
      </c>
      <c r="F1233" s="16" t="s">
        <v>4384</v>
      </c>
      <c r="G1233" s="6" t="s">
        <v>37</v>
      </c>
      <c r="H1233" s="6" t="s">
        <v>4385</v>
      </c>
    </row>
    <row r="1234" ht="12.75" customHeight="1">
      <c r="A1234" s="6" t="s">
        <v>4386</v>
      </c>
      <c r="B1234" s="6" t="s">
        <v>4383</v>
      </c>
      <c r="C1234" s="6" t="s">
        <v>4387</v>
      </c>
      <c r="D1234" s="15" t="s">
        <v>35</v>
      </c>
      <c r="E1234" s="15" t="s">
        <v>256</v>
      </c>
      <c r="F1234" s="16" t="s">
        <v>4388</v>
      </c>
      <c r="G1234" s="6" t="s">
        <v>37</v>
      </c>
      <c r="H1234" s="6" t="s">
        <v>4389</v>
      </c>
    </row>
    <row r="1235" ht="12.75" customHeight="1">
      <c r="A1235" s="6" t="s">
        <v>4390</v>
      </c>
      <c r="B1235" s="6" t="s">
        <v>4383</v>
      </c>
      <c r="C1235" s="6" t="s">
        <v>221</v>
      </c>
      <c r="D1235" s="15" t="s">
        <v>222</v>
      </c>
      <c r="E1235" s="15" t="s">
        <v>35</v>
      </c>
      <c r="F1235" s="16" t="s">
        <v>4391</v>
      </c>
      <c r="G1235" s="6" t="s">
        <v>37</v>
      </c>
      <c r="H1235" s="6" t="s">
        <v>4392</v>
      </c>
    </row>
    <row r="1236" ht="12.75" customHeight="1">
      <c r="A1236" s="6" t="s">
        <v>4393</v>
      </c>
      <c r="B1236" s="6" t="s">
        <v>4383</v>
      </c>
      <c r="C1236" s="6" t="s">
        <v>2412</v>
      </c>
      <c r="D1236" s="15" t="s">
        <v>855</v>
      </c>
      <c r="E1236" s="15" t="s">
        <v>35</v>
      </c>
      <c r="F1236" s="16" t="s">
        <v>4394</v>
      </c>
      <c r="G1236" s="6" t="s">
        <v>37</v>
      </c>
      <c r="H1236" s="6" t="s">
        <v>4395</v>
      </c>
    </row>
    <row r="1237" ht="12.75" customHeight="1">
      <c r="A1237" s="6" t="s">
        <v>4396</v>
      </c>
      <c r="B1237" s="6" t="s">
        <v>4383</v>
      </c>
      <c r="C1237" s="6" t="s">
        <v>4397</v>
      </c>
      <c r="D1237" s="15" t="s">
        <v>1920</v>
      </c>
      <c r="E1237" s="15" t="s">
        <v>35</v>
      </c>
      <c r="F1237" s="16" t="s">
        <v>4398</v>
      </c>
      <c r="G1237" s="6" t="s">
        <v>37</v>
      </c>
      <c r="H1237" s="6" t="s">
        <v>4399</v>
      </c>
    </row>
    <row r="1238" ht="12.75" customHeight="1">
      <c r="A1238" s="6" t="s">
        <v>4400</v>
      </c>
      <c r="B1238" s="6" t="s">
        <v>4401</v>
      </c>
      <c r="C1238" s="6" t="s">
        <v>70</v>
      </c>
      <c r="D1238" s="15" t="s">
        <v>50</v>
      </c>
      <c r="E1238" s="15" t="s">
        <v>35</v>
      </c>
      <c r="F1238" s="16" t="s">
        <v>4402</v>
      </c>
      <c r="G1238" s="6" t="s">
        <v>37</v>
      </c>
      <c r="H1238" s="6" t="s">
        <v>4403</v>
      </c>
    </row>
    <row r="1239" ht="12.75" customHeight="1">
      <c r="A1239" s="6" t="s">
        <v>4404</v>
      </c>
      <c r="B1239" s="6" t="s">
        <v>4401</v>
      </c>
      <c r="C1239" s="6" t="s">
        <v>70</v>
      </c>
      <c r="D1239" s="15" t="s">
        <v>50</v>
      </c>
      <c r="E1239" s="15" t="s">
        <v>35</v>
      </c>
      <c r="F1239" s="16" t="s">
        <v>4405</v>
      </c>
      <c r="G1239" s="6" t="s">
        <v>37</v>
      </c>
      <c r="H1239" s="6" t="s">
        <v>4406</v>
      </c>
    </row>
    <row r="1240" ht="12.75" customHeight="1">
      <c r="A1240" s="6" t="s">
        <v>4407</v>
      </c>
      <c r="B1240" s="6" t="s">
        <v>4401</v>
      </c>
      <c r="C1240" s="6" t="s">
        <v>4408</v>
      </c>
      <c r="D1240" s="15" t="s">
        <v>4240</v>
      </c>
      <c r="E1240" s="15" t="s">
        <v>35</v>
      </c>
      <c r="F1240" s="16" t="s">
        <v>4409</v>
      </c>
      <c r="G1240" s="6" t="s">
        <v>37</v>
      </c>
      <c r="H1240" s="6" t="s">
        <v>4410</v>
      </c>
    </row>
    <row r="1241" ht="12.75" customHeight="1">
      <c r="A1241" s="6" t="s">
        <v>4411</v>
      </c>
      <c r="B1241" s="6" t="s">
        <v>4401</v>
      </c>
      <c r="C1241" s="6" t="s">
        <v>4412</v>
      </c>
      <c r="D1241" s="15" t="s">
        <v>4240</v>
      </c>
      <c r="E1241" s="15" t="s">
        <v>35</v>
      </c>
      <c r="F1241" s="16" t="s">
        <v>4413</v>
      </c>
      <c r="G1241" s="6" t="s">
        <v>37</v>
      </c>
      <c r="H1241" s="6" t="s">
        <v>4414</v>
      </c>
    </row>
    <row r="1242" ht="12.75" customHeight="1">
      <c r="A1242" s="6" t="s">
        <v>4415</v>
      </c>
      <c r="B1242" s="6" t="s">
        <v>4401</v>
      </c>
      <c r="C1242" s="6" t="s">
        <v>2412</v>
      </c>
      <c r="D1242" s="15" t="s">
        <v>1097</v>
      </c>
      <c r="E1242" s="15" t="s">
        <v>35</v>
      </c>
      <c r="F1242" s="16" t="s">
        <v>4416</v>
      </c>
      <c r="G1242" s="6" t="s">
        <v>37</v>
      </c>
      <c r="H1242" s="6" t="s">
        <v>4417</v>
      </c>
    </row>
    <row r="1243" ht="12.75" customHeight="1">
      <c r="A1243" s="6" t="s">
        <v>4418</v>
      </c>
      <c r="B1243" s="6" t="s">
        <v>4401</v>
      </c>
      <c r="C1243" s="6" t="s">
        <v>2412</v>
      </c>
      <c r="D1243" s="15" t="s">
        <v>2563</v>
      </c>
      <c r="E1243" s="15" t="s">
        <v>35</v>
      </c>
      <c r="F1243" s="16" t="s">
        <v>4419</v>
      </c>
      <c r="G1243" s="6" t="s">
        <v>37</v>
      </c>
      <c r="H1243" s="6" t="s">
        <v>4420</v>
      </c>
    </row>
    <row r="1244" ht="12.75" customHeight="1">
      <c r="A1244" s="6" t="s">
        <v>4421</v>
      </c>
      <c r="B1244" s="6" t="s">
        <v>4422</v>
      </c>
      <c r="C1244" s="6" t="s">
        <v>4423</v>
      </c>
      <c r="D1244" s="15" t="s">
        <v>35</v>
      </c>
      <c r="E1244" s="15" t="s">
        <v>4424</v>
      </c>
      <c r="F1244" s="16" t="s">
        <v>4425</v>
      </c>
      <c r="G1244" s="6" t="s">
        <v>37</v>
      </c>
      <c r="H1244" s="6" t="s">
        <v>4426</v>
      </c>
    </row>
    <row r="1245" ht="12.75" customHeight="1">
      <c r="A1245" s="6" t="s">
        <v>4427</v>
      </c>
      <c r="B1245" s="6" t="s">
        <v>4422</v>
      </c>
      <c r="C1245" s="6" t="s">
        <v>221</v>
      </c>
      <c r="D1245" s="15" t="s">
        <v>222</v>
      </c>
      <c r="E1245" s="15" t="s">
        <v>35</v>
      </c>
      <c r="F1245" s="16" t="s">
        <v>4428</v>
      </c>
      <c r="G1245" s="6" t="s">
        <v>37</v>
      </c>
      <c r="H1245" s="6" t="s">
        <v>4429</v>
      </c>
    </row>
    <row r="1246" ht="12.75" customHeight="1">
      <c r="A1246" s="6" t="s">
        <v>4430</v>
      </c>
      <c r="B1246" s="6" t="s">
        <v>4422</v>
      </c>
      <c r="C1246" s="6" t="s">
        <v>397</v>
      </c>
      <c r="D1246" s="15" t="s">
        <v>4431</v>
      </c>
      <c r="E1246" s="15" t="s">
        <v>35</v>
      </c>
      <c r="F1246" s="16" t="s">
        <v>4432</v>
      </c>
      <c r="G1246" s="6" t="s">
        <v>37</v>
      </c>
      <c r="H1246" s="6" t="s">
        <v>4433</v>
      </c>
    </row>
    <row r="1247" ht="12.75" customHeight="1">
      <c r="A1247" s="6" t="s">
        <v>4434</v>
      </c>
      <c r="B1247" s="6" t="s">
        <v>4422</v>
      </c>
      <c r="C1247" s="6" t="s">
        <v>2412</v>
      </c>
      <c r="D1247" s="15" t="s">
        <v>46</v>
      </c>
      <c r="E1247" s="15" t="s">
        <v>35</v>
      </c>
      <c r="F1247" s="16" t="s">
        <v>4435</v>
      </c>
      <c r="G1247" s="6" t="s">
        <v>37</v>
      </c>
      <c r="H1247" s="6" t="s">
        <v>4436</v>
      </c>
    </row>
    <row r="1248" ht="12.75" customHeight="1">
      <c r="A1248" s="6" t="s">
        <v>4437</v>
      </c>
      <c r="B1248" s="6" t="s">
        <v>4438</v>
      </c>
      <c r="C1248" s="6" t="s">
        <v>33</v>
      </c>
      <c r="D1248" s="15" t="s">
        <v>50</v>
      </c>
      <c r="E1248" s="15" t="s">
        <v>35</v>
      </c>
      <c r="F1248" s="16" t="s">
        <v>4439</v>
      </c>
      <c r="G1248" s="6" t="s">
        <v>37</v>
      </c>
      <c r="H1248" s="6" t="s">
        <v>4440</v>
      </c>
    </row>
    <row r="1249" ht="12.75" customHeight="1">
      <c r="A1249" s="6" t="s">
        <v>4441</v>
      </c>
      <c r="B1249" s="6" t="s">
        <v>4442</v>
      </c>
      <c r="C1249" s="6" t="s">
        <v>2412</v>
      </c>
      <c r="D1249" s="15" t="s">
        <v>71</v>
      </c>
      <c r="E1249" s="15" t="s">
        <v>35</v>
      </c>
      <c r="F1249" s="16" t="s">
        <v>4443</v>
      </c>
      <c r="G1249" s="6" t="s">
        <v>37</v>
      </c>
      <c r="H1249" s="6" t="s">
        <v>4444</v>
      </c>
    </row>
    <row r="1250" ht="12.75" customHeight="1">
      <c r="A1250" s="6" t="s">
        <v>4445</v>
      </c>
      <c r="B1250" s="6" t="s">
        <v>4446</v>
      </c>
      <c r="C1250" s="6" t="s">
        <v>3356</v>
      </c>
      <c r="D1250" s="15" t="s">
        <v>35</v>
      </c>
      <c r="E1250" s="15" t="s">
        <v>4355</v>
      </c>
      <c r="F1250" s="16" t="s">
        <v>4447</v>
      </c>
      <c r="G1250" s="6" t="s">
        <v>37</v>
      </c>
      <c r="H1250" s="6" t="s">
        <v>4448</v>
      </c>
    </row>
    <row r="1251" ht="12.75" customHeight="1">
      <c r="A1251" s="6" t="s">
        <v>4449</v>
      </c>
      <c r="B1251" s="6" t="s">
        <v>4446</v>
      </c>
      <c r="C1251" s="6" t="s">
        <v>221</v>
      </c>
      <c r="D1251" s="15" t="s">
        <v>222</v>
      </c>
      <c r="E1251" s="15" t="s">
        <v>35</v>
      </c>
      <c r="F1251" s="16" t="s">
        <v>4450</v>
      </c>
      <c r="G1251" s="6" t="s">
        <v>37</v>
      </c>
      <c r="H1251" s="6" t="s">
        <v>4451</v>
      </c>
    </row>
    <row r="1252" ht="12.75" customHeight="1">
      <c r="A1252" s="6" t="s">
        <v>4452</v>
      </c>
      <c r="B1252" s="6" t="s">
        <v>4446</v>
      </c>
      <c r="C1252" s="6" t="s">
        <v>4453</v>
      </c>
      <c r="D1252" s="15" t="s">
        <v>4355</v>
      </c>
      <c r="E1252" s="15" t="s">
        <v>35</v>
      </c>
      <c r="F1252" s="16" t="s">
        <v>4454</v>
      </c>
      <c r="G1252" s="6" t="s">
        <v>37</v>
      </c>
      <c r="H1252" s="6" t="s">
        <v>4455</v>
      </c>
    </row>
    <row r="1253" ht="12.75" customHeight="1">
      <c r="A1253" s="6" t="s">
        <v>4456</v>
      </c>
      <c r="B1253" s="6" t="s">
        <v>4446</v>
      </c>
      <c r="C1253" s="6" t="s">
        <v>2412</v>
      </c>
      <c r="D1253" s="15" t="s">
        <v>4457</v>
      </c>
      <c r="E1253" s="15" t="s">
        <v>35</v>
      </c>
      <c r="F1253" s="16" t="s">
        <v>4458</v>
      </c>
      <c r="G1253" s="6" t="s">
        <v>37</v>
      </c>
      <c r="H1253" s="6" t="s">
        <v>4459</v>
      </c>
    </row>
    <row r="1254" ht="12.75" customHeight="1">
      <c r="A1254" s="6" t="s">
        <v>4460</v>
      </c>
      <c r="B1254" s="6" t="s">
        <v>4446</v>
      </c>
      <c r="C1254" s="6" t="s">
        <v>4461</v>
      </c>
      <c r="D1254" s="15" t="s">
        <v>35</v>
      </c>
      <c r="E1254" s="15" t="s">
        <v>256</v>
      </c>
      <c r="F1254" s="16" t="s">
        <v>4462</v>
      </c>
      <c r="G1254" s="6" t="s">
        <v>37</v>
      </c>
      <c r="H1254" s="6" t="s">
        <v>4463</v>
      </c>
    </row>
    <row r="1255" ht="12.75" customHeight="1">
      <c r="A1255" s="6" t="s">
        <v>4464</v>
      </c>
      <c r="B1255" s="6" t="s">
        <v>4446</v>
      </c>
      <c r="C1255" s="6" t="s">
        <v>221</v>
      </c>
      <c r="D1255" s="15" t="s">
        <v>222</v>
      </c>
      <c r="E1255" s="15" t="s">
        <v>35</v>
      </c>
      <c r="F1255" s="16" t="s">
        <v>4465</v>
      </c>
      <c r="G1255" s="6" t="s">
        <v>37</v>
      </c>
      <c r="H1255" s="6" t="s">
        <v>4466</v>
      </c>
    </row>
    <row r="1256" ht="12.75" customHeight="1">
      <c r="A1256" s="6" t="s">
        <v>4467</v>
      </c>
      <c r="B1256" s="6" t="s">
        <v>4446</v>
      </c>
      <c r="C1256" s="6" t="s">
        <v>33</v>
      </c>
      <c r="D1256" s="15" t="s">
        <v>50</v>
      </c>
      <c r="E1256" s="15" t="s">
        <v>35</v>
      </c>
      <c r="F1256" s="16" t="s">
        <v>4468</v>
      </c>
      <c r="G1256" s="6" t="s">
        <v>37</v>
      </c>
      <c r="H1256" s="6" t="s">
        <v>4469</v>
      </c>
    </row>
    <row r="1257" ht="12.75" customHeight="1">
      <c r="A1257" s="6" t="s">
        <v>4470</v>
      </c>
      <c r="B1257" s="6" t="s">
        <v>4446</v>
      </c>
      <c r="C1257" s="6" t="s">
        <v>2412</v>
      </c>
      <c r="D1257" s="15" t="s">
        <v>50</v>
      </c>
      <c r="E1257" s="15" t="s">
        <v>35</v>
      </c>
      <c r="F1257" s="16" t="s">
        <v>4471</v>
      </c>
      <c r="G1257" s="6" t="s">
        <v>37</v>
      </c>
      <c r="H1257" s="6" t="s">
        <v>4472</v>
      </c>
    </row>
    <row r="1258" ht="12.75" customHeight="1">
      <c r="A1258" s="6" t="s">
        <v>4473</v>
      </c>
      <c r="B1258" s="6" t="s">
        <v>4474</v>
      </c>
      <c r="C1258" s="6" t="s">
        <v>4461</v>
      </c>
      <c r="D1258" s="15" t="s">
        <v>35</v>
      </c>
      <c r="E1258" s="15" t="s">
        <v>243</v>
      </c>
      <c r="F1258" s="16" t="s">
        <v>4475</v>
      </c>
      <c r="G1258" s="6" t="s">
        <v>37</v>
      </c>
      <c r="H1258" s="6" t="s">
        <v>4476</v>
      </c>
    </row>
    <row r="1259" ht="12.75" customHeight="1">
      <c r="A1259" s="6" t="s">
        <v>4477</v>
      </c>
      <c r="B1259" s="6" t="s">
        <v>4474</v>
      </c>
      <c r="C1259" s="6" t="s">
        <v>221</v>
      </c>
      <c r="D1259" s="15" t="s">
        <v>222</v>
      </c>
      <c r="E1259" s="15" t="s">
        <v>35</v>
      </c>
      <c r="F1259" s="16" t="s">
        <v>4478</v>
      </c>
      <c r="G1259" s="6" t="s">
        <v>37</v>
      </c>
      <c r="H1259" s="6" t="s">
        <v>4479</v>
      </c>
    </row>
    <row r="1260" ht="12.75" customHeight="1">
      <c r="A1260" s="6" t="s">
        <v>4480</v>
      </c>
      <c r="B1260" s="6" t="s">
        <v>4474</v>
      </c>
      <c r="C1260" s="6" t="s">
        <v>3381</v>
      </c>
      <c r="D1260" s="15" t="s">
        <v>4481</v>
      </c>
      <c r="E1260" s="15" t="s">
        <v>35</v>
      </c>
      <c r="F1260" s="16" t="s">
        <v>4482</v>
      </c>
      <c r="G1260" s="6" t="s">
        <v>37</v>
      </c>
      <c r="H1260" s="6" t="s">
        <v>4483</v>
      </c>
    </row>
    <row r="1261" ht="12.75" customHeight="1">
      <c r="A1261" s="6" t="s">
        <v>4484</v>
      </c>
      <c r="B1261" s="6" t="s">
        <v>4474</v>
      </c>
      <c r="C1261" s="6" t="s">
        <v>4485</v>
      </c>
      <c r="D1261" s="15" t="s">
        <v>4486</v>
      </c>
      <c r="E1261" s="15" t="s">
        <v>35</v>
      </c>
      <c r="F1261" s="16" t="s">
        <v>4487</v>
      </c>
      <c r="G1261" s="6" t="s">
        <v>37</v>
      </c>
      <c r="H1261" s="6" t="s">
        <v>4488</v>
      </c>
    </row>
    <row r="1262" ht="12.75" customHeight="1">
      <c r="A1262" s="6" t="s">
        <v>4489</v>
      </c>
      <c r="B1262" s="6" t="s">
        <v>4474</v>
      </c>
      <c r="C1262" s="6" t="s">
        <v>4485</v>
      </c>
      <c r="D1262" s="15" t="s">
        <v>502</v>
      </c>
      <c r="E1262" s="15" t="s">
        <v>35</v>
      </c>
      <c r="F1262" s="16" t="s">
        <v>4490</v>
      </c>
      <c r="G1262" s="6" t="s">
        <v>37</v>
      </c>
      <c r="H1262" s="6" t="s">
        <v>4491</v>
      </c>
    </row>
    <row r="1263" ht="12.75" customHeight="1">
      <c r="A1263" s="6" t="s">
        <v>4492</v>
      </c>
      <c r="B1263" s="6" t="s">
        <v>4493</v>
      </c>
      <c r="C1263" s="6" t="s">
        <v>2936</v>
      </c>
      <c r="D1263" s="15" t="s">
        <v>183</v>
      </c>
      <c r="E1263" s="15" t="s">
        <v>35</v>
      </c>
      <c r="F1263" s="16" t="s">
        <v>4494</v>
      </c>
      <c r="G1263" s="6" t="s">
        <v>37</v>
      </c>
      <c r="H1263" s="6" t="s">
        <v>4495</v>
      </c>
    </row>
    <row r="1264" ht="12.75" customHeight="1">
      <c r="A1264" s="6" t="s">
        <v>4496</v>
      </c>
      <c r="B1264" s="6" t="s">
        <v>4493</v>
      </c>
      <c r="C1264" s="6" t="s">
        <v>4461</v>
      </c>
      <c r="D1264" s="15" t="s">
        <v>35</v>
      </c>
      <c r="E1264" s="15" t="s">
        <v>243</v>
      </c>
      <c r="F1264" s="16" t="s">
        <v>4497</v>
      </c>
      <c r="G1264" s="6" t="s">
        <v>37</v>
      </c>
      <c r="H1264" s="6" t="s">
        <v>4498</v>
      </c>
    </row>
    <row r="1265" ht="12.75" customHeight="1">
      <c r="A1265" s="6" t="s">
        <v>4499</v>
      </c>
      <c r="B1265" s="6" t="s">
        <v>4493</v>
      </c>
      <c r="C1265" s="6" t="s">
        <v>221</v>
      </c>
      <c r="D1265" s="15" t="s">
        <v>222</v>
      </c>
      <c r="E1265" s="15" t="s">
        <v>35</v>
      </c>
      <c r="F1265" s="16" t="s">
        <v>4500</v>
      </c>
      <c r="G1265" s="6" t="s">
        <v>37</v>
      </c>
      <c r="H1265" s="6" t="s">
        <v>4501</v>
      </c>
    </row>
    <row r="1266" ht="12.75" customHeight="1">
      <c r="A1266" s="6" t="s">
        <v>4502</v>
      </c>
      <c r="B1266" s="6" t="s">
        <v>4493</v>
      </c>
      <c r="C1266" s="6" t="s">
        <v>878</v>
      </c>
      <c r="D1266" s="15" t="s">
        <v>97</v>
      </c>
      <c r="E1266" s="15" t="s">
        <v>35</v>
      </c>
      <c r="F1266" s="16" t="s">
        <v>4503</v>
      </c>
      <c r="G1266" s="6" t="s">
        <v>37</v>
      </c>
      <c r="H1266" s="6" t="s">
        <v>4504</v>
      </c>
    </row>
    <row r="1267" ht="12.75" customHeight="1">
      <c r="A1267" s="6" t="s">
        <v>4505</v>
      </c>
      <c r="B1267" s="6" t="s">
        <v>4493</v>
      </c>
      <c r="C1267" s="6" t="s">
        <v>4506</v>
      </c>
      <c r="D1267" s="15" t="s">
        <v>4507</v>
      </c>
      <c r="E1267" s="15" t="s">
        <v>35</v>
      </c>
      <c r="F1267" s="16" t="s">
        <v>4508</v>
      </c>
      <c r="G1267" s="6" t="s">
        <v>37</v>
      </c>
      <c r="H1267" s="6" t="s">
        <v>4509</v>
      </c>
    </row>
    <row r="1268" ht="12.75" customHeight="1">
      <c r="A1268" s="6" t="s">
        <v>4510</v>
      </c>
      <c r="B1268" s="6" t="s">
        <v>4493</v>
      </c>
      <c r="C1268" s="6" t="s">
        <v>4506</v>
      </c>
      <c r="D1268" s="15" t="s">
        <v>71</v>
      </c>
      <c r="E1268" s="15" t="s">
        <v>35</v>
      </c>
      <c r="F1268" s="16" t="s">
        <v>4511</v>
      </c>
      <c r="G1268" s="6" t="s">
        <v>37</v>
      </c>
      <c r="H1268" s="6" t="s">
        <v>4512</v>
      </c>
    </row>
    <row r="1269" ht="12.75" customHeight="1">
      <c r="A1269" s="6" t="s">
        <v>4513</v>
      </c>
      <c r="B1269" s="6" t="s">
        <v>4493</v>
      </c>
      <c r="C1269" s="6" t="s">
        <v>4514</v>
      </c>
      <c r="D1269" s="15" t="s">
        <v>4515</v>
      </c>
      <c r="E1269" s="15" t="s">
        <v>35</v>
      </c>
      <c r="F1269" s="16" t="s">
        <v>4516</v>
      </c>
      <c r="G1269" s="6" t="s">
        <v>37</v>
      </c>
      <c r="H1269" s="6" t="s">
        <v>4517</v>
      </c>
    </row>
    <row r="1270" ht="12.75" customHeight="1">
      <c r="A1270" s="6" t="s">
        <v>4518</v>
      </c>
      <c r="B1270" s="6" t="s">
        <v>4493</v>
      </c>
      <c r="C1270" s="6" t="s">
        <v>4519</v>
      </c>
      <c r="D1270" s="15" t="s">
        <v>35</v>
      </c>
      <c r="E1270" s="15" t="s">
        <v>4520</v>
      </c>
      <c r="F1270" s="16" t="s">
        <v>4521</v>
      </c>
      <c r="G1270" s="6" t="s">
        <v>37</v>
      </c>
      <c r="H1270" s="6" t="s">
        <v>4522</v>
      </c>
    </row>
    <row r="1271" ht="12.75" customHeight="1">
      <c r="A1271" s="6" t="s">
        <v>4523</v>
      </c>
      <c r="B1271" s="6" t="s">
        <v>4493</v>
      </c>
      <c r="C1271" s="6" t="s">
        <v>221</v>
      </c>
      <c r="D1271" s="15" t="s">
        <v>222</v>
      </c>
      <c r="E1271" s="15" t="s">
        <v>35</v>
      </c>
      <c r="F1271" s="16" t="s">
        <v>4524</v>
      </c>
      <c r="G1271" s="6" t="s">
        <v>37</v>
      </c>
      <c r="H1271" s="6" t="s">
        <v>4525</v>
      </c>
    </row>
    <row r="1272" ht="12.75" customHeight="1">
      <c r="A1272" s="6" t="s">
        <v>4526</v>
      </c>
      <c r="B1272" s="6" t="s">
        <v>4493</v>
      </c>
      <c r="C1272" s="6" t="s">
        <v>397</v>
      </c>
      <c r="D1272" s="15" t="s">
        <v>4527</v>
      </c>
      <c r="E1272" s="15" t="s">
        <v>35</v>
      </c>
      <c r="F1272" s="16" t="s">
        <v>4528</v>
      </c>
      <c r="G1272" s="6" t="s">
        <v>37</v>
      </c>
      <c r="H1272" s="6" t="s">
        <v>4529</v>
      </c>
    </row>
    <row r="1273" ht="12.75" customHeight="1">
      <c r="A1273" s="6" t="s">
        <v>4530</v>
      </c>
      <c r="B1273" s="6" t="s">
        <v>4493</v>
      </c>
      <c r="C1273" s="6" t="s">
        <v>2412</v>
      </c>
      <c r="D1273" s="15" t="s">
        <v>50</v>
      </c>
      <c r="E1273" s="15" t="s">
        <v>35</v>
      </c>
      <c r="F1273" s="16" t="s">
        <v>4531</v>
      </c>
      <c r="G1273" s="6" t="s">
        <v>37</v>
      </c>
      <c r="H1273" s="6" t="s">
        <v>4532</v>
      </c>
    </row>
    <row r="1274" ht="12.75" customHeight="1">
      <c r="A1274" s="6" t="s">
        <v>4533</v>
      </c>
      <c r="B1274" s="6" t="s">
        <v>4534</v>
      </c>
      <c r="C1274" s="6" t="s">
        <v>2412</v>
      </c>
      <c r="D1274" s="15" t="s">
        <v>502</v>
      </c>
      <c r="E1274" s="15" t="s">
        <v>35</v>
      </c>
      <c r="F1274" s="16" t="s">
        <v>4535</v>
      </c>
      <c r="G1274" s="6" t="s">
        <v>37</v>
      </c>
      <c r="H1274" s="6" t="s">
        <v>4536</v>
      </c>
    </row>
    <row r="1275" ht="12.75" customHeight="1">
      <c r="A1275" s="6" t="s">
        <v>4537</v>
      </c>
      <c r="B1275" s="6" t="s">
        <v>4534</v>
      </c>
      <c r="C1275" s="6" t="s">
        <v>4538</v>
      </c>
      <c r="D1275" s="15" t="s">
        <v>35</v>
      </c>
      <c r="E1275" s="15" t="s">
        <v>65</v>
      </c>
      <c r="F1275" s="16" t="s">
        <v>4539</v>
      </c>
      <c r="G1275" s="6" t="s">
        <v>37</v>
      </c>
      <c r="H1275" s="6" t="s">
        <v>4540</v>
      </c>
    </row>
    <row r="1276" ht="12.75" customHeight="1">
      <c r="A1276" s="6" t="s">
        <v>4541</v>
      </c>
      <c r="B1276" s="6" t="s">
        <v>4542</v>
      </c>
      <c r="C1276" s="6" t="s">
        <v>33</v>
      </c>
      <c r="D1276" s="15" t="s">
        <v>34</v>
      </c>
      <c r="E1276" s="15" t="s">
        <v>35</v>
      </c>
      <c r="F1276" s="16" t="s">
        <v>4543</v>
      </c>
      <c r="G1276" s="6" t="s">
        <v>37</v>
      </c>
      <c r="H1276" s="6" t="s">
        <v>4544</v>
      </c>
    </row>
    <row r="1277" ht="12.75" customHeight="1">
      <c r="A1277" s="6" t="s">
        <v>4545</v>
      </c>
      <c r="B1277" s="6" t="s">
        <v>4542</v>
      </c>
      <c r="C1277" s="6" t="s">
        <v>4546</v>
      </c>
      <c r="D1277" s="15" t="s">
        <v>3484</v>
      </c>
      <c r="E1277" s="15" t="s">
        <v>35</v>
      </c>
      <c r="F1277" s="16" t="s">
        <v>4547</v>
      </c>
      <c r="G1277" s="6" t="s">
        <v>868</v>
      </c>
      <c r="H1277" s="6" t="s">
        <v>4548</v>
      </c>
    </row>
    <row r="1278" ht="12.75" customHeight="1">
      <c r="A1278" s="6" t="s">
        <v>4549</v>
      </c>
      <c r="B1278" s="6" t="s">
        <v>4542</v>
      </c>
      <c r="C1278" s="6" t="s">
        <v>4550</v>
      </c>
      <c r="D1278" s="15" t="s">
        <v>515</v>
      </c>
      <c r="E1278" s="15" t="s">
        <v>35</v>
      </c>
      <c r="F1278" s="16" t="s">
        <v>4551</v>
      </c>
      <c r="G1278" s="6" t="s">
        <v>868</v>
      </c>
      <c r="H1278" s="6" t="s">
        <v>4552</v>
      </c>
    </row>
    <row r="1279" ht="12.75" customHeight="1">
      <c r="A1279" s="6" t="s">
        <v>4553</v>
      </c>
      <c r="B1279" s="6" t="s">
        <v>4542</v>
      </c>
      <c r="C1279" s="6" t="s">
        <v>4554</v>
      </c>
      <c r="D1279" s="15" t="s">
        <v>183</v>
      </c>
      <c r="E1279" s="15" t="s">
        <v>35</v>
      </c>
      <c r="F1279" s="16" t="s">
        <v>4555</v>
      </c>
      <c r="G1279" s="6" t="s">
        <v>37</v>
      </c>
      <c r="H1279" s="6" t="s">
        <v>4556</v>
      </c>
    </row>
    <row r="1280" ht="12.75" customHeight="1">
      <c r="A1280" s="6" t="s">
        <v>4557</v>
      </c>
      <c r="B1280" s="6" t="s">
        <v>4558</v>
      </c>
      <c r="C1280" s="6" t="s">
        <v>33</v>
      </c>
      <c r="D1280" s="15" t="s">
        <v>4559</v>
      </c>
      <c r="E1280" s="15" t="s">
        <v>35</v>
      </c>
      <c r="F1280" s="16" t="s">
        <v>4560</v>
      </c>
      <c r="G1280" s="6" t="s">
        <v>37</v>
      </c>
      <c r="H1280" s="6" t="s">
        <v>4561</v>
      </c>
    </row>
    <row r="1281" ht="12.75" customHeight="1">
      <c r="A1281" s="6" t="s">
        <v>4562</v>
      </c>
      <c r="B1281" s="6" t="s">
        <v>4558</v>
      </c>
      <c r="C1281" s="6" t="s">
        <v>4563</v>
      </c>
      <c r="D1281" s="15" t="s">
        <v>50</v>
      </c>
      <c r="E1281" s="15" t="s">
        <v>35</v>
      </c>
      <c r="F1281" s="16" t="s">
        <v>4564</v>
      </c>
      <c r="G1281" s="6" t="s">
        <v>37</v>
      </c>
      <c r="H1281" s="6" t="s">
        <v>4565</v>
      </c>
    </row>
    <row r="1282" ht="12.75" customHeight="1">
      <c r="A1282" s="6" t="s">
        <v>4566</v>
      </c>
      <c r="B1282" s="6" t="s">
        <v>4567</v>
      </c>
      <c r="C1282" s="6" t="s">
        <v>4568</v>
      </c>
      <c r="D1282" s="15" t="s">
        <v>35</v>
      </c>
      <c r="E1282" s="15" t="s">
        <v>2030</v>
      </c>
      <c r="F1282" s="16" t="s">
        <v>4569</v>
      </c>
      <c r="G1282" s="6" t="s">
        <v>37</v>
      </c>
      <c r="H1282" s="6" t="s">
        <v>4570</v>
      </c>
    </row>
    <row r="1283" ht="12.75" customHeight="1">
      <c r="A1283" s="6" t="s">
        <v>4571</v>
      </c>
      <c r="B1283" s="6" t="s">
        <v>4567</v>
      </c>
      <c r="C1283" s="6" t="s">
        <v>221</v>
      </c>
      <c r="D1283" s="15" t="s">
        <v>222</v>
      </c>
      <c r="E1283" s="15" t="s">
        <v>35</v>
      </c>
      <c r="F1283" s="16" t="s">
        <v>4572</v>
      </c>
      <c r="G1283" s="6" t="s">
        <v>37</v>
      </c>
      <c r="H1283" s="6" t="s">
        <v>4573</v>
      </c>
    </row>
    <row r="1284" ht="12.75" customHeight="1">
      <c r="A1284" s="6" t="s">
        <v>4574</v>
      </c>
      <c r="B1284" s="6" t="s">
        <v>4567</v>
      </c>
      <c r="C1284" s="6" t="s">
        <v>2412</v>
      </c>
      <c r="D1284" s="15" t="s">
        <v>719</v>
      </c>
      <c r="E1284" s="15" t="s">
        <v>35</v>
      </c>
      <c r="F1284" s="16" t="s">
        <v>4575</v>
      </c>
      <c r="G1284" s="6" t="s">
        <v>37</v>
      </c>
      <c r="H1284" s="6" t="s">
        <v>4576</v>
      </c>
    </row>
    <row r="1285" ht="12.75" customHeight="1">
      <c r="A1285" s="6" t="s">
        <v>4577</v>
      </c>
      <c r="B1285" s="6" t="s">
        <v>4578</v>
      </c>
      <c r="C1285" s="6" t="s">
        <v>70</v>
      </c>
      <c r="D1285" s="15" t="s">
        <v>97</v>
      </c>
      <c r="E1285" s="15" t="s">
        <v>35</v>
      </c>
      <c r="F1285" s="16" t="s">
        <v>4579</v>
      </c>
      <c r="G1285" s="6" t="s">
        <v>37</v>
      </c>
      <c r="H1285" s="6" t="s">
        <v>4580</v>
      </c>
    </row>
    <row r="1286" ht="12.75" customHeight="1">
      <c r="A1286" s="6" t="s">
        <v>4581</v>
      </c>
      <c r="B1286" s="6" t="s">
        <v>4578</v>
      </c>
      <c r="C1286" s="6" t="s">
        <v>4582</v>
      </c>
      <c r="D1286" s="15" t="s">
        <v>35</v>
      </c>
      <c r="E1286" s="15" t="s">
        <v>2030</v>
      </c>
      <c r="F1286" s="16" t="s">
        <v>4583</v>
      </c>
      <c r="G1286" s="6" t="s">
        <v>37</v>
      </c>
      <c r="H1286" s="6" t="s">
        <v>4584</v>
      </c>
    </row>
    <row r="1287" ht="12.75" customHeight="1">
      <c r="A1287" s="6" t="s">
        <v>4585</v>
      </c>
      <c r="B1287" s="6" t="s">
        <v>4578</v>
      </c>
      <c r="C1287" s="6" t="s">
        <v>221</v>
      </c>
      <c r="D1287" s="15" t="s">
        <v>222</v>
      </c>
      <c r="E1287" s="15" t="s">
        <v>35</v>
      </c>
      <c r="F1287" s="16" t="s">
        <v>4586</v>
      </c>
      <c r="G1287" s="6" t="s">
        <v>37</v>
      </c>
      <c r="H1287" s="6" t="s">
        <v>4587</v>
      </c>
    </row>
    <row r="1288" ht="12.75" customHeight="1">
      <c r="A1288" s="6" t="s">
        <v>4588</v>
      </c>
      <c r="B1288" s="6" t="s">
        <v>4578</v>
      </c>
      <c r="C1288" s="6" t="s">
        <v>4589</v>
      </c>
      <c r="D1288" s="15" t="s">
        <v>2030</v>
      </c>
      <c r="E1288" s="15" t="s">
        <v>35</v>
      </c>
      <c r="F1288" s="16" t="s">
        <v>4590</v>
      </c>
      <c r="G1288" s="6" t="s">
        <v>868</v>
      </c>
      <c r="H1288" s="6" t="s">
        <v>4591</v>
      </c>
    </row>
    <row r="1289" ht="12.75" customHeight="1">
      <c r="A1289" s="6" t="s">
        <v>4592</v>
      </c>
      <c r="B1289" s="6" t="s">
        <v>4578</v>
      </c>
      <c r="C1289" s="6" t="s">
        <v>40</v>
      </c>
      <c r="D1289" s="15" t="s">
        <v>35</v>
      </c>
      <c r="E1289" s="15" t="s">
        <v>97</v>
      </c>
      <c r="F1289" s="16" t="s">
        <v>4593</v>
      </c>
      <c r="G1289" s="6" t="s">
        <v>37</v>
      </c>
      <c r="H1289" s="6" t="s">
        <v>4594</v>
      </c>
    </row>
    <row r="1290" ht="12.75" customHeight="1">
      <c r="A1290" s="6" t="s">
        <v>4595</v>
      </c>
      <c r="B1290" s="6" t="s">
        <v>4596</v>
      </c>
      <c r="C1290" s="6" t="s">
        <v>2412</v>
      </c>
      <c r="D1290" s="15" t="s">
        <v>507</v>
      </c>
      <c r="E1290" s="15" t="s">
        <v>35</v>
      </c>
      <c r="F1290" s="16" t="s">
        <v>4597</v>
      </c>
      <c r="G1290" s="6" t="s">
        <v>37</v>
      </c>
      <c r="H1290" s="6" t="s">
        <v>4598</v>
      </c>
    </row>
    <row r="1291" ht="12.75" customHeight="1">
      <c r="A1291" s="6" t="s">
        <v>4599</v>
      </c>
      <c r="B1291" s="6" t="s">
        <v>4596</v>
      </c>
      <c r="C1291" s="6" t="s">
        <v>33</v>
      </c>
      <c r="D1291" s="15" t="s">
        <v>34</v>
      </c>
      <c r="E1291" s="15" t="s">
        <v>35</v>
      </c>
      <c r="F1291" s="16" t="s">
        <v>4600</v>
      </c>
      <c r="G1291" s="6" t="s">
        <v>37</v>
      </c>
      <c r="H1291" s="6" t="s">
        <v>4601</v>
      </c>
    </row>
    <row r="1292" ht="12.75" customHeight="1">
      <c r="A1292" s="6" t="s">
        <v>4602</v>
      </c>
      <c r="B1292" s="6" t="s">
        <v>4596</v>
      </c>
      <c r="C1292" s="6" t="s">
        <v>4603</v>
      </c>
      <c r="D1292" s="15" t="s">
        <v>35</v>
      </c>
      <c r="E1292" s="15" t="s">
        <v>547</v>
      </c>
      <c r="F1292" s="16" t="s">
        <v>4604</v>
      </c>
      <c r="G1292" s="6" t="s">
        <v>37</v>
      </c>
      <c r="H1292" s="6" t="s">
        <v>4605</v>
      </c>
    </row>
    <row r="1293" ht="12.75" customHeight="1">
      <c r="A1293" s="6" t="s">
        <v>4606</v>
      </c>
      <c r="B1293" s="6" t="s">
        <v>4596</v>
      </c>
      <c r="C1293" s="6" t="s">
        <v>4607</v>
      </c>
      <c r="D1293" s="15" t="s">
        <v>946</v>
      </c>
      <c r="E1293" s="15" t="s">
        <v>35</v>
      </c>
      <c r="F1293" s="16" t="s">
        <v>4608</v>
      </c>
      <c r="G1293" s="6" t="s">
        <v>37</v>
      </c>
      <c r="H1293" s="6" t="s">
        <v>4609</v>
      </c>
    </row>
    <row r="1294" ht="12.75" customHeight="1">
      <c r="A1294" s="6" t="s">
        <v>4610</v>
      </c>
      <c r="B1294" s="6" t="s">
        <v>4596</v>
      </c>
      <c r="C1294" s="6" t="s">
        <v>4611</v>
      </c>
      <c r="D1294" s="15" t="s">
        <v>295</v>
      </c>
      <c r="E1294" s="15" t="s">
        <v>35</v>
      </c>
      <c r="F1294" s="16" t="s">
        <v>4612</v>
      </c>
      <c r="G1294" s="6" t="s">
        <v>37</v>
      </c>
      <c r="H1294" s="6" t="s">
        <v>4613</v>
      </c>
    </row>
    <row r="1295" ht="12.75" customHeight="1">
      <c r="A1295" s="6" t="s">
        <v>4614</v>
      </c>
      <c r="B1295" s="6" t="s">
        <v>4596</v>
      </c>
      <c r="C1295" s="6" t="s">
        <v>4615</v>
      </c>
      <c r="D1295" s="15" t="s">
        <v>35</v>
      </c>
      <c r="E1295" s="15" t="s">
        <v>71</v>
      </c>
      <c r="F1295" s="16" t="s">
        <v>4616</v>
      </c>
      <c r="G1295" s="6" t="s">
        <v>37</v>
      </c>
      <c r="H1295" s="6" t="s">
        <v>4617</v>
      </c>
    </row>
    <row r="1296" ht="12.75" customHeight="1">
      <c r="A1296" s="6" t="s">
        <v>4618</v>
      </c>
      <c r="B1296" s="6" t="s">
        <v>4596</v>
      </c>
      <c r="C1296" s="6" t="s">
        <v>4619</v>
      </c>
      <c r="D1296" s="15" t="s">
        <v>101</v>
      </c>
      <c r="E1296" s="15" t="s">
        <v>35</v>
      </c>
      <c r="F1296" s="16" t="s">
        <v>4620</v>
      </c>
      <c r="G1296" s="6" t="s">
        <v>37</v>
      </c>
      <c r="H1296" s="6" t="s">
        <v>4621</v>
      </c>
    </row>
    <row r="1297" ht="12.75" customHeight="1">
      <c r="A1297" s="6" t="s">
        <v>4622</v>
      </c>
      <c r="B1297" s="6" t="s">
        <v>4596</v>
      </c>
      <c r="C1297" s="6" t="s">
        <v>912</v>
      </c>
      <c r="D1297" s="15" t="s">
        <v>35</v>
      </c>
      <c r="E1297" s="15" t="s">
        <v>97</v>
      </c>
      <c r="F1297" s="16" t="s">
        <v>4623</v>
      </c>
      <c r="G1297" s="6" t="s">
        <v>37</v>
      </c>
      <c r="H1297" s="6" t="s">
        <v>4624</v>
      </c>
    </row>
    <row r="1298" ht="12.75" customHeight="1">
      <c r="A1298" s="6" t="s">
        <v>4625</v>
      </c>
      <c r="B1298" s="6" t="s">
        <v>4596</v>
      </c>
      <c r="C1298" s="6" t="s">
        <v>33</v>
      </c>
      <c r="D1298" s="15" t="s">
        <v>97</v>
      </c>
      <c r="E1298" s="15" t="s">
        <v>35</v>
      </c>
      <c r="F1298" s="16" t="s">
        <v>4620</v>
      </c>
      <c r="G1298" s="6" t="s">
        <v>37</v>
      </c>
      <c r="H1298" s="6" t="s">
        <v>4626</v>
      </c>
    </row>
    <row r="1299" ht="12.75" customHeight="1">
      <c r="A1299" s="6" t="s">
        <v>4627</v>
      </c>
      <c r="B1299" s="6" t="s">
        <v>4628</v>
      </c>
      <c r="C1299" s="6" t="s">
        <v>4629</v>
      </c>
      <c r="D1299" s="15" t="s">
        <v>35</v>
      </c>
      <c r="E1299" s="15" t="s">
        <v>97</v>
      </c>
      <c r="F1299" s="16" t="s">
        <v>4623</v>
      </c>
      <c r="G1299" s="6" t="s">
        <v>37</v>
      </c>
      <c r="H1299" s="6" t="s">
        <v>4630</v>
      </c>
    </row>
    <row r="1300" ht="12.75" customHeight="1">
      <c r="A1300" s="6" t="s">
        <v>4631</v>
      </c>
      <c r="B1300" s="6" t="s">
        <v>4628</v>
      </c>
      <c r="C1300" s="6" t="s">
        <v>33</v>
      </c>
      <c r="D1300" s="15" t="s">
        <v>4265</v>
      </c>
      <c r="E1300" s="15" t="s">
        <v>35</v>
      </c>
      <c r="F1300" s="16" t="s">
        <v>4632</v>
      </c>
      <c r="G1300" s="6" t="s">
        <v>37</v>
      </c>
      <c r="H1300" s="6" t="s">
        <v>4633</v>
      </c>
    </row>
    <row r="1301" ht="12.75" customHeight="1">
      <c r="A1301" s="6" t="s">
        <v>4634</v>
      </c>
      <c r="B1301" s="6" t="s">
        <v>4628</v>
      </c>
      <c r="C1301" s="6" t="s">
        <v>33</v>
      </c>
      <c r="D1301" s="15" t="s">
        <v>443</v>
      </c>
      <c r="E1301" s="15" t="s">
        <v>35</v>
      </c>
      <c r="F1301" s="16" t="s">
        <v>4635</v>
      </c>
      <c r="G1301" s="6" t="s">
        <v>37</v>
      </c>
      <c r="H1301" s="6" t="s">
        <v>4636</v>
      </c>
    </row>
    <row r="1302" ht="12.75" customHeight="1">
      <c r="A1302" s="6" t="s">
        <v>4637</v>
      </c>
      <c r="B1302" s="6" t="s">
        <v>4638</v>
      </c>
      <c r="C1302" s="6" t="s">
        <v>188</v>
      </c>
      <c r="D1302" s="15" t="s">
        <v>35</v>
      </c>
      <c r="E1302" s="15" t="s">
        <v>97</v>
      </c>
      <c r="F1302" s="16" t="s">
        <v>4639</v>
      </c>
      <c r="G1302" s="6" t="s">
        <v>37</v>
      </c>
      <c r="H1302" s="6" t="s">
        <v>4640</v>
      </c>
    </row>
    <row r="1303" ht="12.75" customHeight="1">
      <c r="A1303" s="6" t="s">
        <v>4641</v>
      </c>
      <c r="B1303" s="6" t="s">
        <v>4638</v>
      </c>
      <c r="C1303" s="6" t="s">
        <v>2412</v>
      </c>
      <c r="D1303" s="15" t="s">
        <v>443</v>
      </c>
      <c r="E1303" s="15" t="s">
        <v>35</v>
      </c>
      <c r="F1303" s="16" t="s">
        <v>4642</v>
      </c>
      <c r="G1303" s="6" t="s">
        <v>37</v>
      </c>
      <c r="H1303" s="6" t="s">
        <v>4643</v>
      </c>
    </row>
    <row r="1304" ht="12.75" customHeight="1">
      <c r="A1304" s="6" t="s">
        <v>4644</v>
      </c>
      <c r="B1304" s="6" t="s">
        <v>4638</v>
      </c>
      <c r="C1304" s="6" t="s">
        <v>33</v>
      </c>
      <c r="D1304" s="15" t="s">
        <v>34</v>
      </c>
      <c r="E1304" s="15" t="s">
        <v>35</v>
      </c>
      <c r="F1304" s="16" t="s">
        <v>4632</v>
      </c>
      <c r="G1304" s="6" t="s">
        <v>37</v>
      </c>
      <c r="H1304" s="6" t="s">
        <v>4645</v>
      </c>
    </row>
    <row r="1305" ht="12.75" customHeight="1">
      <c r="A1305" s="6" t="s">
        <v>4646</v>
      </c>
      <c r="B1305" s="6" t="s">
        <v>4647</v>
      </c>
      <c r="C1305" s="6" t="s">
        <v>4648</v>
      </c>
      <c r="D1305" s="15" t="s">
        <v>35</v>
      </c>
      <c r="E1305" s="15" t="s">
        <v>4649</v>
      </c>
      <c r="F1305" s="16" t="s">
        <v>4650</v>
      </c>
      <c r="G1305" s="6" t="s">
        <v>37</v>
      </c>
      <c r="H1305" s="6" t="s">
        <v>4651</v>
      </c>
    </row>
    <row r="1306" ht="12.75" customHeight="1">
      <c r="A1306" s="6" t="s">
        <v>4652</v>
      </c>
      <c r="B1306" s="6" t="s">
        <v>4647</v>
      </c>
      <c r="C1306" s="6" t="s">
        <v>221</v>
      </c>
      <c r="D1306" s="15" t="s">
        <v>222</v>
      </c>
      <c r="E1306" s="15" t="s">
        <v>35</v>
      </c>
      <c r="F1306" s="16" t="s">
        <v>4653</v>
      </c>
      <c r="G1306" s="6" t="s">
        <v>37</v>
      </c>
      <c r="H1306" s="6" t="s">
        <v>4654</v>
      </c>
    </row>
    <row r="1307" ht="12.75" customHeight="1">
      <c r="A1307" s="6" t="s">
        <v>4655</v>
      </c>
      <c r="B1307" s="6" t="s">
        <v>4647</v>
      </c>
      <c r="C1307" s="6" t="s">
        <v>397</v>
      </c>
      <c r="D1307" s="15" t="s">
        <v>4656</v>
      </c>
      <c r="E1307" s="15" t="s">
        <v>35</v>
      </c>
      <c r="F1307" s="16" t="s">
        <v>4657</v>
      </c>
      <c r="G1307" s="6" t="s">
        <v>37</v>
      </c>
      <c r="H1307" s="6" t="s">
        <v>4658</v>
      </c>
    </row>
    <row r="1308" ht="12.75" customHeight="1">
      <c r="A1308" s="6" t="s">
        <v>4659</v>
      </c>
      <c r="B1308" s="6" t="s">
        <v>4647</v>
      </c>
      <c r="C1308" s="6" t="s">
        <v>4660</v>
      </c>
      <c r="D1308" s="15" t="s">
        <v>35</v>
      </c>
      <c r="E1308" s="15" t="s">
        <v>97</v>
      </c>
      <c r="F1308" s="16" t="s">
        <v>4661</v>
      </c>
      <c r="G1308" s="6" t="s">
        <v>37</v>
      </c>
      <c r="H1308" s="6" t="s">
        <v>4662</v>
      </c>
    </row>
    <row r="1309" ht="12.75" customHeight="1">
      <c r="A1309" s="6" t="s">
        <v>4663</v>
      </c>
      <c r="B1309" s="6" t="s">
        <v>4647</v>
      </c>
      <c r="C1309" s="6" t="s">
        <v>2412</v>
      </c>
      <c r="D1309" s="15" t="s">
        <v>685</v>
      </c>
      <c r="E1309" s="15" t="s">
        <v>35</v>
      </c>
      <c r="F1309" s="16" t="s">
        <v>4664</v>
      </c>
      <c r="G1309" s="6" t="s">
        <v>37</v>
      </c>
      <c r="H1309" s="6" t="s">
        <v>4665</v>
      </c>
    </row>
    <row r="1310" ht="12.75" customHeight="1">
      <c r="A1310" s="6" t="s">
        <v>4666</v>
      </c>
      <c r="B1310" s="6" t="s">
        <v>4667</v>
      </c>
      <c r="C1310" s="6" t="s">
        <v>2412</v>
      </c>
      <c r="D1310" s="15" t="s">
        <v>443</v>
      </c>
      <c r="E1310" s="15" t="s">
        <v>35</v>
      </c>
      <c r="F1310" s="16" t="s">
        <v>4668</v>
      </c>
      <c r="G1310" s="6" t="s">
        <v>37</v>
      </c>
      <c r="H1310" s="6" t="s">
        <v>4669</v>
      </c>
    </row>
    <row r="1311" ht="12.75" customHeight="1">
      <c r="A1311" s="6" t="s">
        <v>4670</v>
      </c>
      <c r="B1311" s="6" t="s">
        <v>4667</v>
      </c>
      <c r="C1311" s="6" t="s">
        <v>2412</v>
      </c>
      <c r="D1311" s="15" t="s">
        <v>119</v>
      </c>
      <c r="E1311" s="15" t="s">
        <v>35</v>
      </c>
      <c r="F1311" s="16" t="s">
        <v>4671</v>
      </c>
      <c r="G1311" s="6" t="s">
        <v>37</v>
      </c>
      <c r="H1311" s="6" t="s">
        <v>4672</v>
      </c>
    </row>
    <row r="1312" ht="12.75" customHeight="1">
      <c r="A1312" s="6" t="s">
        <v>4673</v>
      </c>
      <c r="B1312" s="6" t="s">
        <v>4667</v>
      </c>
      <c r="C1312" s="6" t="s">
        <v>4674</v>
      </c>
      <c r="D1312" s="15" t="s">
        <v>50</v>
      </c>
      <c r="E1312" s="15" t="s">
        <v>35</v>
      </c>
      <c r="F1312" s="16" t="s">
        <v>4675</v>
      </c>
      <c r="G1312" s="6" t="s">
        <v>37</v>
      </c>
      <c r="H1312" s="6" t="s">
        <v>4676</v>
      </c>
    </row>
    <row r="1313" ht="12.75" customHeight="1">
      <c r="A1313" s="6" t="s">
        <v>4677</v>
      </c>
      <c r="B1313" s="6" t="s">
        <v>4678</v>
      </c>
      <c r="C1313" s="6" t="s">
        <v>3035</v>
      </c>
      <c r="D1313" s="15" t="s">
        <v>35</v>
      </c>
      <c r="E1313" s="15" t="s">
        <v>4679</v>
      </c>
      <c r="F1313" s="16" t="s">
        <v>4680</v>
      </c>
      <c r="G1313" s="6" t="s">
        <v>37</v>
      </c>
      <c r="H1313" s="6" t="s">
        <v>4681</v>
      </c>
    </row>
    <row r="1314" ht="12.75" customHeight="1">
      <c r="A1314" s="6" t="s">
        <v>4682</v>
      </c>
      <c r="B1314" s="6" t="s">
        <v>4678</v>
      </c>
      <c r="C1314" s="6" t="s">
        <v>221</v>
      </c>
      <c r="D1314" s="15" t="s">
        <v>222</v>
      </c>
      <c r="E1314" s="15" t="s">
        <v>35</v>
      </c>
      <c r="F1314" s="16" t="s">
        <v>4683</v>
      </c>
      <c r="G1314" s="6" t="s">
        <v>37</v>
      </c>
      <c r="H1314" s="6" t="s">
        <v>4684</v>
      </c>
    </row>
    <row r="1315" ht="12.75" customHeight="1">
      <c r="A1315" s="6" t="s">
        <v>4685</v>
      </c>
      <c r="B1315" s="6" t="s">
        <v>4678</v>
      </c>
      <c r="C1315" s="6" t="s">
        <v>397</v>
      </c>
      <c r="D1315" s="15" t="s">
        <v>4679</v>
      </c>
      <c r="E1315" s="15" t="s">
        <v>35</v>
      </c>
      <c r="F1315" s="16" t="s">
        <v>4686</v>
      </c>
      <c r="G1315" s="6" t="s">
        <v>37</v>
      </c>
      <c r="H1315" s="6" t="s">
        <v>4687</v>
      </c>
    </row>
    <row r="1316" ht="12.75" customHeight="1">
      <c r="A1316" s="6" t="s">
        <v>4688</v>
      </c>
      <c r="B1316" s="6" t="s">
        <v>4678</v>
      </c>
      <c r="C1316" s="6" t="s">
        <v>168</v>
      </c>
      <c r="D1316" s="15" t="s">
        <v>35</v>
      </c>
      <c r="E1316" s="15" t="s">
        <v>97</v>
      </c>
      <c r="F1316" s="16" t="s">
        <v>4689</v>
      </c>
      <c r="G1316" s="6" t="s">
        <v>37</v>
      </c>
      <c r="H1316" s="6" t="s">
        <v>4690</v>
      </c>
    </row>
    <row r="1317" ht="12.75" customHeight="1">
      <c r="A1317" s="6" t="s">
        <v>4691</v>
      </c>
      <c r="B1317" s="6" t="s">
        <v>4678</v>
      </c>
      <c r="C1317" s="6" t="s">
        <v>4692</v>
      </c>
      <c r="D1317" s="15" t="s">
        <v>50</v>
      </c>
      <c r="E1317" s="15" t="s">
        <v>35</v>
      </c>
      <c r="F1317" s="16" t="s">
        <v>4693</v>
      </c>
      <c r="G1317" s="6" t="s">
        <v>37</v>
      </c>
      <c r="H1317" s="6" t="s">
        <v>4694</v>
      </c>
    </row>
    <row r="1318" ht="12.75" customHeight="1">
      <c r="A1318" s="6" t="s">
        <v>4695</v>
      </c>
      <c r="B1318" s="6" t="s">
        <v>4678</v>
      </c>
      <c r="C1318" s="6" t="s">
        <v>33</v>
      </c>
      <c r="D1318" s="15" t="s">
        <v>34</v>
      </c>
      <c r="E1318" s="15" t="s">
        <v>35</v>
      </c>
      <c r="F1318" s="16" t="s">
        <v>4696</v>
      </c>
      <c r="G1318" s="6" t="s">
        <v>37</v>
      </c>
      <c r="H1318" s="6" t="s">
        <v>4697</v>
      </c>
    </row>
    <row r="1319" ht="12.75" customHeight="1">
      <c r="A1319" s="6" t="s">
        <v>4698</v>
      </c>
      <c r="B1319" s="6" t="s">
        <v>4678</v>
      </c>
      <c r="C1319" s="6" t="s">
        <v>4044</v>
      </c>
      <c r="D1319" s="15" t="s">
        <v>35</v>
      </c>
      <c r="E1319" s="15" t="s">
        <v>65</v>
      </c>
      <c r="F1319" s="16" t="s">
        <v>4699</v>
      </c>
      <c r="G1319" s="6" t="s">
        <v>37</v>
      </c>
      <c r="H1319" s="6" t="s">
        <v>4700</v>
      </c>
    </row>
    <row r="1320" ht="12.75" customHeight="1">
      <c r="A1320" s="6" t="s">
        <v>4701</v>
      </c>
      <c r="B1320" s="6" t="s">
        <v>4678</v>
      </c>
      <c r="C1320" s="6" t="s">
        <v>2412</v>
      </c>
      <c r="D1320" s="15" t="s">
        <v>4702</v>
      </c>
      <c r="E1320" s="15" t="s">
        <v>35</v>
      </c>
      <c r="F1320" s="16" t="s">
        <v>4703</v>
      </c>
      <c r="G1320" s="6" t="s">
        <v>37</v>
      </c>
      <c r="H1320" s="6" t="s">
        <v>4704</v>
      </c>
    </row>
    <row r="1321" ht="12.75" customHeight="1">
      <c r="A1321" s="6" t="s">
        <v>4705</v>
      </c>
      <c r="B1321" s="6" t="s">
        <v>4706</v>
      </c>
      <c r="C1321" s="6" t="s">
        <v>33</v>
      </c>
      <c r="D1321" s="15" t="s">
        <v>50</v>
      </c>
      <c r="E1321" s="15" t="s">
        <v>35</v>
      </c>
      <c r="F1321" s="16" t="s">
        <v>4707</v>
      </c>
      <c r="G1321" s="6" t="s">
        <v>37</v>
      </c>
      <c r="H1321" s="6" t="s">
        <v>4708</v>
      </c>
    </row>
    <row r="1322" ht="12.75" customHeight="1">
      <c r="A1322" s="6" t="s">
        <v>4709</v>
      </c>
      <c r="B1322" s="6" t="s">
        <v>4710</v>
      </c>
      <c r="C1322" s="6" t="s">
        <v>4032</v>
      </c>
      <c r="D1322" s="15" t="s">
        <v>35</v>
      </c>
      <c r="E1322" s="15" t="s">
        <v>335</v>
      </c>
      <c r="F1322" s="16" t="s">
        <v>4711</v>
      </c>
      <c r="G1322" s="6" t="s">
        <v>37</v>
      </c>
      <c r="H1322" s="6" t="s">
        <v>4712</v>
      </c>
    </row>
    <row r="1323" ht="12.75" customHeight="1">
      <c r="A1323" s="6" t="s">
        <v>4713</v>
      </c>
      <c r="B1323" s="6" t="s">
        <v>4710</v>
      </c>
      <c r="C1323" s="6" t="s">
        <v>3694</v>
      </c>
      <c r="D1323" s="15" t="s">
        <v>107</v>
      </c>
      <c r="E1323" s="15" t="s">
        <v>35</v>
      </c>
      <c r="F1323" s="16" t="s">
        <v>4714</v>
      </c>
      <c r="G1323" s="6" t="s">
        <v>37</v>
      </c>
      <c r="H1323" s="6" t="s">
        <v>4715</v>
      </c>
    </row>
    <row r="1324" ht="12.75" customHeight="1">
      <c r="A1324" s="6" t="s">
        <v>4716</v>
      </c>
      <c r="B1324" s="6" t="s">
        <v>4710</v>
      </c>
      <c r="C1324" s="6" t="s">
        <v>4717</v>
      </c>
      <c r="D1324" s="15" t="s">
        <v>744</v>
      </c>
      <c r="E1324" s="15" t="s">
        <v>35</v>
      </c>
      <c r="F1324" s="16" t="s">
        <v>4718</v>
      </c>
      <c r="G1324" s="6" t="s">
        <v>37</v>
      </c>
      <c r="H1324" s="6" t="s">
        <v>4719</v>
      </c>
    </row>
    <row r="1325" ht="12.75" customHeight="1">
      <c r="A1325" s="6" t="s">
        <v>4720</v>
      </c>
      <c r="B1325" s="6" t="s">
        <v>4710</v>
      </c>
      <c r="C1325" s="6" t="s">
        <v>4721</v>
      </c>
      <c r="D1325" s="15" t="s">
        <v>515</v>
      </c>
      <c r="E1325" s="15" t="s">
        <v>35</v>
      </c>
      <c r="F1325" s="16" t="s">
        <v>4664</v>
      </c>
      <c r="G1325" s="6" t="s">
        <v>37</v>
      </c>
      <c r="H1325" s="6" t="s">
        <v>4722</v>
      </c>
    </row>
    <row r="1326" ht="12.75" customHeight="1">
      <c r="A1326" s="6" t="s">
        <v>4723</v>
      </c>
      <c r="B1326" s="6" t="s">
        <v>4710</v>
      </c>
      <c r="C1326" s="6" t="s">
        <v>4721</v>
      </c>
      <c r="D1326" s="15" t="s">
        <v>34</v>
      </c>
      <c r="E1326" s="15" t="s">
        <v>35</v>
      </c>
      <c r="F1326" s="16" t="s">
        <v>4689</v>
      </c>
      <c r="G1326" s="6" t="s">
        <v>37</v>
      </c>
      <c r="H1326" s="6" t="s">
        <v>4724</v>
      </c>
    </row>
    <row r="1327" ht="12.75" customHeight="1">
      <c r="A1327" s="6" t="s">
        <v>4725</v>
      </c>
      <c r="B1327" s="6" t="s">
        <v>4710</v>
      </c>
      <c r="C1327" s="6" t="s">
        <v>4726</v>
      </c>
      <c r="D1327" s="15" t="s">
        <v>35</v>
      </c>
      <c r="E1327" s="15" t="s">
        <v>65</v>
      </c>
      <c r="F1327" s="16" t="s">
        <v>4727</v>
      </c>
      <c r="G1327" s="6" t="s">
        <v>37</v>
      </c>
      <c r="H1327" s="6" t="s">
        <v>4728</v>
      </c>
    </row>
    <row r="1328" ht="12.75" customHeight="1">
      <c r="A1328" s="6" t="s">
        <v>4729</v>
      </c>
      <c r="B1328" s="6" t="s">
        <v>4710</v>
      </c>
      <c r="C1328" s="6" t="s">
        <v>4730</v>
      </c>
      <c r="D1328" s="15" t="s">
        <v>35</v>
      </c>
      <c r="E1328" s="15" t="s">
        <v>65</v>
      </c>
      <c r="F1328" s="16" t="s">
        <v>4731</v>
      </c>
      <c r="G1328" s="6" t="s">
        <v>37</v>
      </c>
      <c r="H1328" s="6" t="s">
        <v>4732</v>
      </c>
    </row>
    <row r="1329" ht="12.75" customHeight="1">
      <c r="A1329" s="6" t="s">
        <v>4733</v>
      </c>
      <c r="B1329" s="6" t="s">
        <v>4710</v>
      </c>
      <c r="C1329" s="6" t="s">
        <v>4734</v>
      </c>
      <c r="D1329" s="15" t="s">
        <v>35</v>
      </c>
      <c r="E1329" s="15" t="s">
        <v>335</v>
      </c>
      <c r="F1329" s="16" t="s">
        <v>4735</v>
      </c>
      <c r="G1329" s="6" t="s">
        <v>37</v>
      </c>
      <c r="H1329" s="6" t="s">
        <v>4736</v>
      </c>
    </row>
    <row r="1330" ht="12.75" customHeight="1">
      <c r="A1330" s="6" t="s">
        <v>4737</v>
      </c>
      <c r="B1330" s="6" t="s">
        <v>4710</v>
      </c>
      <c r="C1330" s="6" t="s">
        <v>3870</v>
      </c>
      <c r="D1330" s="15" t="s">
        <v>471</v>
      </c>
      <c r="E1330" s="15" t="s">
        <v>35</v>
      </c>
      <c r="F1330" s="16" t="s">
        <v>4738</v>
      </c>
      <c r="G1330" s="6" t="s">
        <v>37</v>
      </c>
      <c r="H1330" s="6" t="s">
        <v>4739</v>
      </c>
    </row>
    <row r="1331" ht="12.75" customHeight="1">
      <c r="A1331" s="6" t="s">
        <v>4740</v>
      </c>
      <c r="B1331" s="6" t="s">
        <v>4710</v>
      </c>
      <c r="C1331" s="6" t="s">
        <v>4741</v>
      </c>
      <c r="D1331" s="15" t="s">
        <v>97</v>
      </c>
      <c r="E1331" s="15" t="s">
        <v>35</v>
      </c>
      <c r="F1331" s="16" t="s">
        <v>4742</v>
      </c>
      <c r="G1331" s="6" t="s">
        <v>37</v>
      </c>
      <c r="H1331" s="6" t="s">
        <v>4743</v>
      </c>
    </row>
    <row r="1332" ht="12.75" customHeight="1">
      <c r="A1332" s="6" t="s">
        <v>4744</v>
      </c>
      <c r="B1332" s="6" t="s">
        <v>4745</v>
      </c>
      <c r="C1332" s="6" t="s">
        <v>4032</v>
      </c>
      <c r="D1332" s="15" t="s">
        <v>35</v>
      </c>
      <c r="E1332" s="15" t="s">
        <v>335</v>
      </c>
      <c r="F1332" s="16" t="s">
        <v>4746</v>
      </c>
      <c r="G1332" s="6" t="s">
        <v>37</v>
      </c>
      <c r="H1332" s="6" t="s">
        <v>4747</v>
      </c>
    </row>
    <row r="1333" ht="12.75" customHeight="1">
      <c r="A1333" s="6" t="s">
        <v>4748</v>
      </c>
      <c r="B1333" s="6" t="s">
        <v>4745</v>
      </c>
      <c r="C1333" s="6" t="s">
        <v>40</v>
      </c>
      <c r="D1333" s="15" t="s">
        <v>35</v>
      </c>
      <c r="E1333" s="15" t="s">
        <v>65</v>
      </c>
      <c r="F1333" s="16" t="s">
        <v>4749</v>
      </c>
      <c r="G1333" s="6" t="s">
        <v>37</v>
      </c>
      <c r="H1333" s="6" t="s">
        <v>4750</v>
      </c>
    </row>
    <row r="1334" ht="12.75" customHeight="1">
      <c r="A1334" s="6" t="s">
        <v>4751</v>
      </c>
      <c r="B1334" s="6" t="s">
        <v>4745</v>
      </c>
      <c r="C1334" s="6" t="s">
        <v>4032</v>
      </c>
      <c r="D1334" s="15" t="s">
        <v>35</v>
      </c>
      <c r="E1334" s="15" t="s">
        <v>65</v>
      </c>
      <c r="F1334" s="16" t="s">
        <v>4752</v>
      </c>
      <c r="G1334" s="6" t="s">
        <v>37</v>
      </c>
      <c r="H1334" s="6" t="s">
        <v>4753</v>
      </c>
    </row>
    <row r="1335" ht="12.75" customHeight="1">
      <c r="A1335" s="6" t="s">
        <v>4754</v>
      </c>
      <c r="B1335" s="6" t="s">
        <v>4745</v>
      </c>
      <c r="C1335" s="6" t="s">
        <v>33</v>
      </c>
      <c r="D1335" s="15" t="s">
        <v>50</v>
      </c>
      <c r="E1335" s="15" t="s">
        <v>35</v>
      </c>
      <c r="F1335" s="16" t="s">
        <v>4755</v>
      </c>
      <c r="G1335" s="6" t="s">
        <v>37</v>
      </c>
      <c r="H1335" s="6" t="s">
        <v>4756</v>
      </c>
    </row>
    <row r="1336" ht="12.75" customHeight="1">
      <c r="A1336" s="6" t="s">
        <v>4757</v>
      </c>
      <c r="B1336" s="6" t="s">
        <v>4745</v>
      </c>
      <c r="C1336" s="6" t="s">
        <v>4758</v>
      </c>
      <c r="D1336" s="15" t="s">
        <v>665</v>
      </c>
      <c r="E1336" s="15" t="s">
        <v>35</v>
      </c>
      <c r="F1336" s="16" t="s">
        <v>4759</v>
      </c>
      <c r="G1336" s="6" t="s">
        <v>37</v>
      </c>
      <c r="H1336" s="6" t="s">
        <v>4760</v>
      </c>
    </row>
    <row r="1337" ht="12.75" customHeight="1">
      <c r="A1337" s="6" t="s">
        <v>4761</v>
      </c>
      <c r="B1337" s="6" t="s">
        <v>4745</v>
      </c>
      <c r="C1337" s="6" t="s">
        <v>4762</v>
      </c>
      <c r="D1337" s="15" t="s">
        <v>1720</v>
      </c>
      <c r="E1337" s="15" t="s">
        <v>35</v>
      </c>
      <c r="F1337" s="16" t="s">
        <v>4763</v>
      </c>
      <c r="G1337" s="6" t="s">
        <v>37</v>
      </c>
      <c r="H1337" s="6" t="s">
        <v>4764</v>
      </c>
    </row>
    <row r="1338" ht="12.75" customHeight="1">
      <c r="A1338" s="6" t="s">
        <v>4765</v>
      </c>
      <c r="B1338" s="6" t="s">
        <v>4745</v>
      </c>
      <c r="C1338" s="6" t="s">
        <v>4766</v>
      </c>
      <c r="D1338" s="15" t="s">
        <v>183</v>
      </c>
      <c r="E1338" s="15" t="s">
        <v>35</v>
      </c>
      <c r="F1338" s="16" t="s">
        <v>4767</v>
      </c>
      <c r="G1338" s="6" t="s">
        <v>37</v>
      </c>
      <c r="H1338" s="6" t="s">
        <v>4768</v>
      </c>
    </row>
    <row r="1339" ht="12.75" customHeight="1">
      <c r="A1339" s="6" t="s">
        <v>4769</v>
      </c>
      <c r="B1339" s="6" t="s">
        <v>4745</v>
      </c>
      <c r="C1339" s="6" t="s">
        <v>4770</v>
      </c>
      <c r="D1339" s="15" t="s">
        <v>502</v>
      </c>
      <c r="E1339" s="15" t="s">
        <v>35</v>
      </c>
      <c r="F1339" s="16" t="s">
        <v>4771</v>
      </c>
      <c r="G1339" s="6" t="s">
        <v>37</v>
      </c>
      <c r="H1339" s="6" t="s">
        <v>4772</v>
      </c>
    </row>
    <row r="1340" ht="12.75" customHeight="1">
      <c r="A1340" s="6" t="s">
        <v>4773</v>
      </c>
      <c r="B1340" s="6" t="s">
        <v>4745</v>
      </c>
      <c r="C1340" s="6" t="s">
        <v>4770</v>
      </c>
      <c r="D1340" s="15" t="s">
        <v>502</v>
      </c>
      <c r="E1340" s="15" t="s">
        <v>35</v>
      </c>
      <c r="F1340" s="16" t="s">
        <v>4774</v>
      </c>
      <c r="G1340" s="6" t="s">
        <v>37</v>
      </c>
      <c r="H1340" s="6" t="s">
        <v>4775</v>
      </c>
    </row>
    <row r="1341" ht="12.75" customHeight="1">
      <c r="A1341" s="6" t="s">
        <v>4776</v>
      </c>
      <c r="B1341" s="6" t="s">
        <v>4745</v>
      </c>
      <c r="C1341" s="6" t="s">
        <v>2412</v>
      </c>
      <c r="D1341" s="15" t="s">
        <v>685</v>
      </c>
      <c r="E1341" s="15" t="s">
        <v>35</v>
      </c>
      <c r="F1341" s="16" t="s">
        <v>4777</v>
      </c>
      <c r="G1341" s="6" t="s">
        <v>37</v>
      </c>
      <c r="H1341" s="6" t="s">
        <v>4778</v>
      </c>
    </row>
    <row r="1342" ht="12.75" customHeight="1">
      <c r="A1342" s="6" t="s">
        <v>4779</v>
      </c>
      <c r="B1342" s="6" t="s">
        <v>4780</v>
      </c>
      <c r="C1342" s="6" t="s">
        <v>4781</v>
      </c>
      <c r="D1342" s="15" t="s">
        <v>189</v>
      </c>
      <c r="E1342" s="15" t="s">
        <v>35</v>
      </c>
      <c r="F1342" s="16" t="s">
        <v>4782</v>
      </c>
      <c r="G1342" s="6" t="s">
        <v>37</v>
      </c>
      <c r="H1342" s="6" t="s">
        <v>4783</v>
      </c>
    </row>
    <row r="1343" ht="12.75" customHeight="1">
      <c r="A1343" s="6" t="s">
        <v>4784</v>
      </c>
      <c r="B1343" s="6" t="s">
        <v>4780</v>
      </c>
      <c r="C1343" s="6" t="s">
        <v>4785</v>
      </c>
      <c r="D1343" s="15" t="s">
        <v>55</v>
      </c>
      <c r="E1343" s="15" t="s">
        <v>35</v>
      </c>
      <c r="F1343" s="16" t="s">
        <v>4786</v>
      </c>
      <c r="G1343" s="6" t="s">
        <v>37</v>
      </c>
      <c r="H1343" s="6" t="s">
        <v>4787</v>
      </c>
    </row>
    <row r="1344" ht="12.75" customHeight="1">
      <c r="A1344" s="6" t="s">
        <v>4788</v>
      </c>
      <c r="B1344" s="6" t="s">
        <v>4780</v>
      </c>
      <c r="C1344" s="6" t="s">
        <v>1613</v>
      </c>
      <c r="D1344" s="15" t="s">
        <v>71</v>
      </c>
      <c r="E1344" s="15" t="s">
        <v>35</v>
      </c>
      <c r="F1344" s="16" t="s">
        <v>4789</v>
      </c>
      <c r="G1344" s="6" t="s">
        <v>37</v>
      </c>
      <c r="H1344" s="6" t="s">
        <v>4790</v>
      </c>
    </row>
    <row r="1345" ht="12.75" customHeight="1">
      <c r="A1345" s="6" t="s">
        <v>4791</v>
      </c>
      <c r="B1345" s="6" t="s">
        <v>4780</v>
      </c>
      <c r="C1345" s="6" t="s">
        <v>4044</v>
      </c>
      <c r="D1345" s="15" t="s">
        <v>35</v>
      </c>
      <c r="E1345" s="15" t="s">
        <v>71</v>
      </c>
      <c r="F1345" s="16" t="s">
        <v>4786</v>
      </c>
      <c r="G1345" s="6" t="s">
        <v>37</v>
      </c>
      <c r="H1345" s="6" t="s">
        <v>4792</v>
      </c>
    </row>
    <row r="1346" ht="12.75" customHeight="1">
      <c r="A1346" s="6" t="s">
        <v>4793</v>
      </c>
      <c r="B1346" s="6" t="s">
        <v>4780</v>
      </c>
      <c r="C1346" s="6" t="s">
        <v>2384</v>
      </c>
      <c r="D1346" s="15" t="s">
        <v>582</v>
      </c>
      <c r="E1346" s="15" t="s">
        <v>35</v>
      </c>
      <c r="F1346" s="16" t="s">
        <v>4794</v>
      </c>
      <c r="G1346" s="6" t="s">
        <v>37</v>
      </c>
      <c r="H1346" s="6" t="s">
        <v>4795</v>
      </c>
    </row>
    <row r="1347" ht="12.75" customHeight="1">
      <c r="A1347" s="6" t="s">
        <v>4796</v>
      </c>
      <c r="B1347" s="6" t="s">
        <v>4797</v>
      </c>
      <c r="C1347" s="6" t="s">
        <v>33</v>
      </c>
      <c r="D1347" s="15" t="s">
        <v>34</v>
      </c>
      <c r="E1347" s="15" t="s">
        <v>35</v>
      </c>
      <c r="F1347" s="16" t="s">
        <v>4798</v>
      </c>
      <c r="G1347" s="6" t="s">
        <v>37</v>
      </c>
      <c r="H1347" s="6" t="s">
        <v>4799</v>
      </c>
    </row>
    <row r="1348" ht="12.75" customHeight="1">
      <c r="A1348" s="6" t="s">
        <v>4800</v>
      </c>
      <c r="B1348" s="6" t="s">
        <v>4801</v>
      </c>
      <c r="C1348" s="6" t="s">
        <v>4802</v>
      </c>
      <c r="D1348" s="15" t="s">
        <v>35</v>
      </c>
      <c r="E1348" s="15" t="s">
        <v>243</v>
      </c>
      <c r="F1348" s="16" t="s">
        <v>4803</v>
      </c>
      <c r="G1348" s="6" t="s">
        <v>37</v>
      </c>
      <c r="H1348" s="6" t="s">
        <v>4804</v>
      </c>
    </row>
    <row r="1349" ht="12.75" customHeight="1">
      <c r="A1349" s="6" t="s">
        <v>4805</v>
      </c>
      <c r="B1349" s="6" t="s">
        <v>4801</v>
      </c>
      <c r="C1349" s="6" t="s">
        <v>221</v>
      </c>
      <c r="D1349" s="15" t="s">
        <v>222</v>
      </c>
      <c r="E1349" s="15" t="s">
        <v>35</v>
      </c>
      <c r="F1349" s="16" t="s">
        <v>4806</v>
      </c>
      <c r="G1349" s="6" t="s">
        <v>37</v>
      </c>
      <c r="H1349" s="6" t="s">
        <v>4807</v>
      </c>
    </row>
    <row r="1350" ht="12.75" customHeight="1">
      <c r="A1350" s="6" t="s">
        <v>4808</v>
      </c>
      <c r="B1350" s="6" t="s">
        <v>4801</v>
      </c>
      <c r="C1350" s="6" t="s">
        <v>3381</v>
      </c>
      <c r="D1350" s="15" t="s">
        <v>4809</v>
      </c>
      <c r="E1350" s="15" t="s">
        <v>35</v>
      </c>
      <c r="F1350" s="16" t="s">
        <v>4810</v>
      </c>
      <c r="G1350" s="6" t="s">
        <v>37</v>
      </c>
      <c r="H1350" s="6" t="s">
        <v>4811</v>
      </c>
    </row>
    <row r="1351" ht="12.75" customHeight="1">
      <c r="A1351" s="6" t="s">
        <v>4812</v>
      </c>
      <c r="B1351" s="6" t="s">
        <v>4801</v>
      </c>
      <c r="C1351" s="6" t="s">
        <v>33</v>
      </c>
      <c r="D1351" s="15" t="s">
        <v>34</v>
      </c>
      <c r="E1351" s="15" t="s">
        <v>35</v>
      </c>
      <c r="F1351" s="16" t="s">
        <v>4813</v>
      </c>
      <c r="G1351" s="6" t="s">
        <v>37</v>
      </c>
      <c r="H1351" s="6" t="s">
        <v>4814</v>
      </c>
    </row>
    <row r="1352" ht="12.75" customHeight="1">
      <c r="A1352" s="6" t="s">
        <v>4815</v>
      </c>
      <c r="B1352" s="6" t="s">
        <v>4816</v>
      </c>
      <c r="C1352" s="6" t="s">
        <v>4817</v>
      </c>
      <c r="D1352" s="15" t="s">
        <v>35</v>
      </c>
      <c r="E1352" s="15" t="s">
        <v>4818</v>
      </c>
      <c r="F1352" s="16" t="s">
        <v>4819</v>
      </c>
      <c r="G1352" s="6" t="s">
        <v>37</v>
      </c>
      <c r="H1352" s="6" t="s">
        <v>4820</v>
      </c>
    </row>
    <row r="1353" ht="12.75" customHeight="1">
      <c r="A1353" s="6" t="s">
        <v>4821</v>
      </c>
      <c r="B1353" s="6" t="s">
        <v>4816</v>
      </c>
      <c r="C1353" s="6" t="s">
        <v>221</v>
      </c>
      <c r="D1353" s="15" t="s">
        <v>222</v>
      </c>
      <c r="E1353" s="15" t="s">
        <v>35</v>
      </c>
      <c r="F1353" s="16" t="s">
        <v>4822</v>
      </c>
      <c r="G1353" s="6" t="s">
        <v>37</v>
      </c>
      <c r="H1353" s="6" t="s">
        <v>4823</v>
      </c>
    </row>
    <row r="1354" ht="12.75" customHeight="1">
      <c r="A1354" s="6" t="s">
        <v>4824</v>
      </c>
      <c r="B1354" s="6" t="s">
        <v>4816</v>
      </c>
      <c r="C1354" s="6" t="s">
        <v>397</v>
      </c>
      <c r="D1354" s="15" t="s">
        <v>243</v>
      </c>
      <c r="E1354" s="15" t="s">
        <v>35</v>
      </c>
      <c r="F1354" s="16" t="s">
        <v>4825</v>
      </c>
      <c r="G1354" s="6" t="s">
        <v>37</v>
      </c>
      <c r="H1354" s="6" t="s">
        <v>4826</v>
      </c>
    </row>
    <row r="1355" ht="12.75" customHeight="1">
      <c r="A1355" s="6" t="s">
        <v>4827</v>
      </c>
      <c r="B1355" s="6" t="s">
        <v>4816</v>
      </c>
      <c r="C1355" s="6" t="s">
        <v>70</v>
      </c>
      <c r="D1355" s="15" t="s">
        <v>443</v>
      </c>
      <c r="E1355" s="15" t="s">
        <v>35</v>
      </c>
      <c r="F1355" s="16" t="s">
        <v>4828</v>
      </c>
      <c r="G1355" s="6" t="s">
        <v>37</v>
      </c>
      <c r="H1355" s="6" t="s">
        <v>4829</v>
      </c>
    </row>
    <row r="1356" ht="12.75" customHeight="1">
      <c r="A1356" s="6" t="s">
        <v>4830</v>
      </c>
      <c r="B1356" s="6" t="s">
        <v>4831</v>
      </c>
      <c r="C1356" s="6" t="s">
        <v>4832</v>
      </c>
      <c r="D1356" s="15" t="s">
        <v>35</v>
      </c>
      <c r="E1356" s="15" t="s">
        <v>65</v>
      </c>
      <c r="F1356" s="16" t="s">
        <v>4833</v>
      </c>
      <c r="G1356" s="6" t="s">
        <v>37</v>
      </c>
      <c r="H1356" s="6" t="s">
        <v>4834</v>
      </c>
    </row>
    <row r="1357" ht="12.75" customHeight="1">
      <c r="A1357" s="6" t="s">
        <v>4835</v>
      </c>
      <c r="B1357" s="6" t="s">
        <v>4831</v>
      </c>
      <c r="C1357" s="6" t="s">
        <v>4836</v>
      </c>
      <c r="D1357" s="15" t="s">
        <v>35</v>
      </c>
      <c r="E1357" s="15" t="s">
        <v>335</v>
      </c>
      <c r="F1357" s="16" t="s">
        <v>4837</v>
      </c>
      <c r="G1357" s="6" t="s">
        <v>37</v>
      </c>
      <c r="H1357" s="6" t="s">
        <v>4838</v>
      </c>
    </row>
    <row r="1358" ht="12.75" customHeight="1">
      <c r="A1358" s="6" t="s">
        <v>4839</v>
      </c>
      <c r="B1358" s="6" t="s">
        <v>4831</v>
      </c>
      <c r="C1358" s="6" t="s">
        <v>3885</v>
      </c>
      <c r="D1358" s="15" t="s">
        <v>1720</v>
      </c>
      <c r="E1358" s="15" t="s">
        <v>35</v>
      </c>
      <c r="F1358" s="16" t="s">
        <v>4840</v>
      </c>
      <c r="G1358" s="6" t="s">
        <v>37</v>
      </c>
      <c r="H1358" s="6" t="s">
        <v>4841</v>
      </c>
    </row>
    <row r="1359" ht="12.75" customHeight="1">
      <c r="A1359" s="6" t="s">
        <v>4842</v>
      </c>
      <c r="B1359" s="6" t="s">
        <v>4831</v>
      </c>
      <c r="C1359" s="6" t="s">
        <v>33</v>
      </c>
      <c r="D1359" s="15" t="s">
        <v>50</v>
      </c>
      <c r="E1359" s="15" t="s">
        <v>35</v>
      </c>
      <c r="F1359" s="16" t="s">
        <v>4843</v>
      </c>
      <c r="G1359" s="6" t="s">
        <v>37</v>
      </c>
      <c r="H1359" s="6" t="s">
        <v>4844</v>
      </c>
    </row>
    <row r="1360" ht="12.75" customHeight="1">
      <c r="A1360" s="6" t="s">
        <v>4845</v>
      </c>
      <c r="B1360" s="6" t="s">
        <v>4846</v>
      </c>
      <c r="C1360" s="6" t="s">
        <v>2574</v>
      </c>
      <c r="D1360" s="15" t="s">
        <v>71</v>
      </c>
      <c r="E1360" s="15" t="s">
        <v>35</v>
      </c>
      <c r="F1360" s="16" t="s">
        <v>4847</v>
      </c>
      <c r="G1360" s="6" t="s">
        <v>37</v>
      </c>
      <c r="H1360" s="6" t="s">
        <v>4848</v>
      </c>
    </row>
    <row r="1361" ht="12.75" customHeight="1">
      <c r="A1361" s="6" t="s">
        <v>4849</v>
      </c>
      <c r="B1361" s="6" t="s">
        <v>4846</v>
      </c>
      <c r="C1361" s="6" t="s">
        <v>2574</v>
      </c>
      <c r="D1361" s="15" t="s">
        <v>97</v>
      </c>
      <c r="E1361" s="15" t="s">
        <v>35</v>
      </c>
      <c r="F1361" s="16" t="s">
        <v>4825</v>
      </c>
      <c r="G1361" s="6" t="s">
        <v>37</v>
      </c>
      <c r="H1361" s="6" t="s">
        <v>4850</v>
      </c>
    </row>
    <row r="1362" ht="12.75" customHeight="1">
      <c r="A1362" s="6" t="s">
        <v>4851</v>
      </c>
      <c r="B1362" s="6" t="s">
        <v>4846</v>
      </c>
      <c r="C1362" s="6" t="s">
        <v>4852</v>
      </c>
      <c r="D1362" s="15" t="s">
        <v>35</v>
      </c>
      <c r="E1362" s="15" t="s">
        <v>335</v>
      </c>
      <c r="F1362" s="16" t="s">
        <v>4843</v>
      </c>
      <c r="G1362" s="6" t="s">
        <v>37</v>
      </c>
      <c r="H1362" s="6" t="s">
        <v>4853</v>
      </c>
    </row>
    <row r="1363" ht="12.75" customHeight="1">
      <c r="A1363" s="6" t="s">
        <v>4854</v>
      </c>
      <c r="B1363" s="6" t="s">
        <v>4855</v>
      </c>
      <c r="C1363" s="6" t="s">
        <v>33</v>
      </c>
      <c r="D1363" s="15" t="s">
        <v>41</v>
      </c>
      <c r="E1363" s="15" t="s">
        <v>35</v>
      </c>
      <c r="F1363" s="16" t="s">
        <v>4856</v>
      </c>
      <c r="G1363" s="6" t="s">
        <v>37</v>
      </c>
      <c r="H1363" s="6" t="s">
        <v>4857</v>
      </c>
    </row>
    <row r="1364" ht="12.75" customHeight="1">
      <c r="A1364" s="6" t="s">
        <v>4858</v>
      </c>
      <c r="B1364" s="6" t="s">
        <v>4859</v>
      </c>
      <c r="C1364" s="6" t="s">
        <v>4836</v>
      </c>
      <c r="D1364" s="15" t="s">
        <v>35</v>
      </c>
      <c r="E1364" s="15" t="s">
        <v>251</v>
      </c>
      <c r="F1364" s="16" t="s">
        <v>4860</v>
      </c>
      <c r="G1364" s="6" t="s">
        <v>37</v>
      </c>
      <c r="H1364" s="6" t="s">
        <v>4861</v>
      </c>
    </row>
    <row r="1365" ht="12.75" customHeight="1">
      <c r="A1365" s="6" t="s">
        <v>4862</v>
      </c>
      <c r="B1365" s="6" t="s">
        <v>4859</v>
      </c>
      <c r="C1365" s="6" t="s">
        <v>4863</v>
      </c>
      <c r="D1365" s="15" t="s">
        <v>1720</v>
      </c>
      <c r="E1365" s="15" t="s">
        <v>35</v>
      </c>
      <c r="F1365" s="16" t="s">
        <v>4864</v>
      </c>
      <c r="G1365" s="6" t="s">
        <v>37</v>
      </c>
      <c r="H1365" s="6" t="s">
        <v>4865</v>
      </c>
    </row>
    <row r="1366" ht="12.75" customHeight="1">
      <c r="A1366" s="6" t="s">
        <v>4866</v>
      </c>
      <c r="B1366" s="6" t="s">
        <v>4867</v>
      </c>
      <c r="C1366" s="6" t="s">
        <v>2412</v>
      </c>
      <c r="D1366" s="15" t="s">
        <v>41</v>
      </c>
      <c r="E1366" s="15" t="s">
        <v>35</v>
      </c>
      <c r="F1366" s="16" t="s">
        <v>4868</v>
      </c>
      <c r="G1366" s="6" t="s">
        <v>37</v>
      </c>
      <c r="H1366" s="6" t="s">
        <v>4869</v>
      </c>
    </row>
    <row r="1367" ht="12.75" customHeight="1">
      <c r="A1367" s="6" t="s">
        <v>4870</v>
      </c>
      <c r="B1367" s="6" t="s">
        <v>4867</v>
      </c>
      <c r="C1367" s="6" t="s">
        <v>33</v>
      </c>
      <c r="D1367" s="15" t="s">
        <v>41</v>
      </c>
      <c r="E1367" s="15" t="s">
        <v>35</v>
      </c>
      <c r="F1367" s="16" t="s">
        <v>4871</v>
      </c>
      <c r="G1367" s="6" t="s">
        <v>37</v>
      </c>
      <c r="H1367" s="6" t="s">
        <v>4872</v>
      </c>
    </row>
    <row r="1368" ht="12.75" customHeight="1">
      <c r="A1368" s="6" t="s">
        <v>4873</v>
      </c>
      <c r="B1368" s="6" t="s">
        <v>4867</v>
      </c>
      <c r="C1368" s="6" t="s">
        <v>4874</v>
      </c>
      <c r="D1368" s="15" t="s">
        <v>744</v>
      </c>
      <c r="E1368" s="15" t="s">
        <v>35</v>
      </c>
      <c r="F1368" s="16" t="s">
        <v>4875</v>
      </c>
      <c r="G1368" s="6" t="s">
        <v>37</v>
      </c>
      <c r="H1368" s="6" t="s">
        <v>4876</v>
      </c>
    </row>
    <row r="1369" ht="12.75" customHeight="1">
      <c r="A1369" s="6" t="s">
        <v>4877</v>
      </c>
      <c r="B1369" s="6" t="s">
        <v>4867</v>
      </c>
      <c r="C1369" s="6" t="s">
        <v>168</v>
      </c>
      <c r="D1369" s="15" t="s">
        <v>35</v>
      </c>
      <c r="E1369" s="15" t="s">
        <v>97</v>
      </c>
      <c r="F1369" s="16" t="s">
        <v>4878</v>
      </c>
      <c r="G1369" s="6" t="s">
        <v>37</v>
      </c>
      <c r="H1369" s="6" t="s">
        <v>4879</v>
      </c>
    </row>
    <row r="1370" ht="12.75" customHeight="1">
      <c r="A1370" s="6" t="s">
        <v>4880</v>
      </c>
      <c r="B1370" s="6" t="s">
        <v>4867</v>
      </c>
      <c r="C1370" s="6" t="s">
        <v>4836</v>
      </c>
      <c r="D1370" s="15" t="s">
        <v>35</v>
      </c>
      <c r="E1370" s="15" t="s">
        <v>3714</v>
      </c>
      <c r="F1370" s="16" t="s">
        <v>4881</v>
      </c>
      <c r="G1370" s="6" t="s">
        <v>37</v>
      </c>
      <c r="H1370" s="6" t="s">
        <v>4882</v>
      </c>
    </row>
    <row r="1371" ht="12.75" customHeight="1">
      <c r="A1371" s="6" t="s">
        <v>4883</v>
      </c>
      <c r="B1371" s="6" t="s">
        <v>4867</v>
      </c>
      <c r="C1371" s="6" t="s">
        <v>221</v>
      </c>
      <c r="D1371" s="15" t="s">
        <v>222</v>
      </c>
      <c r="E1371" s="15" t="s">
        <v>35</v>
      </c>
      <c r="F1371" s="16" t="s">
        <v>4884</v>
      </c>
      <c r="G1371" s="6" t="s">
        <v>37</v>
      </c>
      <c r="H1371" s="6" t="s">
        <v>4885</v>
      </c>
    </row>
    <row r="1372" ht="12.75" customHeight="1">
      <c r="A1372" s="6" t="s">
        <v>4886</v>
      </c>
      <c r="B1372" s="6" t="s">
        <v>4887</v>
      </c>
      <c r="C1372" s="6" t="s">
        <v>4888</v>
      </c>
      <c r="D1372" s="15" t="s">
        <v>3714</v>
      </c>
      <c r="E1372" s="15" t="s">
        <v>35</v>
      </c>
      <c r="F1372" s="16" t="s">
        <v>4889</v>
      </c>
      <c r="G1372" s="6" t="s">
        <v>37</v>
      </c>
      <c r="H1372" s="6" t="s">
        <v>4890</v>
      </c>
    </row>
    <row r="1373" ht="12.75" customHeight="1">
      <c r="A1373" s="6" t="s">
        <v>4891</v>
      </c>
      <c r="B1373" s="6" t="s">
        <v>4887</v>
      </c>
      <c r="C1373" s="6" t="s">
        <v>4892</v>
      </c>
      <c r="D1373" s="15" t="s">
        <v>35</v>
      </c>
      <c r="E1373" s="15" t="s">
        <v>2043</v>
      </c>
      <c r="F1373" s="16" t="s">
        <v>4893</v>
      </c>
      <c r="G1373" s="6" t="s">
        <v>37</v>
      </c>
      <c r="H1373" s="6" t="s">
        <v>4894</v>
      </c>
    </row>
    <row r="1374" ht="12.75" customHeight="1">
      <c r="A1374" s="6" t="s">
        <v>4895</v>
      </c>
      <c r="B1374" s="6" t="s">
        <v>4887</v>
      </c>
      <c r="C1374" s="6" t="s">
        <v>4032</v>
      </c>
      <c r="D1374" s="15" t="s">
        <v>35</v>
      </c>
      <c r="E1374" s="15" t="s">
        <v>389</v>
      </c>
      <c r="F1374" s="16" t="s">
        <v>4896</v>
      </c>
      <c r="G1374" s="6" t="s">
        <v>37</v>
      </c>
      <c r="H1374" s="6" t="s">
        <v>4897</v>
      </c>
    </row>
    <row r="1375" ht="12.75" customHeight="1">
      <c r="A1375" s="6" t="s">
        <v>4898</v>
      </c>
      <c r="B1375" s="6" t="s">
        <v>4887</v>
      </c>
      <c r="C1375" s="6" t="s">
        <v>221</v>
      </c>
      <c r="D1375" s="15" t="s">
        <v>222</v>
      </c>
      <c r="E1375" s="15" t="s">
        <v>35</v>
      </c>
      <c r="F1375" s="16" t="s">
        <v>4899</v>
      </c>
      <c r="G1375" s="6" t="s">
        <v>37</v>
      </c>
      <c r="H1375" s="6" t="s">
        <v>4900</v>
      </c>
    </row>
    <row r="1376" ht="12.75" customHeight="1">
      <c r="A1376" s="6" t="s">
        <v>4901</v>
      </c>
      <c r="B1376" s="6" t="s">
        <v>4887</v>
      </c>
      <c r="C1376" s="6" t="s">
        <v>4044</v>
      </c>
      <c r="D1376" s="15" t="s">
        <v>35</v>
      </c>
      <c r="E1376" s="15" t="s">
        <v>2563</v>
      </c>
      <c r="F1376" s="16" t="s">
        <v>4902</v>
      </c>
      <c r="G1376" s="6" t="s">
        <v>37</v>
      </c>
      <c r="H1376" s="6" t="s">
        <v>4903</v>
      </c>
    </row>
    <row r="1377" ht="12.75" customHeight="1">
      <c r="A1377" s="6" t="s">
        <v>4904</v>
      </c>
      <c r="B1377" s="6" t="s">
        <v>4887</v>
      </c>
      <c r="C1377" s="6" t="s">
        <v>2384</v>
      </c>
      <c r="D1377" s="15" t="s">
        <v>2563</v>
      </c>
      <c r="E1377" s="15" t="s">
        <v>35</v>
      </c>
      <c r="F1377" s="16" t="s">
        <v>4899</v>
      </c>
      <c r="G1377" s="6" t="s">
        <v>37</v>
      </c>
      <c r="H1377" s="6" t="s">
        <v>4905</v>
      </c>
    </row>
    <row r="1378" ht="12.75" customHeight="1">
      <c r="A1378" s="6" t="s">
        <v>4906</v>
      </c>
      <c r="B1378" s="6" t="s">
        <v>4907</v>
      </c>
      <c r="C1378" s="6" t="s">
        <v>4908</v>
      </c>
      <c r="D1378" s="15" t="s">
        <v>744</v>
      </c>
      <c r="E1378" s="15" t="s">
        <v>35</v>
      </c>
      <c r="F1378" s="16" t="s">
        <v>4909</v>
      </c>
      <c r="G1378" s="6" t="s">
        <v>37</v>
      </c>
      <c r="H1378" s="6" t="s">
        <v>4910</v>
      </c>
    </row>
    <row r="1379" ht="12.75" customHeight="1">
      <c r="A1379" s="6" t="s">
        <v>4911</v>
      </c>
      <c r="B1379" s="6" t="s">
        <v>4907</v>
      </c>
      <c r="C1379" s="6" t="s">
        <v>2412</v>
      </c>
      <c r="D1379" s="15" t="s">
        <v>515</v>
      </c>
      <c r="E1379" s="15" t="s">
        <v>35</v>
      </c>
      <c r="F1379" s="16" t="s">
        <v>4912</v>
      </c>
      <c r="G1379" s="6" t="s">
        <v>37</v>
      </c>
      <c r="H1379" s="6" t="s">
        <v>4913</v>
      </c>
    </row>
    <row r="1380" ht="12.75" customHeight="1">
      <c r="A1380" s="6" t="s">
        <v>4914</v>
      </c>
      <c r="B1380" s="6" t="s">
        <v>4907</v>
      </c>
      <c r="C1380" s="6" t="s">
        <v>4915</v>
      </c>
      <c r="D1380" s="15" t="s">
        <v>490</v>
      </c>
      <c r="E1380" s="15" t="s">
        <v>35</v>
      </c>
      <c r="F1380" s="16" t="s">
        <v>4916</v>
      </c>
      <c r="G1380" s="6" t="s">
        <v>37</v>
      </c>
      <c r="H1380" s="6" t="s">
        <v>4917</v>
      </c>
    </row>
    <row r="1381" ht="12.75" customHeight="1">
      <c r="A1381" s="6" t="s">
        <v>4918</v>
      </c>
      <c r="B1381" s="6" t="s">
        <v>4907</v>
      </c>
      <c r="C1381" s="6" t="s">
        <v>33</v>
      </c>
      <c r="D1381" s="15" t="s">
        <v>443</v>
      </c>
      <c r="E1381" s="15" t="s">
        <v>35</v>
      </c>
      <c r="F1381" s="16" t="s">
        <v>4919</v>
      </c>
      <c r="G1381" s="6" t="s">
        <v>37</v>
      </c>
      <c r="H1381" s="6" t="s">
        <v>4920</v>
      </c>
    </row>
    <row r="1382" ht="12.75" customHeight="1">
      <c r="A1382" s="6" t="s">
        <v>4921</v>
      </c>
      <c r="B1382" s="6" t="s">
        <v>4922</v>
      </c>
      <c r="C1382" s="6" t="s">
        <v>912</v>
      </c>
      <c r="D1382" s="15" t="s">
        <v>35</v>
      </c>
      <c r="E1382" s="15" t="s">
        <v>71</v>
      </c>
      <c r="F1382" s="16" t="s">
        <v>4923</v>
      </c>
      <c r="G1382" s="6" t="s">
        <v>37</v>
      </c>
      <c r="H1382" s="6" t="s">
        <v>4924</v>
      </c>
    </row>
    <row r="1383" ht="12.75" customHeight="1">
      <c r="A1383" s="6" t="s">
        <v>4925</v>
      </c>
      <c r="B1383" s="6" t="s">
        <v>4926</v>
      </c>
      <c r="C1383" s="6" t="s">
        <v>4927</v>
      </c>
      <c r="D1383" s="15" t="s">
        <v>35</v>
      </c>
      <c r="E1383" s="15" t="s">
        <v>65</v>
      </c>
      <c r="F1383" s="16" t="s">
        <v>4928</v>
      </c>
      <c r="G1383" s="6" t="s">
        <v>37</v>
      </c>
      <c r="H1383" s="6" t="s">
        <v>4929</v>
      </c>
    </row>
    <row r="1384" ht="12.75" customHeight="1">
      <c r="A1384" s="6" t="s">
        <v>4930</v>
      </c>
      <c r="B1384" s="6" t="s">
        <v>4926</v>
      </c>
      <c r="C1384" s="6" t="s">
        <v>2412</v>
      </c>
      <c r="D1384" s="15" t="s">
        <v>971</v>
      </c>
      <c r="E1384" s="15" t="s">
        <v>35</v>
      </c>
      <c r="F1384" s="16" t="s">
        <v>4931</v>
      </c>
      <c r="G1384" s="6" t="s">
        <v>37</v>
      </c>
      <c r="H1384" s="6" t="s">
        <v>4932</v>
      </c>
    </row>
    <row r="1385" ht="12.75" customHeight="1">
      <c r="A1385" s="6" t="s">
        <v>4933</v>
      </c>
      <c r="B1385" s="6" t="s">
        <v>4926</v>
      </c>
      <c r="C1385" s="6" t="s">
        <v>33</v>
      </c>
      <c r="D1385" s="15" t="s">
        <v>50</v>
      </c>
      <c r="E1385" s="15" t="s">
        <v>35</v>
      </c>
      <c r="F1385" s="16" t="s">
        <v>4934</v>
      </c>
      <c r="G1385" s="6" t="s">
        <v>37</v>
      </c>
      <c r="H1385" s="6" t="s">
        <v>4935</v>
      </c>
    </row>
    <row r="1386" ht="12.75" customHeight="1">
      <c r="A1386" s="6" t="s">
        <v>4936</v>
      </c>
      <c r="B1386" s="6" t="s">
        <v>4937</v>
      </c>
      <c r="C1386" s="6" t="s">
        <v>33</v>
      </c>
      <c r="D1386" s="15" t="s">
        <v>711</v>
      </c>
      <c r="E1386" s="15" t="s">
        <v>35</v>
      </c>
      <c r="F1386" s="16" t="s">
        <v>4938</v>
      </c>
      <c r="G1386" s="6" t="s">
        <v>37</v>
      </c>
      <c r="H1386" s="6" t="s">
        <v>4939</v>
      </c>
    </row>
    <row r="1387" ht="12.75" customHeight="1">
      <c r="A1387" s="6" t="s">
        <v>4940</v>
      </c>
      <c r="B1387" s="6" t="s">
        <v>4941</v>
      </c>
      <c r="C1387" s="6" t="s">
        <v>4942</v>
      </c>
      <c r="D1387" s="15" t="s">
        <v>35</v>
      </c>
      <c r="E1387" s="15" t="s">
        <v>4943</v>
      </c>
      <c r="F1387" s="16" t="s">
        <v>4944</v>
      </c>
      <c r="G1387" s="6" t="s">
        <v>37</v>
      </c>
      <c r="H1387" s="6" t="s">
        <v>4945</v>
      </c>
    </row>
    <row r="1388" ht="12.75" customHeight="1">
      <c r="A1388" s="6" t="s">
        <v>4946</v>
      </c>
      <c r="B1388" s="6" t="s">
        <v>4941</v>
      </c>
      <c r="C1388" s="6" t="s">
        <v>221</v>
      </c>
      <c r="D1388" s="15" t="s">
        <v>222</v>
      </c>
      <c r="E1388" s="15" t="s">
        <v>35</v>
      </c>
      <c r="F1388" s="16" t="s">
        <v>4947</v>
      </c>
      <c r="G1388" s="6" t="s">
        <v>37</v>
      </c>
      <c r="H1388" s="6" t="s">
        <v>4948</v>
      </c>
    </row>
    <row r="1389" ht="12.75" customHeight="1">
      <c r="A1389" s="6" t="s">
        <v>4949</v>
      </c>
      <c r="B1389" s="6" t="s">
        <v>4941</v>
      </c>
      <c r="C1389" s="6" t="s">
        <v>397</v>
      </c>
      <c r="D1389" s="15" t="s">
        <v>4950</v>
      </c>
      <c r="E1389" s="15" t="s">
        <v>35</v>
      </c>
      <c r="F1389" s="16" t="s">
        <v>4951</v>
      </c>
      <c r="G1389" s="6" t="s">
        <v>37</v>
      </c>
      <c r="H1389" s="6" t="s">
        <v>4952</v>
      </c>
    </row>
    <row r="1390" ht="12.75" customHeight="1">
      <c r="A1390" s="6" t="s">
        <v>4953</v>
      </c>
      <c r="B1390" s="6" t="s">
        <v>4941</v>
      </c>
      <c r="C1390" s="6" t="s">
        <v>2412</v>
      </c>
      <c r="D1390" s="15" t="s">
        <v>97</v>
      </c>
      <c r="E1390" s="15" t="s">
        <v>35</v>
      </c>
      <c r="F1390" s="16" t="s">
        <v>4954</v>
      </c>
      <c r="G1390" s="6" t="s">
        <v>37</v>
      </c>
      <c r="H1390" s="6" t="s">
        <v>4955</v>
      </c>
    </row>
    <row r="1391" ht="12.75" customHeight="1">
      <c r="A1391" s="6" t="s">
        <v>4956</v>
      </c>
      <c r="B1391" s="6" t="s">
        <v>4941</v>
      </c>
      <c r="C1391" s="6" t="s">
        <v>4957</v>
      </c>
      <c r="D1391" s="15" t="s">
        <v>55</v>
      </c>
      <c r="E1391" s="15" t="s">
        <v>35</v>
      </c>
      <c r="F1391" s="16" t="s">
        <v>4958</v>
      </c>
      <c r="G1391" s="6" t="s">
        <v>37</v>
      </c>
      <c r="H1391" s="6" t="s">
        <v>4959</v>
      </c>
    </row>
    <row r="1392" ht="12.75" customHeight="1">
      <c r="A1392" s="6" t="s">
        <v>4960</v>
      </c>
      <c r="B1392" s="6" t="s">
        <v>4961</v>
      </c>
      <c r="C1392" s="6" t="s">
        <v>70</v>
      </c>
      <c r="D1392" s="15" t="s">
        <v>443</v>
      </c>
      <c r="E1392" s="15" t="s">
        <v>35</v>
      </c>
      <c r="F1392" s="16" t="s">
        <v>4962</v>
      </c>
      <c r="G1392" s="6" t="s">
        <v>37</v>
      </c>
      <c r="H1392" s="6" t="s">
        <v>4963</v>
      </c>
    </row>
    <row r="1393" ht="12.75" customHeight="1">
      <c r="A1393" s="6" t="s">
        <v>4964</v>
      </c>
      <c r="B1393" s="6" t="s">
        <v>4961</v>
      </c>
      <c r="C1393" s="6" t="s">
        <v>2412</v>
      </c>
      <c r="D1393" s="15" t="s">
        <v>3695</v>
      </c>
      <c r="E1393" s="15" t="s">
        <v>35</v>
      </c>
      <c r="F1393" s="16" t="s">
        <v>4965</v>
      </c>
      <c r="G1393" s="6" t="s">
        <v>37</v>
      </c>
      <c r="H1393" s="6" t="s">
        <v>4966</v>
      </c>
    </row>
    <row r="1394" ht="12.75" customHeight="1">
      <c r="A1394" s="6" t="s">
        <v>4967</v>
      </c>
      <c r="B1394" s="6" t="s">
        <v>4968</v>
      </c>
      <c r="C1394" s="6" t="s">
        <v>4032</v>
      </c>
      <c r="D1394" s="15" t="s">
        <v>35</v>
      </c>
      <c r="E1394" s="15" t="s">
        <v>189</v>
      </c>
      <c r="F1394" s="16" t="s">
        <v>4969</v>
      </c>
      <c r="G1394" s="6" t="s">
        <v>37</v>
      </c>
      <c r="H1394" s="6" t="s">
        <v>4970</v>
      </c>
    </row>
    <row r="1395" ht="12.75" customHeight="1">
      <c r="A1395" s="6" t="s">
        <v>4971</v>
      </c>
      <c r="B1395" s="6" t="s">
        <v>4968</v>
      </c>
      <c r="C1395" s="6" t="s">
        <v>2412</v>
      </c>
      <c r="D1395" s="15" t="s">
        <v>719</v>
      </c>
      <c r="E1395" s="15" t="s">
        <v>35</v>
      </c>
      <c r="F1395" s="16" t="s">
        <v>4972</v>
      </c>
      <c r="G1395" s="6" t="s">
        <v>37</v>
      </c>
      <c r="H1395" s="6" t="s">
        <v>4973</v>
      </c>
    </row>
    <row r="1396" ht="12.75" customHeight="1">
      <c r="A1396" s="6" t="s">
        <v>4974</v>
      </c>
      <c r="B1396" s="6" t="s">
        <v>4975</v>
      </c>
      <c r="C1396" s="6" t="s">
        <v>4976</v>
      </c>
      <c r="D1396" s="15" t="s">
        <v>35</v>
      </c>
      <c r="E1396" s="15" t="s">
        <v>4977</v>
      </c>
      <c r="F1396" s="16" t="s">
        <v>4978</v>
      </c>
      <c r="G1396" s="6" t="s">
        <v>37</v>
      </c>
      <c r="H1396" s="6" t="s">
        <v>4979</v>
      </c>
    </row>
    <row r="1397" ht="12.75" customHeight="1">
      <c r="A1397" s="6" t="s">
        <v>4980</v>
      </c>
      <c r="B1397" s="6" t="s">
        <v>4975</v>
      </c>
      <c r="C1397" s="6" t="s">
        <v>221</v>
      </c>
      <c r="D1397" s="15" t="s">
        <v>222</v>
      </c>
      <c r="E1397" s="15" t="s">
        <v>35</v>
      </c>
      <c r="F1397" s="16" t="s">
        <v>4981</v>
      </c>
      <c r="G1397" s="6" t="s">
        <v>37</v>
      </c>
      <c r="H1397" s="6" t="s">
        <v>4982</v>
      </c>
    </row>
    <row r="1398" ht="12.75" customHeight="1">
      <c r="A1398" s="6" t="s">
        <v>4983</v>
      </c>
      <c r="B1398" s="6" t="s">
        <v>4975</v>
      </c>
      <c r="C1398" s="6" t="s">
        <v>397</v>
      </c>
      <c r="D1398" s="15" t="s">
        <v>4984</v>
      </c>
      <c r="E1398" s="15" t="s">
        <v>35</v>
      </c>
      <c r="F1398" s="16" t="s">
        <v>4985</v>
      </c>
      <c r="G1398" s="6" t="s">
        <v>37</v>
      </c>
      <c r="H1398" s="6" t="s">
        <v>4986</v>
      </c>
    </row>
    <row r="1399" ht="12.75" customHeight="1">
      <c r="A1399" s="6" t="s">
        <v>4987</v>
      </c>
      <c r="B1399" s="6" t="s">
        <v>4988</v>
      </c>
      <c r="C1399" s="6" t="s">
        <v>4836</v>
      </c>
      <c r="D1399" s="15" t="s">
        <v>35</v>
      </c>
      <c r="E1399" s="15" t="s">
        <v>71</v>
      </c>
      <c r="F1399" s="16" t="s">
        <v>4989</v>
      </c>
      <c r="G1399" s="6" t="s">
        <v>37</v>
      </c>
      <c r="H1399" s="6" t="s">
        <v>4990</v>
      </c>
    </row>
    <row r="1400" ht="12.75" customHeight="1">
      <c r="A1400" s="6" t="s">
        <v>4991</v>
      </c>
      <c r="B1400" s="6" t="s">
        <v>4988</v>
      </c>
      <c r="C1400" s="6" t="s">
        <v>2412</v>
      </c>
      <c r="D1400" s="15" t="s">
        <v>4992</v>
      </c>
      <c r="E1400" s="15" t="s">
        <v>35</v>
      </c>
      <c r="F1400" s="16" t="s">
        <v>4993</v>
      </c>
      <c r="G1400" s="6" t="s">
        <v>37</v>
      </c>
      <c r="H1400" s="6" t="s">
        <v>4994</v>
      </c>
    </row>
    <row r="1401" ht="12.75" customHeight="1">
      <c r="A1401" s="6" t="s">
        <v>4995</v>
      </c>
      <c r="B1401" s="6" t="s">
        <v>4988</v>
      </c>
      <c r="C1401" s="6" t="s">
        <v>33</v>
      </c>
      <c r="D1401" s="15" t="s">
        <v>953</v>
      </c>
      <c r="E1401" s="15" t="s">
        <v>35</v>
      </c>
      <c r="F1401" s="16" t="s">
        <v>4996</v>
      </c>
      <c r="G1401" s="6" t="s">
        <v>37</v>
      </c>
      <c r="H1401" s="6" t="s">
        <v>4997</v>
      </c>
    </row>
    <row r="1402" ht="12.75" customHeight="1">
      <c r="A1402" s="6" t="s">
        <v>4998</v>
      </c>
      <c r="B1402" s="6" t="s">
        <v>4988</v>
      </c>
      <c r="C1402" s="6" t="s">
        <v>33</v>
      </c>
      <c r="D1402" s="15" t="s">
        <v>34</v>
      </c>
      <c r="E1402" s="15" t="s">
        <v>35</v>
      </c>
      <c r="F1402" s="16" t="s">
        <v>4999</v>
      </c>
      <c r="G1402" s="6" t="s">
        <v>37</v>
      </c>
      <c r="H1402" s="6" t="s">
        <v>5000</v>
      </c>
    </row>
    <row r="1403" ht="12.75" customHeight="1">
      <c r="A1403" s="6" t="s">
        <v>5001</v>
      </c>
      <c r="B1403" s="6" t="s">
        <v>5002</v>
      </c>
      <c r="C1403" s="6" t="s">
        <v>33</v>
      </c>
      <c r="D1403" s="15" t="s">
        <v>34</v>
      </c>
      <c r="E1403" s="15" t="s">
        <v>35</v>
      </c>
      <c r="F1403" s="16" t="s">
        <v>5003</v>
      </c>
      <c r="G1403" s="6" t="s">
        <v>37</v>
      </c>
      <c r="H1403" s="6" t="s">
        <v>5004</v>
      </c>
    </row>
    <row r="1404" ht="12.75" customHeight="1">
      <c r="A1404" s="6" t="s">
        <v>5005</v>
      </c>
      <c r="B1404" s="6" t="s">
        <v>5002</v>
      </c>
      <c r="C1404" s="6" t="s">
        <v>5006</v>
      </c>
      <c r="D1404" s="15" t="s">
        <v>35</v>
      </c>
      <c r="E1404" s="15" t="s">
        <v>71</v>
      </c>
      <c r="F1404" s="16" t="s">
        <v>5007</v>
      </c>
      <c r="G1404" s="6" t="s">
        <v>37</v>
      </c>
      <c r="H1404" s="6" t="s">
        <v>5008</v>
      </c>
    </row>
    <row r="1405" ht="12.75" customHeight="1">
      <c r="A1405" s="6" t="s">
        <v>5009</v>
      </c>
      <c r="B1405" s="6" t="s">
        <v>5002</v>
      </c>
      <c r="C1405" s="6" t="s">
        <v>2412</v>
      </c>
      <c r="D1405" s="15" t="s">
        <v>183</v>
      </c>
      <c r="E1405" s="15" t="s">
        <v>35</v>
      </c>
      <c r="F1405" s="16" t="s">
        <v>5010</v>
      </c>
      <c r="G1405" s="6" t="s">
        <v>37</v>
      </c>
      <c r="H1405" s="6" t="s">
        <v>5011</v>
      </c>
    </row>
    <row r="1406" ht="12.75" customHeight="1">
      <c r="A1406" s="6" t="s">
        <v>5012</v>
      </c>
      <c r="B1406" s="6" t="s">
        <v>5013</v>
      </c>
      <c r="C1406" s="6" t="s">
        <v>4461</v>
      </c>
      <c r="D1406" s="15" t="s">
        <v>35</v>
      </c>
      <c r="E1406" s="15" t="s">
        <v>5014</v>
      </c>
      <c r="F1406" s="16" t="s">
        <v>5015</v>
      </c>
      <c r="G1406" s="6" t="s">
        <v>37</v>
      </c>
      <c r="H1406" s="6" t="s">
        <v>5016</v>
      </c>
    </row>
    <row r="1407" ht="12.75" customHeight="1">
      <c r="A1407" s="6" t="s">
        <v>5017</v>
      </c>
      <c r="B1407" s="6" t="s">
        <v>5013</v>
      </c>
      <c r="C1407" s="6" t="s">
        <v>221</v>
      </c>
      <c r="D1407" s="15" t="s">
        <v>222</v>
      </c>
      <c r="E1407" s="15" t="s">
        <v>35</v>
      </c>
      <c r="F1407" s="16" t="s">
        <v>5018</v>
      </c>
      <c r="G1407" s="6" t="s">
        <v>37</v>
      </c>
      <c r="H1407" s="6" t="s">
        <v>5019</v>
      </c>
    </row>
    <row r="1408" ht="12.75" customHeight="1">
      <c r="A1408" s="6" t="s">
        <v>5020</v>
      </c>
      <c r="B1408" s="6" t="s">
        <v>5013</v>
      </c>
      <c r="C1408" s="6" t="s">
        <v>5021</v>
      </c>
      <c r="D1408" s="15" t="s">
        <v>4486</v>
      </c>
      <c r="E1408" s="15" t="s">
        <v>35</v>
      </c>
      <c r="F1408" s="16" t="s">
        <v>5022</v>
      </c>
      <c r="G1408" s="6" t="s">
        <v>868</v>
      </c>
      <c r="H1408" s="6" t="s">
        <v>5023</v>
      </c>
    </row>
    <row r="1409" ht="12.75" customHeight="1">
      <c r="A1409" s="6" t="s">
        <v>5024</v>
      </c>
      <c r="B1409" s="6" t="s">
        <v>5025</v>
      </c>
      <c r="C1409" s="6" t="s">
        <v>4044</v>
      </c>
      <c r="D1409" s="15" t="s">
        <v>35</v>
      </c>
      <c r="E1409" s="15" t="s">
        <v>3640</v>
      </c>
      <c r="F1409" s="16" t="s">
        <v>5026</v>
      </c>
      <c r="G1409" s="6" t="s">
        <v>37</v>
      </c>
      <c r="H1409" s="6" t="s">
        <v>5027</v>
      </c>
    </row>
    <row r="1410" ht="12.75" customHeight="1">
      <c r="A1410" s="6" t="s">
        <v>5028</v>
      </c>
      <c r="B1410" s="6" t="s">
        <v>5025</v>
      </c>
      <c r="C1410" s="6" t="s">
        <v>878</v>
      </c>
      <c r="D1410" s="15" t="s">
        <v>515</v>
      </c>
      <c r="E1410" s="15" t="s">
        <v>35</v>
      </c>
      <c r="F1410" s="16" t="s">
        <v>5029</v>
      </c>
      <c r="G1410" s="6" t="s">
        <v>37</v>
      </c>
      <c r="H1410" s="6" t="s">
        <v>5030</v>
      </c>
    </row>
    <row r="1411" ht="12.75" customHeight="1">
      <c r="A1411" s="6" t="s">
        <v>5031</v>
      </c>
      <c r="B1411" s="6" t="s">
        <v>5025</v>
      </c>
      <c r="C1411" s="6" t="s">
        <v>3885</v>
      </c>
      <c r="D1411" s="15" t="s">
        <v>5032</v>
      </c>
      <c r="E1411" s="15" t="s">
        <v>35</v>
      </c>
      <c r="F1411" s="16" t="s">
        <v>5033</v>
      </c>
      <c r="G1411" s="6" t="s">
        <v>37</v>
      </c>
      <c r="H1411" s="6" t="s">
        <v>5034</v>
      </c>
    </row>
    <row r="1412" ht="12.75" customHeight="1">
      <c r="A1412" s="6" t="s">
        <v>5035</v>
      </c>
      <c r="B1412" s="6" t="s">
        <v>5036</v>
      </c>
      <c r="C1412" s="6" t="s">
        <v>5037</v>
      </c>
      <c r="D1412" s="15" t="s">
        <v>35</v>
      </c>
      <c r="E1412" s="15" t="s">
        <v>65</v>
      </c>
      <c r="F1412" s="16" t="s">
        <v>5038</v>
      </c>
      <c r="G1412" s="6" t="s">
        <v>37</v>
      </c>
      <c r="H1412" s="6" t="s">
        <v>5039</v>
      </c>
    </row>
    <row r="1413" ht="12.75" customHeight="1">
      <c r="A1413" s="6" t="s">
        <v>5040</v>
      </c>
      <c r="B1413" s="6" t="s">
        <v>5036</v>
      </c>
      <c r="C1413" s="6" t="s">
        <v>33</v>
      </c>
      <c r="D1413" s="15" t="s">
        <v>41</v>
      </c>
      <c r="E1413" s="15" t="s">
        <v>35</v>
      </c>
      <c r="F1413" s="16" t="s">
        <v>5041</v>
      </c>
      <c r="G1413" s="6" t="s">
        <v>37</v>
      </c>
      <c r="H1413" s="6" t="s">
        <v>5042</v>
      </c>
    </row>
    <row r="1414" ht="12.75" customHeight="1">
      <c r="A1414" s="6" t="s">
        <v>5043</v>
      </c>
      <c r="B1414" s="6" t="s">
        <v>5036</v>
      </c>
      <c r="C1414" s="6" t="s">
        <v>40</v>
      </c>
      <c r="D1414" s="15" t="s">
        <v>35</v>
      </c>
      <c r="E1414" s="15" t="s">
        <v>71</v>
      </c>
      <c r="F1414" s="16" t="s">
        <v>5044</v>
      </c>
      <c r="G1414" s="6" t="s">
        <v>37</v>
      </c>
      <c r="H1414" s="6" t="s">
        <v>5045</v>
      </c>
    </row>
    <row r="1415" ht="12.75" customHeight="1">
      <c r="A1415" s="6" t="s">
        <v>5046</v>
      </c>
      <c r="B1415" s="6" t="s">
        <v>5036</v>
      </c>
      <c r="C1415" s="6" t="s">
        <v>5047</v>
      </c>
      <c r="D1415" s="15" t="s">
        <v>189</v>
      </c>
      <c r="E1415" s="15" t="s">
        <v>35</v>
      </c>
      <c r="F1415" s="16" t="s">
        <v>5048</v>
      </c>
      <c r="G1415" s="6" t="s">
        <v>37</v>
      </c>
      <c r="H1415" s="6" t="s">
        <v>5049</v>
      </c>
    </row>
    <row r="1416" ht="12.75" customHeight="1">
      <c r="A1416" s="6" t="s">
        <v>5050</v>
      </c>
      <c r="B1416" s="6" t="s">
        <v>5036</v>
      </c>
      <c r="C1416" s="6" t="s">
        <v>70</v>
      </c>
      <c r="D1416" s="15" t="s">
        <v>50</v>
      </c>
      <c r="E1416" s="15" t="s">
        <v>35</v>
      </c>
      <c r="F1416" s="16" t="s">
        <v>5041</v>
      </c>
      <c r="G1416" s="6" t="s">
        <v>37</v>
      </c>
      <c r="H1416" s="6" t="s">
        <v>5051</v>
      </c>
    </row>
    <row r="1417" ht="12.75" customHeight="1">
      <c r="A1417" s="6" t="s">
        <v>5052</v>
      </c>
      <c r="B1417" s="6" t="s">
        <v>5053</v>
      </c>
      <c r="C1417" s="6" t="s">
        <v>878</v>
      </c>
      <c r="D1417" s="15" t="s">
        <v>515</v>
      </c>
      <c r="E1417" s="15" t="s">
        <v>35</v>
      </c>
      <c r="F1417" s="16" t="s">
        <v>5054</v>
      </c>
      <c r="G1417" s="6" t="s">
        <v>37</v>
      </c>
      <c r="H1417" s="6" t="s">
        <v>5055</v>
      </c>
    </row>
    <row r="1418" ht="12.75" customHeight="1">
      <c r="A1418" s="6" t="s">
        <v>5056</v>
      </c>
      <c r="B1418" s="6" t="s">
        <v>5053</v>
      </c>
      <c r="C1418" s="6" t="s">
        <v>33</v>
      </c>
      <c r="D1418" s="15" t="s">
        <v>41</v>
      </c>
      <c r="E1418" s="15" t="s">
        <v>35</v>
      </c>
      <c r="F1418" s="16" t="s">
        <v>5057</v>
      </c>
      <c r="G1418" s="6" t="s">
        <v>37</v>
      </c>
      <c r="H1418" s="6" t="s">
        <v>5058</v>
      </c>
    </row>
    <row r="1419" ht="12.75" customHeight="1">
      <c r="A1419" s="6" t="s">
        <v>5059</v>
      </c>
      <c r="B1419" s="6" t="s">
        <v>5060</v>
      </c>
      <c r="C1419" s="6" t="s">
        <v>40</v>
      </c>
      <c r="D1419" s="15" t="s">
        <v>35</v>
      </c>
      <c r="E1419" s="15" t="s">
        <v>490</v>
      </c>
      <c r="F1419" s="16" t="s">
        <v>5061</v>
      </c>
      <c r="G1419" s="6" t="s">
        <v>37</v>
      </c>
      <c r="H1419" s="6" t="s">
        <v>5062</v>
      </c>
    </row>
    <row r="1420" ht="12.75" customHeight="1">
      <c r="A1420" s="6" t="s">
        <v>5063</v>
      </c>
      <c r="B1420" s="6" t="s">
        <v>5060</v>
      </c>
      <c r="C1420" s="6" t="s">
        <v>221</v>
      </c>
      <c r="D1420" s="15" t="s">
        <v>222</v>
      </c>
      <c r="E1420" s="15" t="s">
        <v>35</v>
      </c>
      <c r="F1420" s="16" t="s">
        <v>5064</v>
      </c>
      <c r="G1420" s="6" t="s">
        <v>37</v>
      </c>
      <c r="H1420" s="6" t="s">
        <v>5065</v>
      </c>
    </row>
    <row r="1421" ht="12.75" customHeight="1">
      <c r="A1421" s="6" t="s">
        <v>5066</v>
      </c>
      <c r="B1421" s="6" t="s">
        <v>5060</v>
      </c>
      <c r="C1421" s="6" t="s">
        <v>5067</v>
      </c>
      <c r="D1421" s="15" t="s">
        <v>953</v>
      </c>
      <c r="E1421" s="15" t="s">
        <v>35</v>
      </c>
      <c r="F1421" s="16" t="s">
        <v>5068</v>
      </c>
      <c r="G1421" s="6" t="s">
        <v>37</v>
      </c>
      <c r="H1421" s="6" t="s">
        <v>5069</v>
      </c>
    </row>
    <row r="1422" ht="12.75" customHeight="1">
      <c r="A1422" s="6" t="s">
        <v>5070</v>
      </c>
      <c r="B1422" s="6" t="s">
        <v>5060</v>
      </c>
      <c r="C1422" s="6" t="s">
        <v>33</v>
      </c>
      <c r="D1422" s="15" t="s">
        <v>50</v>
      </c>
      <c r="E1422" s="15" t="s">
        <v>35</v>
      </c>
      <c r="F1422" s="16" t="s">
        <v>5071</v>
      </c>
      <c r="G1422" s="6" t="s">
        <v>37</v>
      </c>
      <c r="H1422" s="6" t="s">
        <v>5072</v>
      </c>
    </row>
    <row r="1423" ht="12.75" customHeight="1">
      <c r="A1423" s="6" t="s">
        <v>5073</v>
      </c>
      <c r="B1423" s="6" t="s">
        <v>5074</v>
      </c>
      <c r="C1423" s="6" t="s">
        <v>208</v>
      </c>
      <c r="D1423" s="15" t="s">
        <v>35</v>
      </c>
      <c r="E1423" s="15" t="s">
        <v>335</v>
      </c>
      <c r="F1423" s="16" t="s">
        <v>5075</v>
      </c>
      <c r="G1423" s="6" t="s">
        <v>37</v>
      </c>
      <c r="H1423" s="6" t="s">
        <v>5076</v>
      </c>
    </row>
    <row r="1424" ht="12.75" customHeight="1">
      <c r="A1424" s="6" t="s">
        <v>5077</v>
      </c>
      <c r="B1424" s="6" t="s">
        <v>5074</v>
      </c>
      <c r="C1424" s="6" t="s">
        <v>33</v>
      </c>
      <c r="D1424" s="15" t="s">
        <v>4265</v>
      </c>
      <c r="E1424" s="15" t="s">
        <v>35</v>
      </c>
      <c r="F1424" s="16" t="s">
        <v>5078</v>
      </c>
      <c r="G1424" s="6" t="s">
        <v>37</v>
      </c>
      <c r="H1424" s="6" t="s">
        <v>5079</v>
      </c>
    </row>
    <row r="1425" ht="12.75" customHeight="1">
      <c r="A1425" s="6" t="s">
        <v>5080</v>
      </c>
      <c r="B1425" s="6" t="s">
        <v>5081</v>
      </c>
      <c r="C1425" s="6" t="s">
        <v>33</v>
      </c>
      <c r="D1425" s="15" t="s">
        <v>41</v>
      </c>
      <c r="E1425" s="15" t="s">
        <v>35</v>
      </c>
      <c r="F1425" s="16" t="s">
        <v>5082</v>
      </c>
      <c r="G1425" s="6" t="s">
        <v>37</v>
      </c>
      <c r="H1425" s="6" t="s">
        <v>5083</v>
      </c>
    </row>
    <row r="1426" ht="12.75" customHeight="1">
      <c r="A1426" s="6" t="s">
        <v>5084</v>
      </c>
      <c r="B1426" s="6" t="s">
        <v>5085</v>
      </c>
      <c r="C1426" s="6" t="s">
        <v>5086</v>
      </c>
      <c r="D1426" s="15" t="s">
        <v>35</v>
      </c>
      <c r="E1426" s="15" t="s">
        <v>65</v>
      </c>
      <c r="F1426" s="16" t="s">
        <v>5087</v>
      </c>
      <c r="G1426" s="6" t="s">
        <v>37</v>
      </c>
      <c r="H1426" s="6" t="s">
        <v>5088</v>
      </c>
    </row>
    <row r="1427" ht="12.75" customHeight="1">
      <c r="A1427" s="6" t="s">
        <v>5089</v>
      </c>
      <c r="B1427" s="6" t="s">
        <v>5085</v>
      </c>
      <c r="C1427" s="6" t="s">
        <v>5090</v>
      </c>
      <c r="D1427" s="15" t="s">
        <v>1720</v>
      </c>
      <c r="E1427" s="15" t="s">
        <v>35</v>
      </c>
      <c r="F1427" s="16" t="s">
        <v>5091</v>
      </c>
      <c r="G1427" s="6" t="s">
        <v>37</v>
      </c>
      <c r="H1427" s="6" t="s">
        <v>5092</v>
      </c>
    </row>
    <row r="1428" ht="12.75" customHeight="1">
      <c r="A1428" s="6" t="s">
        <v>5093</v>
      </c>
      <c r="B1428" s="6" t="s">
        <v>5094</v>
      </c>
      <c r="C1428" s="6" t="s">
        <v>5095</v>
      </c>
      <c r="D1428" s="15" t="s">
        <v>35</v>
      </c>
      <c r="E1428" s="15" t="s">
        <v>71</v>
      </c>
      <c r="F1428" s="16" t="s">
        <v>5096</v>
      </c>
      <c r="G1428" s="6" t="s">
        <v>37</v>
      </c>
      <c r="H1428" s="6" t="s">
        <v>5097</v>
      </c>
    </row>
    <row r="1429" ht="12.75" customHeight="1">
      <c r="A1429" s="6" t="s">
        <v>5098</v>
      </c>
      <c r="B1429" s="6" t="s">
        <v>5099</v>
      </c>
      <c r="C1429" s="6" t="s">
        <v>5100</v>
      </c>
      <c r="D1429" s="15" t="s">
        <v>35</v>
      </c>
      <c r="E1429" s="15" t="s">
        <v>239</v>
      </c>
      <c r="F1429" s="16" t="s">
        <v>5101</v>
      </c>
      <c r="G1429" s="6" t="s">
        <v>37</v>
      </c>
      <c r="H1429" s="6" t="s">
        <v>5102</v>
      </c>
    </row>
    <row r="1430" ht="12.75" customHeight="1">
      <c r="A1430" s="6" t="s">
        <v>5103</v>
      </c>
      <c r="B1430" s="6" t="s">
        <v>5099</v>
      </c>
      <c r="C1430" s="6" t="s">
        <v>221</v>
      </c>
      <c r="D1430" s="15" t="s">
        <v>222</v>
      </c>
      <c r="E1430" s="15" t="s">
        <v>35</v>
      </c>
      <c r="F1430" s="16" t="s">
        <v>5104</v>
      </c>
      <c r="G1430" s="6" t="s">
        <v>37</v>
      </c>
      <c r="H1430" s="6" t="s">
        <v>5105</v>
      </c>
    </row>
    <row r="1431" ht="12.75" customHeight="1">
      <c r="A1431" s="6" t="s">
        <v>5106</v>
      </c>
      <c r="B1431" s="6" t="s">
        <v>5099</v>
      </c>
      <c r="C1431" s="6" t="s">
        <v>5107</v>
      </c>
      <c r="D1431" s="15" t="s">
        <v>243</v>
      </c>
      <c r="E1431" s="15" t="s">
        <v>35</v>
      </c>
      <c r="F1431" s="16" t="s">
        <v>5108</v>
      </c>
      <c r="G1431" s="6" t="s">
        <v>37</v>
      </c>
      <c r="H1431" s="6" t="s">
        <v>5109</v>
      </c>
    </row>
    <row r="1432" ht="12.75" customHeight="1">
      <c r="A1432" s="6" t="s">
        <v>5110</v>
      </c>
      <c r="B1432" s="6" t="s">
        <v>5099</v>
      </c>
      <c r="C1432" s="6" t="s">
        <v>33</v>
      </c>
      <c r="D1432" s="15" t="s">
        <v>41</v>
      </c>
      <c r="E1432" s="15" t="s">
        <v>35</v>
      </c>
      <c r="F1432" s="16" t="s">
        <v>5111</v>
      </c>
      <c r="G1432" s="6" t="s">
        <v>37</v>
      </c>
      <c r="H1432" s="6" t="s">
        <v>5112</v>
      </c>
    </row>
    <row r="1433" ht="12.75" customHeight="1">
      <c r="A1433" s="6" t="s">
        <v>5113</v>
      </c>
      <c r="B1433" s="6" t="s">
        <v>5114</v>
      </c>
      <c r="C1433" s="6" t="s">
        <v>5115</v>
      </c>
      <c r="D1433" s="15" t="s">
        <v>35</v>
      </c>
      <c r="E1433" s="15" t="s">
        <v>65</v>
      </c>
      <c r="F1433" s="16" t="s">
        <v>5116</v>
      </c>
      <c r="G1433" s="6" t="s">
        <v>37</v>
      </c>
      <c r="H1433" s="6" t="s">
        <v>5117</v>
      </c>
    </row>
    <row r="1434" ht="12.75" customHeight="1">
      <c r="A1434" s="6" t="s">
        <v>5118</v>
      </c>
      <c r="B1434" s="6" t="s">
        <v>5114</v>
      </c>
      <c r="C1434" s="6" t="s">
        <v>5119</v>
      </c>
      <c r="D1434" s="15" t="s">
        <v>5120</v>
      </c>
      <c r="E1434" s="15" t="s">
        <v>35</v>
      </c>
      <c r="F1434" s="16" t="s">
        <v>5121</v>
      </c>
      <c r="G1434" s="6" t="s">
        <v>37</v>
      </c>
      <c r="H1434" s="6" t="s">
        <v>5122</v>
      </c>
    </row>
    <row r="1435" ht="12.75" customHeight="1">
      <c r="A1435" s="6" t="s">
        <v>5123</v>
      </c>
      <c r="B1435" s="6" t="s">
        <v>5114</v>
      </c>
      <c r="C1435" s="6" t="s">
        <v>5119</v>
      </c>
      <c r="D1435" s="15" t="s">
        <v>55</v>
      </c>
      <c r="E1435" s="15" t="s">
        <v>35</v>
      </c>
      <c r="F1435" s="16" t="s">
        <v>5124</v>
      </c>
      <c r="G1435" s="6" t="s">
        <v>37</v>
      </c>
      <c r="H1435" s="6" t="s">
        <v>5125</v>
      </c>
    </row>
    <row r="1436" ht="12.75" customHeight="1">
      <c r="A1436" s="6" t="s">
        <v>5126</v>
      </c>
      <c r="B1436" s="6" t="s">
        <v>5114</v>
      </c>
      <c r="C1436" s="6" t="s">
        <v>5127</v>
      </c>
      <c r="D1436" s="15" t="s">
        <v>1920</v>
      </c>
      <c r="E1436" s="15" t="s">
        <v>35</v>
      </c>
      <c r="F1436" s="16" t="s">
        <v>5128</v>
      </c>
      <c r="G1436" s="6" t="s">
        <v>37</v>
      </c>
      <c r="H1436" s="6" t="s">
        <v>5129</v>
      </c>
    </row>
    <row r="1437" ht="12.75" customHeight="1">
      <c r="A1437" s="6" t="s">
        <v>5130</v>
      </c>
      <c r="B1437" s="6" t="s">
        <v>5114</v>
      </c>
      <c r="C1437" s="6" t="s">
        <v>5131</v>
      </c>
      <c r="D1437" s="15" t="s">
        <v>71</v>
      </c>
      <c r="E1437" s="15" t="s">
        <v>35</v>
      </c>
      <c r="F1437" s="16" t="s">
        <v>5132</v>
      </c>
      <c r="G1437" s="6" t="s">
        <v>37</v>
      </c>
      <c r="H1437" s="6" t="s">
        <v>5133</v>
      </c>
    </row>
    <row r="1438" ht="12.75" customHeight="1">
      <c r="A1438" s="6" t="s">
        <v>5134</v>
      </c>
      <c r="B1438" s="6" t="s">
        <v>5114</v>
      </c>
      <c r="C1438" s="6" t="s">
        <v>2412</v>
      </c>
      <c r="D1438" s="15" t="s">
        <v>97</v>
      </c>
      <c r="E1438" s="15" t="s">
        <v>35</v>
      </c>
      <c r="F1438" s="16" t="s">
        <v>5135</v>
      </c>
      <c r="G1438" s="6" t="s">
        <v>37</v>
      </c>
      <c r="H1438" s="6" t="s">
        <v>5136</v>
      </c>
    </row>
    <row r="1439" ht="12.75" customHeight="1">
      <c r="A1439" s="6" t="s">
        <v>5137</v>
      </c>
      <c r="B1439" s="6" t="s">
        <v>5138</v>
      </c>
      <c r="C1439" s="6" t="s">
        <v>33</v>
      </c>
      <c r="D1439" s="15" t="s">
        <v>41</v>
      </c>
      <c r="E1439" s="15" t="s">
        <v>35</v>
      </c>
      <c r="F1439" s="16" t="s">
        <v>5139</v>
      </c>
      <c r="G1439" s="6" t="s">
        <v>37</v>
      </c>
      <c r="H1439" s="6" t="s">
        <v>5140</v>
      </c>
    </row>
    <row r="1440" ht="12.75" customHeight="1">
      <c r="A1440" s="6" t="s">
        <v>5141</v>
      </c>
      <c r="B1440" s="6" t="s">
        <v>5138</v>
      </c>
      <c r="C1440" s="6" t="s">
        <v>2412</v>
      </c>
      <c r="D1440" s="15" t="s">
        <v>71</v>
      </c>
      <c r="E1440" s="15" t="s">
        <v>35</v>
      </c>
      <c r="F1440" s="16" t="s">
        <v>5142</v>
      </c>
      <c r="G1440" s="6" t="s">
        <v>37</v>
      </c>
      <c r="H1440" s="6" t="s">
        <v>5143</v>
      </c>
    </row>
    <row r="1441" ht="12.75" customHeight="1">
      <c r="A1441" s="6" t="s">
        <v>5144</v>
      </c>
      <c r="B1441" s="6" t="s">
        <v>5145</v>
      </c>
      <c r="C1441" s="6" t="s">
        <v>5146</v>
      </c>
      <c r="D1441" s="15" t="s">
        <v>41</v>
      </c>
      <c r="E1441" s="15" t="s">
        <v>35</v>
      </c>
      <c r="F1441" s="16" t="s">
        <v>5147</v>
      </c>
      <c r="G1441" s="6" t="s">
        <v>37</v>
      </c>
      <c r="H1441" s="6" t="s">
        <v>5148</v>
      </c>
    </row>
    <row r="1442" ht="12.75" customHeight="1">
      <c r="A1442" s="6" t="s">
        <v>5149</v>
      </c>
      <c r="B1442" s="6" t="s">
        <v>5145</v>
      </c>
      <c r="C1442" s="6" t="s">
        <v>5150</v>
      </c>
      <c r="D1442" s="15" t="s">
        <v>251</v>
      </c>
      <c r="E1442" s="15" t="s">
        <v>35</v>
      </c>
      <c r="F1442" s="16" t="s">
        <v>5151</v>
      </c>
      <c r="G1442" s="6" t="s">
        <v>37</v>
      </c>
      <c r="H1442" s="6" t="s">
        <v>5152</v>
      </c>
    </row>
    <row r="1443" ht="12.75" customHeight="1">
      <c r="A1443" s="6" t="s">
        <v>5153</v>
      </c>
      <c r="B1443" s="6" t="s">
        <v>5154</v>
      </c>
      <c r="C1443" s="6" t="s">
        <v>506</v>
      </c>
      <c r="D1443" s="15" t="s">
        <v>46</v>
      </c>
      <c r="E1443" s="15" t="s">
        <v>35</v>
      </c>
      <c r="F1443" s="16" t="s">
        <v>5048</v>
      </c>
      <c r="G1443" s="6" t="s">
        <v>37</v>
      </c>
      <c r="H1443" s="6" t="s">
        <v>5155</v>
      </c>
    </row>
    <row r="1444" ht="12.75" customHeight="1">
      <c r="A1444" s="6" t="s">
        <v>5156</v>
      </c>
      <c r="B1444" s="6" t="s">
        <v>5154</v>
      </c>
      <c r="C1444" s="6" t="s">
        <v>33</v>
      </c>
      <c r="D1444" s="15" t="s">
        <v>41</v>
      </c>
      <c r="E1444" s="15" t="s">
        <v>35</v>
      </c>
      <c r="F1444" s="16" t="s">
        <v>5157</v>
      </c>
      <c r="G1444" s="6" t="s">
        <v>37</v>
      </c>
      <c r="H1444" s="6" t="s">
        <v>5158</v>
      </c>
    </row>
    <row r="1445" ht="12.75" customHeight="1">
      <c r="A1445" s="6" t="s">
        <v>5159</v>
      </c>
      <c r="B1445" s="6" t="s">
        <v>5154</v>
      </c>
      <c r="C1445" s="6" t="s">
        <v>45</v>
      </c>
      <c r="D1445" s="15" t="s">
        <v>46</v>
      </c>
      <c r="E1445" s="15" t="s">
        <v>35</v>
      </c>
      <c r="F1445" s="16" t="s">
        <v>5160</v>
      </c>
      <c r="G1445" s="6" t="s">
        <v>37</v>
      </c>
      <c r="H1445" s="6" t="s">
        <v>5161</v>
      </c>
    </row>
    <row r="1446" ht="12.75" customHeight="1">
      <c r="A1446" s="6" t="s">
        <v>5162</v>
      </c>
      <c r="B1446" s="6" t="s">
        <v>5154</v>
      </c>
      <c r="C1446" s="6" t="s">
        <v>92</v>
      </c>
      <c r="D1446" s="15" t="s">
        <v>34</v>
      </c>
      <c r="E1446" s="15" t="s">
        <v>35</v>
      </c>
      <c r="F1446" s="16" t="s">
        <v>5163</v>
      </c>
      <c r="G1446" s="6" t="s">
        <v>37</v>
      </c>
      <c r="H1446" s="6" t="s">
        <v>5164</v>
      </c>
    </row>
    <row r="1447" ht="12.75" customHeight="1">
      <c r="A1447" s="6" t="s">
        <v>5165</v>
      </c>
      <c r="B1447" s="6" t="s">
        <v>5154</v>
      </c>
      <c r="C1447" s="6" t="s">
        <v>397</v>
      </c>
      <c r="D1447" s="15" t="s">
        <v>97</v>
      </c>
      <c r="E1447" s="15" t="s">
        <v>35</v>
      </c>
      <c r="F1447" s="16" t="s">
        <v>4989</v>
      </c>
      <c r="G1447" s="6" t="s">
        <v>37</v>
      </c>
      <c r="H1447" s="6" t="s">
        <v>5166</v>
      </c>
    </row>
    <row r="1448" ht="12.75" customHeight="1">
      <c r="A1448" s="6" t="s">
        <v>5167</v>
      </c>
      <c r="B1448" s="6" t="s">
        <v>5154</v>
      </c>
      <c r="C1448" s="6" t="s">
        <v>45</v>
      </c>
      <c r="D1448" s="15" t="s">
        <v>1307</v>
      </c>
      <c r="E1448" s="15" t="s">
        <v>35</v>
      </c>
      <c r="F1448" s="16" t="s">
        <v>5168</v>
      </c>
      <c r="G1448" s="6" t="s">
        <v>37</v>
      </c>
      <c r="H1448" s="6" t="s">
        <v>5169</v>
      </c>
    </row>
    <row r="1449" ht="12.75" customHeight="1">
      <c r="A1449" s="6" t="s">
        <v>5170</v>
      </c>
      <c r="B1449" s="6" t="s">
        <v>5171</v>
      </c>
      <c r="C1449" s="6" t="s">
        <v>45</v>
      </c>
      <c r="D1449" s="15" t="s">
        <v>34</v>
      </c>
      <c r="E1449" s="15" t="s">
        <v>35</v>
      </c>
      <c r="F1449" s="16" t="s">
        <v>5172</v>
      </c>
      <c r="G1449" s="6" t="s">
        <v>37</v>
      </c>
      <c r="H1449" s="6" t="s">
        <v>5173</v>
      </c>
    </row>
    <row r="1450" ht="12.75" customHeight="1">
      <c r="A1450" s="6" t="s">
        <v>5174</v>
      </c>
      <c r="B1450" s="6" t="s">
        <v>5171</v>
      </c>
      <c r="C1450" s="6" t="s">
        <v>912</v>
      </c>
      <c r="D1450" s="15" t="s">
        <v>35</v>
      </c>
      <c r="E1450" s="15" t="s">
        <v>189</v>
      </c>
      <c r="F1450" s="16" t="s">
        <v>5175</v>
      </c>
      <c r="G1450" s="6" t="s">
        <v>37</v>
      </c>
      <c r="H1450" s="6" t="s">
        <v>5176</v>
      </c>
    </row>
    <row r="1451" ht="12.75" customHeight="1">
      <c r="A1451" s="6" t="s">
        <v>5177</v>
      </c>
      <c r="B1451" s="6" t="s">
        <v>5171</v>
      </c>
      <c r="C1451" s="6" t="s">
        <v>1627</v>
      </c>
      <c r="D1451" s="15" t="s">
        <v>443</v>
      </c>
      <c r="E1451" s="15" t="s">
        <v>35</v>
      </c>
      <c r="F1451" s="16" t="s">
        <v>5178</v>
      </c>
      <c r="G1451" s="6" t="s">
        <v>37</v>
      </c>
      <c r="H1451" s="6" t="s">
        <v>5179</v>
      </c>
    </row>
    <row r="1452" ht="12.75" customHeight="1">
      <c r="A1452" s="6" t="s">
        <v>5180</v>
      </c>
      <c r="B1452" s="6" t="s">
        <v>5171</v>
      </c>
      <c r="C1452" s="6" t="s">
        <v>33</v>
      </c>
      <c r="D1452" s="15" t="s">
        <v>34</v>
      </c>
      <c r="E1452" s="15" t="s">
        <v>35</v>
      </c>
      <c r="F1452" s="16" t="s">
        <v>5181</v>
      </c>
      <c r="G1452" s="6" t="s">
        <v>37</v>
      </c>
      <c r="H1452" s="6" t="s">
        <v>5182</v>
      </c>
    </row>
    <row r="1453" ht="12.75" customHeight="1">
      <c r="A1453" s="6" t="s">
        <v>5183</v>
      </c>
      <c r="B1453" s="6" t="s">
        <v>5171</v>
      </c>
      <c r="C1453" s="6" t="s">
        <v>33</v>
      </c>
      <c r="D1453" s="15" t="s">
        <v>50</v>
      </c>
      <c r="E1453" s="15" t="s">
        <v>35</v>
      </c>
      <c r="F1453" s="16" t="s">
        <v>5184</v>
      </c>
      <c r="G1453" s="6" t="s">
        <v>37</v>
      </c>
      <c r="H1453" s="6" t="s">
        <v>5185</v>
      </c>
    </row>
    <row r="1454" ht="12.75" customHeight="1">
      <c r="A1454" s="6" t="s">
        <v>5186</v>
      </c>
      <c r="B1454" s="6" t="s">
        <v>5187</v>
      </c>
      <c r="C1454" s="6" t="s">
        <v>5188</v>
      </c>
      <c r="D1454" s="15" t="s">
        <v>34</v>
      </c>
      <c r="E1454" s="15" t="s">
        <v>35</v>
      </c>
      <c r="F1454" s="16" t="s">
        <v>5168</v>
      </c>
      <c r="G1454" s="6" t="s">
        <v>37</v>
      </c>
      <c r="H1454" s="6" t="s">
        <v>5189</v>
      </c>
    </row>
    <row r="1455" ht="12.75" customHeight="1">
      <c r="A1455" s="6" t="s">
        <v>5190</v>
      </c>
      <c r="B1455" s="6" t="s">
        <v>5187</v>
      </c>
      <c r="C1455" s="6" t="s">
        <v>40</v>
      </c>
      <c r="D1455" s="15" t="s">
        <v>35</v>
      </c>
      <c r="E1455" s="15" t="s">
        <v>568</v>
      </c>
      <c r="F1455" s="16" t="s">
        <v>5191</v>
      </c>
      <c r="G1455" s="6" t="s">
        <v>37</v>
      </c>
      <c r="H1455" s="6" t="s">
        <v>5192</v>
      </c>
    </row>
    <row r="1456" ht="12.75" customHeight="1">
      <c r="A1456" s="6" t="s">
        <v>5193</v>
      </c>
      <c r="B1456" s="6" t="s">
        <v>5187</v>
      </c>
      <c r="C1456" s="6" t="s">
        <v>2905</v>
      </c>
      <c r="D1456" s="15" t="s">
        <v>568</v>
      </c>
      <c r="E1456" s="15" t="s">
        <v>35</v>
      </c>
      <c r="F1456" s="16" t="s">
        <v>5168</v>
      </c>
      <c r="G1456" s="6" t="s">
        <v>37</v>
      </c>
      <c r="H1456" s="6" t="s">
        <v>5194</v>
      </c>
    </row>
    <row r="1457" ht="12.75" customHeight="1">
      <c r="A1457" s="6" t="s">
        <v>5195</v>
      </c>
      <c r="B1457" s="6" t="s">
        <v>5187</v>
      </c>
      <c r="C1457" s="6" t="s">
        <v>33</v>
      </c>
      <c r="D1457" s="15" t="s">
        <v>41</v>
      </c>
      <c r="E1457" s="15" t="s">
        <v>35</v>
      </c>
      <c r="F1457" s="16" t="s">
        <v>5196</v>
      </c>
      <c r="G1457" s="6" t="s">
        <v>37</v>
      </c>
      <c r="H1457" s="6" t="s">
        <v>5197</v>
      </c>
    </row>
    <row r="1458" ht="12.75" customHeight="1">
      <c r="A1458" s="6" t="s">
        <v>5198</v>
      </c>
      <c r="B1458" s="6" t="s">
        <v>5187</v>
      </c>
      <c r="C1458" s="6" t="s">
        <v>5199</v>
      </c>
      <c r="D1458" s="15" t="s">
        <v>35</v>
      </c>
      <c r="E1458" s="15" t="s">
        <v>71</v>
      </c>
      <c r="F1458" s="16" t="s">
        <v>5200</v>
      </c>
      <c r="G1458" s="6" t="s">
        <v>37</v>
      </c>
      <c r="H1458" s="6" t="s">
        <v>5201</v>
      </c>
    </row>
    <row r="1459" ht="12.75" customHeight="1">
      <c r="A1459" s="6" t="s">
        <v>5202</v>
      </c>
      <c r="B1459" s="6" t="s">
        <v>5187</v>
      </c>
      <c r="C1459" s="6" t="s">
        <v>263</v>
      </c>
      <c r="D1459" s="15" t="s">
        <v>4457</v>
      </c>
      <c r="E1459" s="15" t="s">
        <v>35</v>
      </c>
      <c r="F1459" s="16" t="s">
        <v>5203</v>
      </c>
      <c r="G1459" s="6" t="s">
        <v>37</v>
      </c>
      <c r="H1459" s="6" t="s">
        <v>5204</v>
      </c>
    </row>
    <row r="1460" ht="12.75" customHeight="1">
      <c r="A1460" s="6" t="s">
        <v>5205</v>
      </c>
      <c r="B1460" s="6" t="s">
        <v>5187</v>
      </c>
      <c r="C1460" s="6" t="s">
        <v>5206</v>
      </c>
      <c r="D1460" s="15" t="s">
        <v>502</v>
      </c>
      <c r="E1460" s="15" t="s">
        <v>35</v>
      </c>
      <c r="F1460" s="16" t="s">
        <v>5181</v>
      </c>
      <c r="G1460" s="6" t="s">
        <v>37</v>
      </c>
      <c r="H1460" s="6" t="s">
        <v>5207</v>
      </c>
    </row>
    <row r="1461" ht="12.75" customHeight="1">
      <c r="A1461" s="6" t="s">
        <v>5208</v>
      </c>
      <c r="B1461" s="6" t="s">
        <v>5209</v>
      </c>
      <c r="C1461" s="6" t="s">
        <v>70</v>
      </c>
      <c r="D1461" s="15" t="s">
        <v>55</v>
      </c>
      <c r="E1461" s="15" t="s">
        <v>35</v>
      </c>
      <c r="F1461" s="16" t="s">
        <v>5096</v>
      </c>
      <c r="G1461" s="6" t="s">
        <v>37</v>
      </c>
      <c r="H1461" s="6" t="s">
        <v>5210</v>
      </c>
    </row>
    <row r="1462" ht="12.75" customHeight="1">
      <c r="A1462" s="6" t="s">
        <v>5211</v>
      </c>
      <c r="B1462" s="6" t="s">
        <v>5209</v>
      </c>
      <c r="C1462" s="6" t="s">
        <v>3188</v>
      </c>
      <c r="D1462" s="15" t="s">
        <v>2563</v>
      </c>
      <c r="E1462" s="15" t="s">
        <v>35</v>
      </c>
      <c r="F1462" s="16" t="s">
        <v>5212</v>
      </c>
      <c r="G1462" s="6" t="s">
        <v>37</v>
      </c>
      <c r="H1462" s="6" t="s">
        <v>5213</v>
      </c>
    </row>
    <row r="1463" ht="12.75" customHeight="1">
      <c r="A1463" s="6" t="s">
        <v>5214</v>
      </c>
      <c r="B1463" s="6" t="s">
        <v>5209</v>
      </c>
      <c r="C1463" s="6" t="s">
        <v>33</v>
      </c>
      <c r="D1463" s="15" t="s">
        <v>34</v>
      </c>
      <c r="E1463" s="15" t="s">
        <v>35</v>
      </c>
      <c r="F1463" s="16" t="s">
        <v>5215</v>
      </c>
      <c r="G1463" s="6" t="s">
        <v>37</v>
      </c>
      <c r="H1463" s="6" t="s">
        <v>5216</v>
      </c>
    </row>
    <row r="1464" ht="12.75" customHeight="1">
      <c r="A1464" s="6" t="s">
        <v>5217</v>
      </c>
      <c r="B1464" s="6" t="s">
        <v>5218</v>
      </c>
      <c r="C1464" s="6" t="s">
        <v>70</v>
      </c>
      <c r="D1464" s="15" t="s">
        <v>34</v>
      </c>
      <c r="E1464" s="15" t="s">
        <v>35</v>
      </c>
      <c r="F1464" s="16" t="s">
        <v>5091</v>
      </c>
      <c r="G1464" s="6" t="s">
        <v>37</v>
      </c>
      <c r="H1464" s="6" t="s">
        <v>5219</v>
      </c>
    </row>
    <row r="1465" ht="12.75" customHeight="1">
      <c r="A1465" s="6" t="s">
        <v>5220</v>
      </c>
      <c r="B1465" s="6" t="s">
        <v>5218</v>
      </c>
      <c r="C1465" s="6" t="s">
        <v>5221</v>
      </c>
      <c r="D1465" s="15" t="s">
        <v>35</v>
      </c>
      <c r="E1465" s="15" t="s">
        <v>189</v>
      </c>
      <c r="F1465" s="16" t="s">
        <v>5222</v>
      </c>
      <c r="G1465" s="6" t="s">
        <v>37</v>
      </c>
      <c r="H1465" s="6" t="s">
        <v>5223</v>
      </c>
    </row>
    <row r="1466" ht="12.75" customHeight="1">
      <c r="A1466" s="6" t="s">
        <v>5224</v>
      </c>
      <c r="B1466" s="6" t="s">
        <v>5225</v>
      </c>
      <c r="C1466" s="6" t="s">
        <v>92</v>
      </c>
      <c r="D1466" s="15" t="s">
        <v>34</v>
      </c>
      <c r="E1466" s="15" t="s">
        <v>35</v>
      </c>
      <c r="F1466" s="16" t="s">
        <v>5226</v>
      </c>
      <c r="G1466" s="6" t="s">
        <v>37</v>
      </c>
      <c r="H1466" s="6" t="s">
        <v>5227</v>
      </c>
    </row>
    <row r="1467" ht="12.75" customHeight="1">
      <c r="A1467" s="6" t="s">
        <v>5228</v>
      </c>
      <c r="B1467" s="6" t="s">
        <v>5225</v>
      </c>
      <c r="C1467" s="6" t="s">
        <v>33</v>
      </c>
      <c r="D1467" s="15" t="s">
        <v>34</v>
      </c>
      <c r="E1467" s="15" t="s">
        <v>35</v>
      </c>
      <c r="F1467" s="16" t="s">
        <v>5196</v>
      </c>
      <c r="G1467" s="6" t="s">
        <v>37</v>
      </c>
      <c r="H1467" s="6" t="s">
        <v>5229</v>
      </c>
    </row>
    <row r="1468" ht="12.75" customHeight="1">
      <c r="A1468" s="6" t="s">
        <v>5230</v>
      </c>
      <c r="B1468" s="6" t="s">
        <v>5225</v>
      </c>
      <c r="C1468" s="6" t="s">
        <v>2370</v>
      </c>
      <c r="D1468" s="15" t="s">
        <v>515</v>
      </c>
      <c r="E1468" s="15" t="s">
        <v>35</v>
      </c>
      <c r="F1468" s="16" t="s">
        <v>4999</v>
      </c>
      <c r="G1468" s="6" t="s">
        <v>37</v>
      </c>
      <c r="H1468" s="6" t="s">
        <v>5231</v>
      </c>
    </row>
    <row r="1469" ht="12.75" customHeight="1">
      <c r="A1469" s="6" t="s">
        <v>5232</v>
      </c>
      <c r="B1469" s="6" t="s">
        <v>5225</v>
      </c>
      <c r="C1469" s="6" t="s">
        <v>5221</v>
      </c>
      <c r="D1469" s="15" t="s">
        <v>35</v>
      </c>
      <c r="E1469" s="15" t="s">
        <v>71</v>
      </c>
      <c r="F1469" s="16" t="s">
        <v>5233</v>
      </c>
      <c r="G1469" s="6" t="s">
        <v>37</v>
      </c>
      <c r="H1469" s="6" t="s">
        <v>5234</v>
      </c>
    </row>
    <row r="1470" ht="12.75" customHeight="1">
      <c r="A1470" s="6" t="s">
        <v>5235</v>
      </c>
      <c r="B1470" s="6" t="s">
        <v>5225</v>
      </c>
      <c r="C1470" s="6" t="s">
        <v>5236</v>
      </c>
      <c r="D1470" s="15" t="s">
        <v>97</v>
      </c>
      <c r="E1470" s="15" t="s">
        <v>35</v>
      </c>
      <c r="F1470" s="16" t="s">
        <v>5091</v>
      </c>
      <c r="G1470" s="6" t="s">
        <v>37</v>
      </c>
      <c r="H1470" s="6" t="s">
        <v>5237</v>
      </c>
    </row>
    <row r="1471" ht="12.75" customHeight="1">
      <c r="A1471" s="6" t="s">
        <v>5238</v>
      </c>
      <c r="B1471" s="6" t="s">
        <v>5225</v>
      </c>
      <c r="C1471" s="6" t="s">
        <v>5239</v>
      </c>
      <c r="D1471" s="15" t="s">
        <v>50</v>
      </c>
      <c r="E1471" s="15" t="s">
        <v>35</v>
      </c>
      <c r="F1471" s="16" t="s">
        <v>5240</v>
      </c>
      <c r="G1471" s="6" t="s">
        <v>37</v>
      </c>
      <c r="H1471" s="6" t="s">
        <v>5241</v>
      </c>
    </row>
    <row r="1472" ht="12.75" customHeight="1">
      <c r="A1472" s="6" t="s">
        <v>5242</v>
      </c>
      <c r="B1472" s="6" t="s">
        <v>5225</v>
      </c>
      <c r="C1472" s="6" t="s">
        <v>33</v>
      </c>
      <c r="D1472" s="15" t="s">
        <v>41</v>
      </c>
      <c r="E1472" s="15" t="s">
        <v>35</v>
      </c>
      <c r="F1472" s="16" t="s">
        <v>4996</v>
      </c>
      <c r="G1472" s="6" t="s">
        <v>37</v>
      </c>
      <c r="H1472" s="6" t="s">
        <v>5243</v>
      </c>
    </row>
    <row r="1473" ht="12.75" customHeight="1">
      <c r="A1473" s="6" t="s">
        <v>5244</v>
      </c>
      <c r="B1473" s="6" t="s">
        <v>5225</v>
      </c>
      <c r="C1473" s="6" t="s">
        <v>33</v>
      </c>
      <c r="D1473" s="15" t="s">
        <v>34</v>
      </c>
      <c r="E1473" s="15" t="s">
        <v>35</v>
      </c>
      <c r="F1473" s="16" t="s">
        <v>4999</v>
      </c>
      <c r="G1473" s="6" t="s">
        <v>37</v>
      </c>
      <c r="H1473" s="6" t="s">
        <v>5245</v>
      </c>
    </row>
    <row r="1474" ht="12.75" customHeight="1">
      <c r="A1474" s="6" t="s">
        <v>5246</v>
      </c>
      <c r="B1474" s="6" t="s">
        <v>5247</v>
      </c>
      <c r="C1474" s="6" t="s">
        <v>5248</v>
      </c>
      <c r="D1474" s="15" t="s">
        <v>35</v>
      </c>
      <c r="E1474" s="15" t="s">
        <v>953</v>
      </c>
      <c r="F1474" s="16" t="s">
        <v>5249</v>
      </c>
      <c r="G1474" s="6" t="s">
        <v>37</v>
      </c>
      <c r="H1474" s="6" t="s">
        <v>5250</v>
      </c>
    </row>
    <row r="1475" ht="12.75" customHeight="1">
      <c r="A1475" s="6" t="s">
        <v>5251</v>
      </c>
      <c r="B1475" s="6" t="s">
        <v>5247</v>
      </c>
      <c r="C1475" s="6" t="s">
        <v>33</v>
      </c>
      <c r="D1475" s="15" t="s">
        <v>34</v>
      </c>
      <c r="E1475" s="15" t="s">
        <v>35</v>
      </c>
      <c r="F1475" s="16" t="s">
        <v>5010</v>
      </c>
      <c r="G1475" s="6" t="s">
        <v>37</v>
      </c>
      <c r="H1475" s="6" t="s">
        <v>5252</v>
      </c>
    </row>
    <row r="1476" ht="12.75" customHeight="1">
      <c r="A1476" s="6" t="s">
        <v>5253</v>
      </c>
      <c r="B1476" s="6" t="s">
        <v>5247</v>
      </c>
      <c r="C1476" s="6" t="s">
        <v>5254</v>
      </c>
      <c r="D1476" s="15" t="s">
        <v>41</v>
      </c>
      <c r="E1476" s="15" t="s">
        <v>35</v>
      </c>
      <c r="F1476" s="16" t="s">
        <v>5255</v>
      </c>
      <c r="G1476" s="6" t="s">
        <v>37</v>
      </c>
      <c r="H1476" s="6" t="s">
        <v>5256</v>
      </c>
    </row>
    <row r="1477" ht="12.75" customHeight="1">
      <c r="A1477" s="6" t="s">
        <v>5257</v>
      </c>
      <c r="B1477" s="6" t="s">
        <v>5247</v>
      </c>
      <c r="C1477" s="6" t="s">
        <v>5258</v>
      </c>
      <c r="D1477" s="15" t="s">
        <v>55</v>
      </c>
      <c r="E1477" s="15" t="s">
        <v>35</v>
      </c>
      <c r="F1477" s="16" t="s">
        <v>5240</v>
      </c>
      <c r="G1477" s="6" t="s">
        <v>37</v>
      </c>
      <c r="H1477" s="6" t="s">
        <v>5259</v>
      </c>
    </row>
    <row r="1478" ht="12.75" customHeight="1">
      <c r="A1478" s="6" t="s">
        <v>5260</v>
      </c>
      <c r="B1478" s="6" t="s">
        <v>5261</v>
      </c>
      <c r="C1478" s="6" t="s">
        <v>127</v>
      </c>
      <c r="D1478" s="15" t="s">
        <v>35</v>
      </c>
      <c r="E1478" s="15" t="s">
        <v>398</v>
      </c>
      <c r="F1478" s="16" t="s">
        <v>5262</v>
      </c>
      <c r="G1478" s="6" t="s">
        <v>37</v>
      </c>
      <c r="H1478" s="6" t="s">
        <v>5263</v>
      </c>
    </row>
    <row r="1479" ht="12.75" customHeight="1">
      <c r="A1479" s="6" t="s">
        <v>5264</v>
      </c>
      <c r="B1479" s="6" t="s">
        <v>5261</v>
      </c>
      <c r="C1479" s="6" t="s">
        <v>2558</v>
      </c>
      <c r="D1479" s="15" t="s">
        <v>335</v>
      </c>
      <c r="E1479" s="15" t="s">
        <v>35</v>
      </c>
      <c r="F1479" s="16" t="s">
        <v>5265</v>
      </c>
      <c r="G1479" s="6" t="s">
        <v>37</v>
      </c>
      <c r="H1479" s="6" t="s">
        <v>5266</v>
      </c>
    </row>
    <row r="1480" ht="12.75" customHeight="1">
      <c r="A1480" s="6" t="s">
        <v>5267</v>
      </c>
      <c r="B1480" s="6" t="s">
        <v>5261</v>
      </c>
      <c r="C1480" s="6" t="s">
        <v>33</v>
      </c>
      <c r="D1480" s="15" t="s">
        <v>443</v>
      </c>
      <c r="E1480" s="15" t="s">
        <v>35</v>
      </c>
      <c r="F1480" s="16" t="s">
        <v>5181</v>
      </c>
      <c r="G1480" s="6" t="s">
        <v>37</v>
      </c>
      <c r="H1480" s="6" t="s">
        <v>5268</v>
      </c>
    </row>
    <row r="1481" ht="12.75" customHeight="1">
      <c r="A1481" s="6" t="s">
        <v>5269</v>
      </c>
      <c r="B1481" s="6" t="s">
        <v>5261</v>
      </c>
      <c r="C1481" s="6" t="s">
        <v>2744</v>
      </c>
      <c r="D1481" s="15" t="s">
        <v>211</v>
      </c>
      <c r="E1481" s="15" t="s">
        <v>35</v>
      </c>
      <c r="F1481" s="16" t="s">
        <v>5007</v>
      </c>
      <c r="G1481" s="6" t="s">
        <v>37</v>
      </c>
      <c r="H1481" s="6" t="s">
        <v>5270</v>
      </c>
    </row>
    <row r="1482" ht="12.75" customHeight="1">
      <c r="A1482" s="6" t="s">
        <v>5271</v>
      </c>
      <c r="B1482" s="6" t="s">
        <v>5261</v>
      </c>
      <c r="C1482" s="6" t="s">
        <v>5221</v>
      </c>
      <c r="D1482" s="15" t="s">
        <v>35</v>
      </c>
      <c r="E1482" s="15" t="s">
        <v>71</v>
      </c>
      <c r="F1482" s="16" t="s">
        <v>5272</v>
      </c>
      <c r="G1482" s="6" t="s">
        <v>37</v>
      </c>
      <c r="H1482" s="6" t="s">
        <v>5273</v>
      </c>
    </row>
    <row r="1483" ht="12.75" customHeight="1">
      <c r="A1483" s="6" t="s">
        <v>5274</v>
      </c>
      <c r="B1483" s="6" t="s">
        <v>5275</v>
      </c>
      <c r="C1483" s="6" t="s">
        <v>92</v>
      </c>
      <c r="D1483" s="15" t="s">
        <v>41</v>
      </c>
      <c r="E1483" s="15" t="s">
        <v>35</v>
      </c>
      <c r="F1483" s="16" t="s">
        <v>5265</v>
      </c>
      <c r="G1483" s="6" t="s">
        <v>37</v>
      </c>
      <c r="H1483" s="6" t="s">
        <v>5276</v>
      </c>
    </row>
    <row r="1484" ht="12.75" customHeight="1">
      <c r="A1484" s="6" t="s">
        <v>5277</v>
      </c>
      <c r="B1484" s="6" t="s">
        <v>5275</v>
      </c>
      <c r="C1484" s="6" t="s">
        <v>5278</v>
      </c>
      <c r="D1484" s="15" t="s">
        <v>770</v>
      </c>
      <c r="E1484" s="15" t="s">
        <v>35</v>
      </c>
      <c r="F1484" s="16" t="s">
        <v>5078</v>
      </c>
      <c r="G1484" s="6" t="s">
        <v>37</v>
      </c>
      <c r="H1484" s="6" t="s">
        <v>5279</v>
      </c>
    </row>
    <row r="1485" ht="12.75" customHeight="1">
      <c r="A1485" s="6" t="s">
        <v>5280</v>
      </c>
      <c r="B1485" s="6" t="s">
        <v>5275</v>
      </c>
      <c r="C1485" s="6" t="s">
        <v>5221</v>
      </c>
      <c r="D1485" s="15" t="s">
        <v>35</v>
      </c>
      <c r="E1485" s="15" t="s">
        <v>97</v>
      </c>
      <c r="F1485" s="16" t="s">
        <v>5212</v>
      </c>
      <c r="G1485" s="6" t="s">
        <v>37</v>
      </c>
      <c r="H1485" s="6" t="s">
        <v>5281</v>
      </c>
    </row>
    <row r="1486" ht="12.75" customHeight="1">
      <c r="A1486" s="6" t="s">
        <v>5282</v>
      </c>
      <c r="B1486" s="6" t="s">
        <v>5275</v>
      </c>
      <c r="C1486" s="6" t="s">
        <v>5283</v>
      </c>
      <c r="D1486" s="15" t="s">
        <v>97</v>
      </c>
      <c r="E1486" s="15" t="s">
        <v>35</v>
      </c>
      <c r="F1486" s="16" t="s">
        <v>5078</v>
      </c>
      <c r="G1486" s="6" t="s">
        <v>37</v>
      </c>
      <c r="H1486" s="6" t="s">
        <v>5284</v>
      </c>
    </row>
    <row r="1487" ht="12.75" customHeight="1">
      <c r="A1487" s="6" t="s">
        <v>5285</v>
      </c>
      <c r="B1487" s="6" t="s">
        <v>5275</v>
      </c>
      <c r="C1487" s="6" t="s">
        <v>45</v>
      </c>
      <c r="D1487" s="15" t="s">
        <v>41</v>
      </c>
      <c r="E1487" s="15" t="s">
        <v>35</v>
      </c>
      <c r="F1487" s="16" t="s">
        <v>5082</v>
      </c>
      <c r="G1487" s="6" t="s">
        <v>37</v>
      </c>
      <c r="H1487" s="6" t="s">
        <v>5286</v>
      </c>
    </row>
    <row r="1488" ht="12.75" customHeight="1">
      <c r="A1488" s="6" t="s">
        <v>5287</v>
      </c>
      <c r="B1488" s="6" t="s">
        <v>5288</v>
      </c>
      <c r="C1488" s="6" t="s">
        <v>70</v>
      </c>
      <c r="D1488" s="15" t="s">
        <v>55</v>
      </c>
      <c r="E1488" s="15" t="s">
        <v>35</v>
      </c>
      <c r="F1488" s="16" t="s">
        <v>4999</v>
      </c>
      <c r="G1488" s="6" t="s">
        <v>37</v>
      </c>
      <c r="H1488" s="6" t="s">
        <v>5289</v>
      </c>
    </row>
    <row r="1489" ht="12.75" customHeight="1">
      <c r="A1489" s="6" t="s">
        <v>5290</v>
      </c>
      <c r="B1489" s="6" t="s">
        <v>5288</v>
      </c>
      <c r="C1489" s="6" t="s">
        <v>33</v>
      </c>
      <c r="D1489" s="15" t="s">
        <v>34</v>
      </c>
      <c r="E1489" s="15" t="s">
        <v>35</v>
      </c>
      <c r="F1489" s="16" t="s">
        <v>5003</v>
      </c>
      <c r="G1489" s="6" t="s">
        <v>37</v>
      </c>
      <c r="H1489" s="6" t="s">
        <v>5291</v>
      </c>
    </row>
    <row r="1490" ht="12.75" customHeight="1">
      <c r="A1490" s="6" t="s">
        <v>5292</v>
      </c>
      <c r="B1490" s="6" t="s">
        <v>5288</v>
      </c>
      <c r="C1490" s="6" t="s">
        <v>3356</v>
      </c>
      <c r="D1490" s="15" t="s">
        <v>35</v>
      </c>
      <c r="E1490" s="15" t="s">
        <v>251</v>
      </c>
      <c r="F1490" s="16" t="s">
        <v>5272</v>
      </c>
      <c r="G1490" s="6" t="s">
        <v>37</v>
      </c>
      <c r="H1490" s="6" t="s">
        <v>5293</v>
      </c>
    </row>
    <row r="1491" ht="12.75" customHeight="1">
      <c r="A1491" s="6" t="s">
        <v>5294</v>
      </c>
      <c r="B1491" s="6" t="s">
        <v>5288</v>
      </c>
      <c r="C1491" s="6" t="s">
        <v>70</v>
      </c>
      <c r="D1491" s="15" t="s">
        <v>251</v>
      </c>
      <c r="E1491" s="15" t="s">
        <v>35</v>
      </c>
      <c r="F1491" s="16" t="s">
        <v>5003</v>
      </c>
      <c r="G1491" s="6" t="s">
        <v>37</v>
      </c>
      <c r="H1491" s="6" t="s">
        <v>5295</v>
      </c>
    </row>
    <row r="1492" ht="12.75" customHeight="1">
      <c r="A1492" s="6" t="s">
        <v>5296</v>
      </c>
      <c r="B1492" s="6" t="s">
        <v>5288</v>
      </c>
      <c r="C1492" s="6" t="s">
        <v>40</v>
      </c>
      <c r="D1492" s="15" t="s">
        <v>35</v>
      </c>
      <c r="E1492" s="15" t="s">
        <v>443</v>
      </c>
      <c r="F1492" s="16" t="s">
        <v>4996</v>
      </c>
      <c r="G1492" s="6" t="s">
        <v>37</v>
      </c>
      <c r="H1492" s="6" t="s">
        <v>5297</v>
      </c>
    </row>
    <row r="1493" ht="12.75" customHeight="1">
      <c r="A1493" s="6" t="s">
        <v>5298</v>
      </c>
      <c r="B1493" s="6" t="s">
        <v>5288</v>
      </c>
      <c r="C1493" s="6" t="s">
        <v>5206</v>
      </c>
      <c r="D1493" s="15" t="s">
        <v>502</v>
      </c>
      <c r="E1493" s="15" t="s">
        <v>35</v>
      </c>
      <c r="F1493" s="16" t="s">
        <v>5299</v>
      </c>
      <c r="G1493" s="6" t="s">
        <v>37</v>
      </c>
      <c r="H1493" s="6" t="s">
        <v>5300</v>
      </c>
    </row>
    <row r="1494" ht="12.75" customHeight="1">
      <c r="A1494" s="6" t="s">
        <v>5301</v>
      </c>
      <c r="B1494" s="6" t="s">
        <v>5288</v>
      </c>
      <c r="C1494" s="6" t="s">
        <v>2905</v>
      </c>
      <c r="D1494" s="15" t="s">
        <v>119</v>
      </c>
      <c r="E1494" s="15" t="s">
        <v>35</v>
      </c>
      <c r="F1494" s="16" t="s">
        <v>5003</v>
      </c>
      <c r="G1494" s="6" t="s">
        <v>37</v>
      </c>
      <c r="H1494" s="6" t="s">
        <v>5302</v>
      </c>
    </row>
    <row r="1495" ht="12.75" customHeight="1">
      <c r="A1495" s="6" t="s">
        <v>5303</v>
      </c>
      <c r="B1495" s="6" t="s">
        <v>5304</v>
      </c>
      <c r="C1495" s="6" t="s">
        <v>40</v>
      </c>
      <c r="D1495" s="15" t="s">
        <v>35</v>
      </c>
      <c r="E1495" s="15" t="s">
        <v>123</v>
      </c>
      <c r="F1495" s="16" t="s">
        <v>5078</v>
      </c>
      <c r="G1495" s="6" t="s">
        <v>37</v>
      </c>
      <c r="H1495" s="6" t="s">
        <v>5305</v>
      </c>
    </row>
    <row r="1496" ht="12.75" customHeight="1">
      <c r="A1496" s="6" t="s">
        <v>5306</v>
      </c>
      <c r="B1496" s="6" t="s">
        <v>5304</v>
      </c>
      <c r="C1496" s="6" t="s">
        <v>5307</v>
      </c>
      <c r="D1496" s="15" t="s">
        <v>123</v>
      </c>
      <c r="E1496" s="15" t="s">
        <v>35</v>
      </c>
      <c r="F1496" s="16" t="s">
        <v>5003</v>
      </c>
      <c r="G1496" s="6" t="s">
        <v>37</v>
      </c>
      <c r="H1496" s="6" t="s">
        <v>5308</v>
      </c>
    </row>
    <row r="1497" ht="12.75" customHeight="1">
      <c r="A1497" s="6" t="s">
        <v>5309</v>
      </c>
      <c r="B1497" s="6" t="s">
        <v>5310</v>
      </c>
      <c r="C1497" s="6" t="s">
        <v>40</v>
      </c>
      <c r="D1497" s="15" t="s">
        <v>35</v>
      </c>
      <c r="E1497" s="15" t="s">
        <v>55</v>
      </c>
      <c r="F1497" s="16" t="s">
        <v>5311</v>
      </c>
      <c r="G1497" s="6" t="s">
        <v>37</v>
      </c>
      <c r="H1497" s="6" t="s">
        <v>5312</v>
      </c>
    </row>
    <row r="1498" ht="12.75" customHeight="1">
      <c r="A1498" s="6" t="s">
        <v>5313</v>
      </c>
      <c r="B1498" s="6" t="s">
        <v>5310</v>
      </c>
      <c r="C1498" s="6" t="s">
        <v>5206</v>
      </c>
      <c r="D1498" s="15" t="s">
        <v>55</v>
      </c>
      <c r="E1498" s="15" t="s">
        <v>35</v>
      </c>
      <c r="F1498" s="16" t="s">
        <v>5003</v>
      </c>
      <c r="G1498" s="6" t="s">
        <v>37</v>
      </c>
      <c r="H1498" s="6" t="s">
        <v>5314</v>
      </c>
    </row>
    <row r="1499" ht="12.75" customHeight="1">
      <c r="A1499" s="6" t="s">
        <v>5315</v>
      </c>
      <c r="B1499" s="6" t="s">
        <v>5316</v>
      </c>
      <c r="C1499" s="6" t="s">
        <v>5317</v>
      </c>
      <c r="D1499" s="15" t="s">
        <v>35</v>
      </c>
      <c r="E1499" s="15" t="s">
        <v>71</v>
      </c>
      <c r="F1499" s="16" t="s">
        <v>5007</v>
      </c>
      <c r="G1499" s="6" t="s">
        <v>37</v>
      </c>
      <c r="H1499" s="6" t="s">
        <v>5318</v>
      </c>
    </row>
    <row r="1500" ht="12.75" customHeight="1">
      <c r="A1500" s="6" t="s">
        <v>5319</v>
      </c>
      <c r="B1500" s="6" t="s">
        <v>5316</v>
      </c>
      <c r="C1500" s="6" t="s">
        <v>5307</v>
      </c>
      <c r="D1500" s="15" t="s">
        <v>97</v>
      </c>
      <c r="E1500" s="15" t="s">
        <v>35</v>
      </c>
      <c r="F1500" s="16" t="s">
        <v>5320</v>
      </c>
      <c r="G1500" s="6" t="s">
        <v>37</v>
      </c>
      <c r="H1500" s="6" t="s">
        <v>5321</v>
      </c>
    </row>
    <row r="1501" ht="12.75" customHeight="1">
      <c r="A1501" s="6" t="s">
        <v>5322</v>
      </c>
      <c r="B1501" s="6" t="s">
        <v>5316</v>
      </c>
      <c r="C1501" s="6" t="s">
        <v>506</v>
      </c>
      <c r="D1501" s="15" t="s">
        <v>119</v>
      </c>
      <c r="E1501" s="15" t="s">
        <v>35</v>
      </c>
      <c r="F1501" s="16" t="s">
        <v>5323</v>
      </c>
      <c r="G1501" s="6" t="s">
        <v>37</v>
      </c>
      <c r="H1501" s="6" t="s">
        <v>5324</v>
      </c>
    </row>
    <row r="1502" ht="12.75" customHeight="1">
      <c r="A1502" s="6" t="s">
        <v>5325</v>
      </c>
      <c r="B1502" s="6" t="s">
        <v>5316</v>
      </c>
      <c r="C1502" s="6" t="s">
        <v>33</v>
      </c>
      <c r="D1502" s="15" t="s">
        <v>50</v>
      </c>
      <c r="E1502" s="15" t="s">
        <v>35</v>
      </c>
      <c r="F1502" s="16" t="s">
        <v>5299</v>
      </c>
      <c r="G1502" s="6" t="s">
        <v>37</v>
      </c>
      <c r="H1502" s="6" t="s">
        <v>5326</v>
      </c>
    </row>
    <row r="1503" ht="12.75" customHeight="1">
      <c r="A1503" s="6" t="s">
        <v>5327</v>
      </c>
      <c r="B1503" s="6" t="s">
        <v>5316</v>
      </c>
      <c r="C1503" s="6" t="s">
        <v>92</v>
      </c>
      <c r="D1503" s="15" t="s">
        <v>34</v>
      </c>
      <c r="E1503" s="15" t="s">
        <v>35</v>
      </c>
      <c r="F1503" s="16" t="s">
        <v>5328</v>
      </c>
      <c r="G1503" s="6" t="s">
        <v>37</v>
      </c>
      <c r="H1503" s="6" t="s">
        <v>5329</v>
      </c>
    </row>
    <row r="1504" ht="12.75" customHeight="1">
      <c r="A1504" s="6" t="s">
        <v>5330</v>
      </c>
      <c r="B1504" s="6" t="s">
        <v>5331</v>
      </c>
      <c r="C1504" s="6" t="s">
        <v>33</v>
      </c>
      <c r="D1504" s="15" t="s">
        <v>5332</v>
      </c>
      <c r="E1504" s="15" t="s">
        <v>35</v>
      </c>
      <c r="F1504" s="16" t="s">
        <v>5333</v>
      </c>
      <c r="G1504" s="6" t="s">
        <v>37</v>
      </c>
      <c r="H1504" s="6" t="s">
        <v>5334</v>
      </c>
    </row>
    <row r="1505" ht="12.75" customHeight="1">
      <c r="A1505" s="6" t="s">
        <v>5335</v>
      </c>
      <c r="B1505" s="6" t="s">
        <v>5331</v>
      </c>
      <c r="C1505" s="6" t="s">
        <v>912</v>
      </c>
      <c r="D1505" s="15" t="s">
        <v>35</v>
      </c>
      <c r="E1505" s="15" t="s">
        <v>335</v>
      </c>
      <c r="F1505" s="16" t="s">
        <v>5336</v>
      </c>
      <c r="G1505" s="6" t="s">
        <v>37</v>
      </c>
      <c r="H1505" s="6" t="s">
        <v>5337</v>
      </c>
    </row>
    <row r="1506" ht="12.75" customHeight="1">
      <c r="A1506" s="6" t="s">
        <v>5338</v>
      </c>
      <c r="B1506" s="6" t="s">
        <v>5331</v>
      </c>
      <c r="C1506" s="6" t="s">
        <v>5339</v>
      </c>
      <c r="D1506" s="15" t="s">
        <v>189</v>
      </c>
      <c r="E1506" s="15" t="s">
        <v>35</v>
      </c>
      <c r="F1506" s="16" t="s">
        <v>5340</v>
      </c>
      <c r="G1506" s="6" t="s">
        <v>37</v>
      </c>
      <c r="H1506" s="6" t="s">
        <v>5341</v>
      </c>
    </row>
    <row r="1507" ht="12.75" customHeight="1">
      <c r="A1507" s="6" t="s">
        <v>5342</v>
      </c>
      <c r="B1507" s="6" t="s">
        <v>5331</v>
      </c>
      <c r="C1507" s="6" t="s">
        <v>5339</v>
      </c>
      <c r="D1507" s="15" t="s">
        <v>189</v>
      </c>
      <c r="E1507" s="15" t="s">
        <v>35</v>
      </c>
      <c r="F1507" s="16" t="s">
        <v>5333</v>
      </c>
      <c r="G1507" s="6" t="s">
        <v>37</v>
      </c>
      <c r="H1507" s="6" t="s">
        <v>5343</v>
      </c>
    </row>
    <row r="1508" ht="12.75" customHeight="1">
      <c r="A1508" s="6" t="s">
        <v>5344</v>
      </c>
      <c r="B1508" s="6" t="s">
        <v>5331</v>
      </c>
      <c r="C1508" s="6" t="s">
        <v>127</v>
      </c>
      <c r="D1508" s="15" t="s">
        <v>35</v>
      </c>
      <c r="E1508" s="15" t="s">
        <v>295</v>
      </c>
      <c r="F1508" s="16" t="s">
        <v>5345</v>
      </c>
      <c r="G1508" s="6" t="s">
        <v>37</v>
      </c>
      <c r="H1508" s="6" t="s">
        <v>5346</v>
      </c>
    </row>
    <row r="1509" ht="12.75" customHeight="1">
      <c r="A1509" s="6" t="s">
        <v>5347</v>
      </c>
      <c r="B1509" s="6" t="s">
        <v>5331</v>
      </c>
      <c r="C1509" s="6" t="s">
        <v>230</v>
      </c>
      <c r="D1509" s="15" t="s">
        <v>189</v>
      </c>
      <c r="E1509" s="15" t="s">
        <v>35</v>
      </c>
      <c r="F1509" s="16" t="s">
        <v>5348</v>
      </c>
      <c r="G1509" s="6" t="s">
        <v>37</v>
      </c>
      <c r="H1509" s="6" t="s">
        <v>5349</v>
      </c>
    </row>
    <row r="1510" ht="12.75" customHeight="1">
      <c r="A1510" s="6" t="s">
        <v>5350</v>
      </c>
      <c r="B1510" s="6" t="s">
        <v>5331</v>
      </c>
      <c r="C1510" s="6" t="s">
        <v>33</v>
      </c>
      <c r="D1510" s="15" t="s">
        <v>41</v>
      </c>
      <c r="E1510" s="15" t="s">
        <v>35</v>
      </c>
      <c r="F1510" s="16" t="s">
        <v>5351</v>
      </c>
      <c r="G1510" s="6" t="s">
        <v>37</v>
      </c>
      <c r="H1510" s="6" t="s">
        <v>5352</v>
      </c>
    </row>
    <row r="1511" ht="12.75" customHeight="1">
      <c r="A1511" s="6" t="s">
        <v>5353</v>
      </c>
      <c r="B1511" s="6" t="s">
        <v>5331</v>
      </c>
      <c r="C1511" s="6" t="s">
        <v>5354</v>
      </c>
      <c r="D1511" s="15" t="s">
        <v>71</v>
      </c>
      <c r="E1511" s="15" t="s">
        <v>35</v>
      </c>
      <c r="F1511" s="16" t="s">
        <v>5355</v>
      </c>
      <c r="G1511" s="6" t="s">
        <v>37</v>
      </c>
      <c r="H1511" s="6" t="s">
        <v>5356</v>
      </c>
    </row>
    <row r="1512" ht="12.75" customHeight="1">
      <c r="A1512" s="6" t="s">
        <v>5357</v>
      </c>
      <c r="B1512" s="6" t="s">
        <v>5331</v>
      </c>
      <c r="C1512" s="6" t="s">
        <v>5221</v>
      </c>
      <c r="D1512" s="15" t="s">
        <v>35</v>
      </c>
      <c r="E1512" s="15" t="s">
        <v>71</v>
      </c>
      <c r="F1512" s="16" t="s">
        <v>5351</v>
      </c>
      <c r="G1512" s="6" t="s">
        <v>37</v>
      </c>
      <c r="H1512" s="6" t="s">
        <v>5358</v>
      </c>
    </row>
    <row r="1513" ht="12.75" customHeight="1">
      <c r="A1513" s="6" t="s">
        <v>5359</v>
      </c>
      <c r="B1513" s="6" t="s">
        <v>5360</v>
      </c>
      <c r="C1513" s="6" t="s">
        <v>5361</v>
      </c>
      <c r="D1513" s="15" t="s">
        <v>443</v>
      </c>
      <c r="E1513" s="15" t="s">
        <v>35</v>
      </c>
      <c r="F1513" s="16" t="s">
        <v>5362</v>
      </c>
      <c r="G1513" s="6" t="s">
        <v>37</v>
      </c>
      <c r="H1513" s="6" t="s">
        <v>5363</v>
      </c>
    </row>
    <row r="1514" ht="12.75" customHeight="1">
      <c r="A1514" s="6" t="s">
        <v>5364</v>
      </c>
      <c r="B1514" s="6" t="s">
        <v>5360</v>
      </c>
      <c r="C1514" s="6" t="s">
        <v>5365</v>
      </c>
      <c r="D1514" s="15" t="s">
        <v>515</v>
      </c>
      <c r="E1514" s="15" t="s">
        <v>35</v>
      </c>
      <c r="F1514" s="16" t="s">
        <v>5366</v>
      </c>
      <c r="G1514" s="6" t="s">
        <v>37</v>
      </c>
      <c r="H1514" s="6" t="s">
        <v>5367</v>
      </c>
    </row>
    <row r="1515" ht="12.75" customHeight="1">
      <c r="A1515" s="6" t="s">
        <v>5368</v>
      </c>
      <c r="B1515" s="6" t="s">
        <v>5360</v>
      </c>
      <c r="C1515" s="6" t="s">
        <v>5369</v>
      </c>
      <c r="D1515" s="15" t="s">
        <v>35</v>
      </c>
      <c r="E1515" s="15" t="s">
        <v>97</v>
      </c>
      <c r="F1515" s="16" t="s">
        <v>5370</v>
      </c>
      <c r="G1515" s="6" t="s">
        <v>37</v>
      </c>
      <c r="H1515" s="6" t="s">
        <v>5371</v>
      </c>
    </row>
    <row r="1516" ht="12.75" customHeight="1">
      <c r="A1516" s="6" t="s">
        <v>5372</v>
      </c>
      <c r="B1516" s="6" t="s">
        <v>5360</v>
      </c>
      <c r="C1516" s="6" t="s">
        <v>5373</v>
      </c>
      <c r="D1516" s="15" t="s">
        <v>50</v>
      </c>
      <c r="E1516" s="15" t="s">
        <v>35</v>
      </c>
      <c r="F1516" s="16" t="s">
        <v>5355</v>
      </c>
      <c r="G1516" s="6" t="s">
        <v>37</v>
      </c>
      <c r="H1516" s="6" t="s">
        <v>5374</v>
      </c>
    </row>
    <row r="1517" ht="12.75" customHeight="1">
      <c r="A1517" s="6" t="s">
        <v>5375</v>
      </c>
      <c r="B1517" s="6" t="s">
        <v>5360</v>
      </c>
      <c r="C1517" s="6" t="s">
        <v>5376</v>
      </c>
      <c r="D1517" s="15" t="s">
        <v>2563</v>
      </c>
      <c r="E1517" s="15" t="s">
        <v>35</v>
      </c>
      <c r="F1517" s="16" t="s">
        <v>5377</v>
      </c>
      <c r="G1517" s="6" t="s">
        <v>37</v>
      </c>
      <c r="H1517" s="6" t="s">
        <v>5378</v>
      </c>
    </row>
    <row r="1518" ht="12.75" customHeight="1">
      <c r="A1518" s="6" t="s">
        <v>5379</v>
      </c>
      <c r="B1518" s="6" t="s">
        <v>5360</v>
      </c>
      <c r="C1518" s="6" t="s">
        <v>5380</v>
      </c>
      <c r="D1518" s="15" t="s">
        <v>5381</v>
      </c>
      <c r="E1518" s="15" t="s">
        <v>35</v>
      </c>
      <c r="F1518" s="16" t="s">
        <v>5382</v>
      </c>
      <c r="G1518" s="6" t="s">
        <v>37</v>
      </c>
      <c r="H1518" s="6" t="s">
        <v>5383</v>
      </c>
    </row>
    <row r="1519" ht="12.75" customHeight="1">
      <c r="A1519" s="6" t="s">
        <v>5384</v>
      </c>
      <c r="B1519" s="6" t="s">
        <v>5360</v>
      </c>
      <c r="C1519" s="6" t="s">
        <v>5385</v>
      </c>
      <c r="D1519" s="15" t="s">
        <v>35</v>
      </c>
      <c r="E1519" s="15" t="s">
        <v>335</v>
      </c>
      <c r="F1519" s="16" t="s">
        <v>5386</v>
      </c>
      <c r="G1519" s="6" t="s">
        <v>37</v>
      </c>
      <c r="H1519" s="6" t="s">
        <v>5387</v>
      </c>
    </row>
    <row r="1520" ht="12.75" customHeight="1">
      <c r="A1520" s="6" t="s">
        <v>5388</v>
      </c>
      <c r="B1520" s="6" t="s">
        <v>5360</v>
      </c>
      <c r="C1520" s="6" t="s">
        <v>230</v>
      </c>
      <c r="D1520" s="15" t="s">
        <v>71</v>
      </c>
      <c r="E1520" s="15" t="s">
        <v>35</v>
      </c>
      <c r="F1520" s="16" t="s">
        <v>5389</v>
      </c>
      <c r="G1520" s="6" t="s">
        <v>37</v>
      </c>
      <c r="H1520" s="6" t="s">
        <v>5390</v>
      </c>
    </row>
    <row r="1521" ht="12.75" customHeight="1">
      <c r="A1521" s="6" t="s">
        <v>5391</v>
      </c>
      <c r="B1521" s="6" t="s">
        <v>5360</v>
      </c>
      <c r="C1521" s="6" t="s">
        <v>5392</v>
      </c>
      <c r="D1521" s="15" t="s">
        <v>35</v>
      </c>
      <c r="E1521" s="15" t="s">
        <v>65</v>
      </c>
      <c r="F1521" s="16" t="s">
        <v>5393</v>
      </c>
      <c r="G1521" s="6" t="s">
        <v>37</v>
      </c>
      <c r="H1521" s="6" t="s">
        <v>5394</v>
      </c>
    </row>
    <row r="1522" ht="12.75" customHeight="1">
      <c r="A1522" s="6" t="s">
        <v>5395</v>
      </c>
      <c r="B1522" s="6" t="s">
        <v>5360</v>
      </c>
      <c r="C1522" s="6" t="s">
        <v>4044</v>
      </c>
      <c r="D1522" s="15" t="s">
        <v>35</v>
      </c>
      <c r="E1522" s="15" t="s">
        <v>256</v>
      </c>
      <c r="F1522" s="16" t="s">
        <v>5396</v>
      </c>
      <c r="G1522" s="6" t="s">
        <v>37</v>
      </c>
      <c r="H1522" s="6" t="s">
        <v>5397</v>
      </c>
    </row>
    <row r="1523" ht="12.75" customHeight="1">
      <c r="A1523" s="6" t="s">
        <v>5398</v>
      </c>
      <c r="B1523" s="6" t="s">
        <v>5360</v>
      </c>
      <c r="C1523" s="6" t="s">
        <v>221</v>
      </c>
      <c r="D1523" s="15" t="s">
        <v>222</v>
      </c>
      <c r="E1523" s="15" t="s">
        <v>35</v>
      </c>
      <c r="F1523" s="16" t="s">
        <v>5399</v>
      </c>
      <c r="G1523" s="6" t="s">
        <v>37</v>
      </c>
      <c r="H1523" s="6" t="s">
        <v>5400</v>
      </c>
    </row>
    <row r="1524" ht="12.75" customHeight="1">
      <c r="A1524" s="6" t="s">
        <v>5401</v>
      </c>
      <c r="B1524" s="6" t="s">
        <v>5360</v>
      </c>
      <c r="C1524" s="6" t="s">
        <v>2384</v>
      </c>
      <c r="D1524" s="15" t="s">
        <v>5402</v>
      </c>
      <c r="E1524" s="15" t="s">
        <v>35</v>
      </c>
      <c r="F1524" s="16" t="s">
        <v>5403</v>
      </c>
      <c r="G1524" s="6" t="s">
        <v>37</v>
      </c>
      <c r="H1524" s="6" t="s">
        <v>5404</v>
      </c>
    </row>
    <row r="1525" ht="12.75" customHeight="1">
      <c r="A1525" s="6" t="s">
        <v>5405</v>
      </c>
      <c r="B1525" s="6" t="s">
        <v>5360</v>
      </c>
      <c r="C1525" s="6" t="s">
        <v>2384</v>
      </c>
      <c r="D1525" s="15" t="s">
        <v>1994</v>
      </c>
      <c r="E1525" s="15" t="s">
        <v>35</v>
      </c>
      <c r="F1525" s="16" t="s">
        <v>5406</v>
      </c>
      <c r="G1525" s="6" t="s">
        <v>37</v>
      </c>
      <c r="H1525" s="6" t="s">
        <v>5407</v>
      </c>
    </row>
    <row r="1526" ht="12.75" customHeight="1">
      <c r="A1526" s="6" t="s">
        <v>5408</v>
      </c>
      <c r="B1526" s="6" t="s">
        <v>5360</v>
      </c>
      <c r="C1526" s="6" t="s">
        <v>33</v>
      </c>
      <c r="D1526" s="15" t="s">
        <v>41</v>
      </c>
      <c r="E1526" s="15" t="s">
        <v>35</v>
      </c>
      <c r="F1526" s="16" t="s">
        <v>5409</v>
      </c>
      <c r="G1526" s="6" t="s">
        <v>37</v>
      </c>
      <c r="H1526" s="6" t="s">
        <v>5410</v>
      </c>
    </row>
    <row r="1527" ht="12.75" customHeight="1">
      <c r="A1527" s="6" t="s">
        <v>5411</v>
      </c>
      <c r="B1527" s="6" t="s">
        <v>5360</v>
      </c>
      <c r="C1527" s="6" t="s">
        <v>33</v>
      </c>
      <c r="D1527" s="15" t="s">
        <v>34</v>
      </c>
      <c r="E1527" s="15" t="s">
        <v>35</v>
      </c>
      <c r="F1527" s="16" t="s">
        <v>5412</v>
      </c>
      <c r="G1527" s="6" t="s">
        <v>37</v>
      </c>
      <c r="H1527" s="6" t="s">
        <v>5413</v>
      </c>
    </row>
    <row r="1528" ht="12.75" customHeight="1">
      <c r="A1528" s="6" t="s">
        <v>5414</v>
      </c>
      <c r="B1528" s="6" t="s">
        <v>5360</v>
      </c>
      <c r="C1528" s="6" t="s">
        <v>2384</v>
      </c>
      <c r="D1528" s="15" t="s">
        <v>1990</v>
      </c>
      <c r="E1528" s="15" t="s">
        <v>35</v>
      </c>
      <c r="F1528" s="16" t="s">
        <v>5415</v>
      </c>
      <c r="G1528" s="6" t="s">
        <v>37</v>
      </c>
      <c r="H1528" s="6" t="s">
        <v>5416</v>
      </c>
    </row>
    <row r="1529" ht="12.75" customHeight="1">
      <c r="A1529" s="6" t="s">
        <v>5417</v>
      </c>
      <c r="B1529" s="6" t="s">
        <v>5418</v>
      </c>
      <c r="C1529" s="6" t="s">
        <v>230</v>
      </c>
      <c r="D1529" s="15" t="s">
        <v>71</v>
      </c>
      <c r="E1529" s="15" t="s">
        <v>35</v>
      </c>
      <c r="F1529" s="16" t="s">
        <v>5419</v>
      </c>
      <c r="G1529" s="6" t="s">
        <v>37</v>
      </c>
      <c r="H1529" s="6" t="s">
        <v>5420</v>
      </c>
    </row>
    <row r="1530" ht="12.75" customHeight="1">
      <c r="A1530" s="6" t="s">
        <v>5421</v>
      </c>
      <c r="B1530" s="6" t="s">
        <v>5418</v>
      </c>
      <c r="C1530" s="6" t="s">
        <v>70</v>
      </c>
      <c r="D1530" s="15" t="s">
        <v>97</v>
      </c>
      <c r="E1530" s="15" t="s">
        <v>35</v>
      </c>
      <c r="F1530" s="16" t="s">
        <v>5422</v>
      </c>
      <c r="G1530" s="6" t="s">
        <v>37</v>
      </c>
      <c r="H1530" s="6" t="s">
        <v>5423</v>
      </c>
    </row>
    <row r="1531" ht="12.75" customHeight="1">
      <c r="A1531" s="6" t="s">
        <v>5424</v>
      </c>
      <c r="B1531" s="6" t="s">
        <v>5418</v>
      </c>
      <c r="C1531" s="6" t="s">
        <v>5361</v>
      </c>
      <c r="D1531" s="15" t="s">
        <v>661</v>
      </c>
      <c r="E1531" s="15" t="s">
        <v>35</v>
      </c>
      <c r="F1531" s="16" t="s">
        <v>5425</v>
      </c>
      <c r="G1531" s="6" t="s">
        <v>37</v>
      </c>
      <c r="H1531" s="6" t="s">
        <v>5426</v>
      </c>
    </row>
    <row r="1532" ht="12.75" customHeight="1">
      <c r="A1532" s="6" t="s">
        <v>5427</v>
      </c>
      <c r="B1532" s="6" t="s">
        <v>5418</v>
      </c>
      <c r="C1532" s="6" t="s">
        <v>5428</v>
      </c>
      <c r="D1532" s="15" t="s">
        <v>855</v>
      </c>
      <c r="E1532" s="15" t="s">
        <v>35</v>
      </c>
      <c r="F1532" s="16" t="s">
        <v>5429</v>
      </c>
      <c r="G1532" s="6" t="s">
        <v>37</v>
      </c>
      <c r="H1532" s="6" t="s">
        <v>5430</v>
      </c>
    </row>
    <row r="1533" ht="12.75" customHeight="1">
      <c r="A1533" s="6" t="s">
        <v>5431</v>
      </c>
      <c r="B1533" s="6" t="s">
        <v>5418</v>
      </c>
      <c r="C1533" s="6" t="s">
        <v>2685</v>
      </c>
      <c r="D1533" s="15" t="s">
        <v>34</v>
      </c>
      <c r="E1533" s="15" t="s">
        <v>35</v>
      </c>
      <c r="F1533" s="16" t="s">
        <v>5432</v>
      </c>
      <c r="G1533" s="6" t="s">
        <v>37</v>
      </c>
      <c r="H1533" s="6" t="s">
        <v>5433</v>
      </c>
    </row>
    <row r="1534" ht="12.75" customHeight="1">
      <c r="A1534" s="6" t="s">
        <v>5434</v>
      </c>
      <c r="B1534" s="6" t="s">
        <v>5418</v>
      </c>
      <c r="C1534" s="6" t="s">
        <v>5373</v>
      </c>
      <c r="D1534" s="15" t="s">
        <v>41</v>
      </c>
      <c r="E1534" s="15" t="s">
        <v>35</v>
      </c>
      <c r="F1534" s="16" t="s">
        <v>5435</v>
      </c>
      <c r="G1534" s="6" t="s">
        <v>37</v>
      </c>
      <c r="H1534" s="6" t="s">
        <v>5436</v>
      </c>
    </row>
    <row r="1535" ht="12.75" customHeight="1">
      <c r="A1535" s="6" t="s">
        <v>5437</v>
      </c>
      <c r="B1535" s="6" t="s">
        <v>5418</v>
      </c>
      <c r="C1535" s="6" t="s">
        <v>5438</v>
      </c>
      <c r="D1535" s="15" t="s">
        <v>55</v>
      </c>
      <c r="E1535" s="15" t="s">
        <v>35</v>
      </c>
      <c r="F1535" s="16" t="s">
        <v>5439</v>
      </c>
      <c r="G1535" s="6" t="s">
        <v>37</v>
      </c>
      <c r="H1535" s="6" t="s">
        <v>5440</v>
      </c>
    </row>
    <row r="1536" ht="12.75" customHeight="1">
      <c r="A1536" s="6" t="s">
        <v>5441</v>
      </c>
      <c r="B1536" s="6" t="s">
        <v>5442</v>
      </c>
      <c r="C1536" s="6" t="s">
        <v>5443</v>
      </c>
      <c r="D1536" s="15" t="s">
        <v>35</v>
      </c>
      <c r="E1536" s="15" t="s">
        <v>256</v>
      </c>
      <c r="F1536" s="16" t="s">
        <v>5444</v>
      </c>
      <c r="G1536" s="6" t="s">
        <v>37</v>
      </c>
      <c r="H1536" s="6" t="s">
        <v>5445</v>
      </c>
    </row>
    <row r="1537" ht="12.75" customHeight="1">
      <c r="A1537" s="6" t="s">
        <v>5446</v>
      </c>
      <c r="B1537" s="6" t="s">
        <v>5442</v>
      </c>
      <c r="C1537" s="6" t="s">
        <v>221</v>
      </c>
      <c r="D1537" s="15" t="s">
        <v>222</v>
      </c>
      <c r="E1537" s="15" t="s">
        <v>35</v>
      </c>
      <c r="F1537" s="16" t="s">
        <v>5447</v>
      </c>
      <c r="G1537" s="6" t="s">
        <v>37</v>
      </c>
      <c r="H1537" s="6" t="s">
        <v>5448</v>
      </c>
    </row>
    <row r="1538" ht="12.75" customHeight="1">
      <c r="A1538" s="6" t="s">
        <v>5449</v>
      </c>
      <c r="B1538" s="6" t="s">
        <v>5442</v>
      </c>
      <c r="C1538" s="6" t="s">
        <v>2558</v>
      </c>
      <c r="D1538" s="15" t="s">
        <v>65</v>
      </c>
      <c r="E1538" s="15" t="s">
        <v>35</v>
      </c>
      <c r="F1538" s="16" t="s">
        <v>5450</v>
      </c>
      <c r="G1538" s="6" t="s">
        <v>37</v>
      </c>
      <c r="H1538" s="6" t="s">
        <v>5451</v>
      </c>
    </row>
    <row r="1539" ht="12.75" customHeight="1">
      <c r="A1539" s="6" t="s">
        <v>5452</v>
      </c>
      <c r="B1539" s="6" t="s">
        <v>5442</v>
      </c>
      <c r="C1539" s="6" t="s">
        <v>92</v>
      </c>
      <c r="D1539" s="15" t="s">
        <v>41</v>
      </c>
      <c r="E1539" s="15" t="s">
        <v>35</v>
      </c>
      <c r="F1539" s="16" t="s">
        <v>5453</v>
      </c>
      <c r="G1539" s="6" t="s">
        <v>37</v>
      </c>
      <c r="H1539" s="6" t="s">
        <v>5454</v>
      </c>
    </row>
    <row r="1540" ht="12.75" customHeight="1">
      <c r="A1540" s="6" t="s">
        <v>5455</v>
      </c>
      <c r="B1540" s="6" t="s">
        <v>5442</v>
      </c>
      <c r="C1540" s="6" t="s">
        <v>5456</v>
      </c>
      <c r="D1540" s="15" t="s">
        <v>46</v>
      </c>
      <c r="E1540" s="15" t="s">
        <v>35</v>
      </c>
      <c r="F1540" s="16" t="s">
        <v>5457</v>
      </c>
      <c r="G1540" s="6" t="s">
        <v>37</v>
      </c>
      <c r="H1540" s="6" t="s">
        <v>5458</v>
      </c>
    </row>
    <row r="1541" ht="12.75" customHeight="1">
      <c r="A1541" s="6" t="s">
        <v>5459</v>
      </c>
      <c r="B1541" s="6" t="s">
        <v>5442</v>
      </c>
      <c r="C1541" s="6" t="s">
        <v>5460</v>
      </c>
      <c r="D1541" s="15" t="s">
        <v>34</v>
      </c>
      <c r="E1541" s="15" t="s">
        <v>35</v>
      </c>
      <c r="F1541" s="16" t="s">
        <v>5461</v>
      </c>
      <c r="G1541" s="6" t="s">
        <v>37</v>
      </c>
      <c r="H1541" s="6" t="s">
        <v>5462</v>
      </c>
    </row>
    <row r="1542" ht="12.75" customHeight="1">
      <c r="A1542" s="6" t="s">
        <v>5463</v>
      </c>
      <c r="B1542" s="6" t="s">
        <v>5442</v>
      </c>
      <c r="C1542" s="6" t="s">
        <v>5361</v>
      </c>
      <c r="D1542" s="15" t="s">
        <v>55</v>
      </c>
      <c r="E1542" s="15" t="s">
        <v>35</v>
      </c>
      <c r="F1542" s="16" t="s">
        <v>5464</v>
      </c>
      <c r="G1542" s="6" t="s">
        <v>37</v>
      </c>
      <c r="H1542" s="6" t="s">
        <v>5465</v>
      </c>
    </row>
    <row r="1543" ht="12.75" customHeight="1">
      <c r="A1543" s="6" t="s">
        <v>5466</v>
      </c>
      <c r="B1543" s="6" t="s">
        <v>5442</v>
      </c>
      <c r="C1543" s="6" t="s">
        <v>152</v>
      </c>
      <c r="D1543" s="15" t="s">
        <v>123</v>
      </c>
      <c r="E1543" s="15" t="s">
        <v>35</v>
      </c>
      <c r="F1543" s="16" t="s">
        <v>5467</v>
      </c>
      <c r="G1543" s="6" t="s">
        <v>37</v>
      </c>
      <c r="H1543" s="6" t="s">
        <v>5468</v>
      </c>
    </row>
    <row r="1544" ht="12.75" customHeight="1">
      <c r="A1544" s="6" t="s">
        <v>5469</v>
      </c>
      <c r="B1544" s="6" t="s">
        <v>5442</v>
      </c>
      <c r="C1544" s="6" t="s">
        <v>230</v>
      </c>
      <c r="D1544" s="15" t="s">
        <v>183</v>
      </c>
      <c r="E1544" s="15" t="s">
        <v>35</v>
      </c>
      <c r="F1544" s="16" t="s">
        <v>5470</v>
      </c>
      <c r="G1544" s="6" t="s">
        <v>37</v>
      </c>
      <c r="H1544" s="6" t="s">
        <v>5471</v>
      </c>
    </row>
    <row r="1545" ht="12.75" customHeight="1">
      <c r="A1545" s="6" t="s">
        <v>5472</v>
      </c>
      <c r="B1545" s="6" t="s">
        <v>5442</v>
      </c>
      <c r="C1545" s="6" t="s">
        <v>3356</v>
      </c>
      <c r="D1545" s="15" t="s">
        <v>35</v>
      </c>
      <c r="E1545" s="15" t="s">
        <v>623</v>
      </c>
      <c r="F1545" s="16" t="s">
        <v>5473</v>
      </c>
      <c r="G1545" s="6" t="s">
        <v>37</v>
      </c>
      <c r="H1545" s="6" t="s">
        <v>5474</v>
      </c>
    </row>
    <row r="1546" ht="12.75" customHeight="1">
      <c r="A1546" s="6" t="s">
        <v>5472</v>
      </c>
      <c r="B1546" s="6" t="s">
        <v>5442</v>
      </c>
      <c r="C1546" s="6" t="s">
        <v>221</v>
      </c>
      <c r="D1546" s="15" t="s">
        <v>222</v>
      </c>
      <c r="E1546" s="15" t="s">
        <v>35</v>
      </c>
      <c r="F1546" s="16" t="s">
        <v>5475</v>
      </c>
      <c r="G1546" s="6" t="s">
        <v>37</v>
      </c>
      <c r="H1546" s="6" t="s">
        <v>5476</v>
      </c>
    </row>
    <row r="1547" ht="12.75" customHeight="1">
      <c r="A1547" s="6" t="s">
        <v>5477</v>
      </c>
      <c r="B1547" s="6" t="s">
        <v>5442</v>
      </c>
      <c r="C1547" s="6" t="s">
        <v>45</v>
      </c>
      <c r="D1547" s="15" t="s">
        <v>34</v>
      </c>
      <c r="E1547" s="15" t="s">
        <v>35</v>
      </c>
      <c r="F1547" s="16" t="s">
        <v>5478</v>
      </c>
      <c r="G1547" s="6" t="s">
        <v>37</v>
      </c>
      <c r="H1547" s="6" t="s">
        <v>5479</v>
      </c>
    </row>
    <row r="1548" ht="12.75" customHeight="1">
      <c r="A1548" s="6" t="s">
        <v>5480</v>
      </c>
      <c r="B1548" s="6" t="s">
        <v>5481</v>
      </c>
      <c r="C1548" s="6" t="s">
        <v>33</v>
      </c>
      <c r="D1548" s="15" t="s">
        <v>5482</v>
      </c>
      <c r="E1548" s="15" t="s">
        <v>35</v>
      </c>
      <c r="F1548" s="16" t="s">
        <v>5483</v>
      </c>
      <c r="G1548" s="6" t="s">
        <v>37</v>
      </c>
      <c r="H1548" s="6" t="s">
        <v>5484</v>
      </c>
    </row>
    <row r="1549" ht="12.75" customHeight="1">
      <c r="A1549" s="6" t="s">
        <v>5480</v>
      </c>
      <c r="B1549" s="6" t="s">
        <v>5481</v>
      </c>
      <c r="C1549" s="6" t="s">
        <v>5485</v>
      </c>
      <c r="D1549" s="15" t="s">
        <v>5486</v>
      </c>
      <c r="E1549" s="15" t="s">
        <v>35</v>
      </c>
      <c r="F1549" s="16" t="s">
        <v>5487</v>
      </c>
      <c r="G1549" s="6" t="s">
        <v>37</v>
      </c>
      <c r="H1549" s="6" t="s">
        <v>5488</v>
      </c>
    </row>
    <row r="1550" ht="12.75" customHeight="1">
      <c r="A1550" s="6" t="s">
        <v>5489</v>
      </c>
      <c r="B1550" s="6" t="s">
        <v>5481</v>
      </c>
      <c r="C1550" s="6" t="s">
        <v>33</v>
      </c>
      <c r="D1550" s="15" t="s">
        <v>50</v>
      </c>
      <c r="E1550" s="15" t="s">
        <v>35</v>
      </c>
      <c r="F1550" s="16" t="s">
        <v>5490</v>
      </c>
      <c r="G1550" s="6" t="s">
        <v>37</v>
      </c>
      <c r="H1550" s="6" t="s">
        <v>5491</v>
      </c>
    </row>
    <row r="1551" ht="12.75" customHeight="1">
      <c r="A1551" s="6" t="s">
        <v>5492</v>
      </c>
      <c r="B1551" s="6" t="s">
        <v>5481</v>
      </c>
      <c r="C1551" s="6" t="s">
        <v>45</v>
      </c>
      <c r="D1551" s="15" t="s">
        <v>443</v>
      </c>
      <c r="E1551" s="15" t="s">
        <v>35</v>
      </c>
      <c r="F1551" s="16" t="s">
        <v>5493</v>
      </c>
      <c r="G1551" s="6" t="s">
        <v>37</v>
      </c>
      <c r="H1551" s="6" t="s">
        <v>5494</v>
      </c>
    </row>
    <row r="1552" ht="12.75" customHeight="1">
      <c r="A1552" s="6" t="s">
        <v>5495</v>
      </c>
      <c r="B1552" s="6" t="s">
        <v>5481</v>
      </c>
      <c r="C1552" s="6" t="s">
        <v>5307</v>
      </c>
      <c r="D1552" s="15" t="s">
        <v>97</v>
      </c>
      <c r="E1552" s="15" t="s">
        <v>35</v>
      </c>
      <c r="F1552" s="16" t="s">
        <v>5496</v>
      </c>
      <c r="G1552" s="6" t="s">
        <v>37</v>
      </c>
      <c r="H1552" s="6" t="s">
        <v>5497</v>
      </c>
    </row>
    <row r="1553" ht="12.75" customHeight="1">
      <c r="A1553" s="6" t="s">
        <v>5498</v>
      </c>
      <c r="B1553" s="6" t="s">
        <v>5481</v>
      </c>
      <c r="C1553" s="6" t="s">
        <v>5499</v>
      </c>
      <c r="D1553" s="15" t="s">
        <v>35</v>
      </c>
      <c r="E1553" s="15" t="s">
        <v>65</v>
      </c>
      <c r="F1553" s="16" t="s">
        <v>5500</v>
      </c>
      <c r="G1553" s="6" t="s">
        <v>37</v>
      </c>
      <c r="H1553" s="6" t="s">
        <v>5501</v>
      </c>
    </row>
    <row r="1554" ht="12.75" customHeight="1">
      <c r="A1554" s="6" t="s">
        <v>5502</v>
      </c>
      <c r="B1554" s="6" t="s">
        <v>5481</v>
      </c>
      <c r="C1554" s="6" t="s">
        <v>106</v>
      </c>
      <c r="D1554" s="15" t="s">
        <v>123</v>
      </c>
      <c r="E1554" s="15" t="s">
        <v>35</v>
      </c>
      <c r="F1554" s="16" t="s">
        <v>5503</v>
      </c>
      <c r="G1554" s="6" t="s">
        <v>37</v>
      </c>
      <c r="H1554" s="6" t="s">
        <v>5504</v>
      </c>
    </row>
    <row r="1555" ht="12.75" customHeight="1">
      <c r="A1555" s="6" t="s">
        <v>5505</v>
      </c>
      <c r="B1555" s="6" t="s">
        <v>5481</v>
      </c>
      <c r="C1555" s="6" t="s">
        <v>5506</v>
      </c>
      <c r="D1555" s="15" t="s">
        <v>35</v>
      </c>
      <c r="E1555" s="15" t="s">
        <v>50</v>
      </c>
      <c r="F1555" s="16" t="s">
        <v>5507</v>
      </c>
      <c r="G1555" s="6" t="s">
        <v>37</v>
      </c>
      <c r="H1555" s="6" t="s">
        <v>5508</v>
      </c>
    </row>
    <row r="1556" ht="12.75" customHeight="1">
      <c r="A1556" s="6" t="s">
        <v>5509</v>
      </c>
      <c r="B1556" s="6" t="s">
        <v>5481</v>
      </c>
      <c r="C1556" s="6" t="s">
        <v>3188</v>
      </c>
      <c r="D1556" s="15" t="s">
        <v>107</v>
      </c>
      <c r="E1556" s="15" t="s">
        <v>35</v>
      </c>
      <c r="F1556" s="16" t="s">
        <v>5510</v>
      </c>
      <c r="G1556" s="6" t="s">
        <v>37</v>
      </c>
      <c r="H1556" s="6" t="s">
        <v>5511</v>
      </c>
    </row>
    <row r="1557" ht="12.75" customHeight="1">
      <c r="A1557" s="6" t="s">
        <v>5512</v>
      </c>
      <c r="B1557" s="6" t="s">
        <v>5481</v>
      </c>
      <c r="C1557" s="6" t="s">
        <v>45</v>
      </c>
      <c r="D1557" s="15" t="s">
        <v>34</v>
      </c>
      <c r="E1557" s="15" t="s">
        <v>35</v>
      </c>
      <c r="F1557" s="16" t="s">
        <v>5513</v>
      </c>
      <c r="G1557" s="6" t="s">
        <v>37</v>
      </c>
      <c r="H1557" s="6" t="s">
        <v>5514</v>
      </c>
    </row>
    <row r="1558" ht="12.75" customHeight="1">
      <c r="A1558" s="6" t="s">
        <v>5515</v>
      </c>
      <c r="B1558" s="6" t="s">
        <v>5516</v>
      </c>
      <c r="C1558" s="6" t="s">
        <v>1263</v>
      </c>
      <c r="D1558" s="15" t="s">
        <v>97</v>
      </c>
      <c r="E1558" s="15" t="s">
        <v>35</v>
      </c>
      <c r="F1558" s="16" t="s">
        <v>5517</v>
      </c>
      <c r="G1558" s="6" t="s">
        <v>37</v>
      </c>
      <c r="H1558" s="6" t="s">
        <v>5518</v>
      </c>
    </row>
    <row r="1559" ht="12.75" customHeight="1">
      <c r="A1559" s="6" t="s">
        <v>5519</v>
      </c>
      <c r="B1559" s="6" t="s">
        <v>5516</v>
      </c>
      <c r="C1559" s="6" t="s">
        <v>263</v>
      </c>
      <c r="D1559" s="15" t="s">
        <v>855</v>
      </c>
      <c r="E1559" s="15" t="s">
        <v>35</v>
      </c>
      <c r="F1559" s="16" t="s">
        <v>5520</v>
      </c>
      <c r="G1559" s="6" t="s">
        <v>37</v>
      </c>
      <c r="H1559" s="6" t="s">
        <v>5521</v>
      </c>
    </row>
    <row r="1560" ht="12.75" customHeight="1">
      <c r="A1560" s="6" t="s">
        <v>5522</v>
      </c>
      <c r="B1560" s="6" t="s">
        <v>5516</v>
      </c>
      <c r="C1560" s="6" t="s">
        <v>5523</v>
      </c>
      <c r="D1560" s="15" t="s">
        <v>443</v>
      </c>
      <c r="E1560" s="15" t="s">
        <v>35</v>
      </c>
      <c r="F1560" s="16" t="s">
        <v>5524</v>
      </c>
      <c r="G1560" s="6" t="s">
        <v>37</v>
      </c>
      <c r="H1560" s="6" t="s">
        <v>5525</v>
      </c>
    </row>
    <row r="1561" ht="12.75" customHeight="1">
      <c r="A1561" s="6" t="s">
        <v>5526</v>
      </c>
      <c r="B1561" s="6" t="s">
        <v>5516</v>
      </c>
      <c r="C1561" s="6" t="s">
        <v>106</v>
      </c>
      <c r="D1561" s="15" t="s">
        <v>443</v>
      </c>
      <c r="E1561" s="15" t="s">
        <v>35</v>
      </c>
      <c r="F1561" s="16" t="s">
        <v>5527</v>
      </c>
      <c r="G1561" s="6" t="s">
        <v>37</v>
      </c>
      <c r="H1561" s="6" t="s">
        <v>5528</v>
      </c>
    </row>
    <row r="1562" ht="12.75" customHeight="1">
      <c r="A1562" s="6" t="s">
        <v>5529</v>
      </c>
      <c r="B1562" s="6" t="s">
        <v>5530</v>
      </c>
      <c r="C1562" s="6" t="s">
        <v>5531</v>
      </c>
      <c r="D1562" s="15" t="s">
        <v>97</v>
      </c>
      <c r="E1562" s="15" t="s">
        <v>35</v>
      </c>
      <c r="F1562" s="16" t="s">
        <v>5532</v>
      </c>
      <c r="G1562" s="6" t="s">
        <v>37</v>
      </c>
      <c r="H1562" s="6" t="s">
        <v>5533</v>
      </c>
    </row>
    <row r="1563" ht="12.75" customHeight="1">
      <c r="A1563" s="6" t="s">
        <v>5534</v>
      </c>
      <c r="B1563" s="6" t="s">
        <v>5530</v>
      </c>
      <c r="C1563" s="6" t="s">
        <v>230</v>
      </c>
      <c r="D1563" s="15" t="s">
        <v>1307</v>
      </c>
      <c r="E1563" s="15" t="s">
        <v>35</v>
      </c>
      <c r="F1563" s="16" t="s">
        <v>5535</v>
      </c>
      <c r="G1563" s="6" t="s">
        <v>37</v>
      </c>
      <c r="H1563" s="6" t="s">
        <v>5536</v>
      </c>
    </row>
    <row r="1564" ht="12.75" customHeight="1">
      <c r="A1564" s="6" t="s">
        <v>5537</v>
      </c>
      <c r="B1564" s="6" t="s">
        <v>5530</v>
      </c>
      <c r="C1564" s="6" t="s">
        <v>230</v>
      </c>
      <c r="D1564" s="15" t="s">
        <v>443</v>
      </c>
      <c r="E1564" s="15" t="s">
        <v>35</v>
      </c>
      <c r="F1564" s="16" t="s">
        <v>5538</v>
      </c>
      <c r="G1564" s="6" t="s">
        <v>37</v>
      </c>
      <c r="H1564" s="6" t="s">
        <v>5539</v>
      </c>
    </row>
    <row r="1565" ht="12.75" customHeight="1">
      <c r="A1565" s="6" t="s">
        <v>5540</v>
      </c>
      <c r="B1565" s="6" t="s">
        <v>5530</v>
      </c>
      <c r="C1565" s="6" t="s">
        <v>230</v>
      </c>
      <c r="D1565" s="15" t="s">
        <v>50</v>
      </c>
      <c r="E1565" s="15" t="s">
        <v>35</v>
      </c>
      <c r="F1565" s="16" t="s">
        <v>5541</v>
      </c>
      <c r="G1565" s="6" t="s">
        <v>37</v>
      </c>
      <c r="H1565" s="6" t="s">
        <v>5542</v>
      </c>
    </row>
    <row r="1566" ht="12.75" customHeight="1">
      <c r="A1566" s="6" t="s">
        <v>5543</v>
      </c>
      <c r="B1566" s="6" t="s">
        <v>5530</v>
      </c>
      <c r="C1566" s="6" t="s">
        <v>5380</v>
      </c>
      <c r="D1566" s="15" t="s">
        <v>34</v>
      </c>
      <c r="E1566" s="15" t="s">
        <v>35</v>
      </c>
      <c r="F1566" s="16" t="s">
        <v>5544</v>
      </c>
      <c r="G1566" s="6" t="s">
        <v>37</v>
      </c>
      <c r="H1566" s="6" t="s">
        <v>5545</v>
      </c>
    </row>
    <row r="1567" ht="12.75" customHeight="1">
      <c r="A1567" s="6" t="s">
        <v>5546</v>
      </c>
      <c r="B1567" s="6" t="s">
        <v>5530</v>
      </c>
      <c r="C1567" s="6" t="s">
        <v>5547</v>
      </c>
      <c r="D1567" s="15" t="s">
        <v>34</v>
      </c>
      <c r="E1567" s="15" t="s">
        <v>35</v>
      </c>
      <c r="F1567" s="16" t="s">
        <v>5548</v>
      </c>
      <c r="G1567" s="6" t="s">
        <v>37</v>
      </c>
      <c r="H1567" s="6" t="s">
        <v>5549</v>
      </c>
    </row>
    <row r="1568" ht="12.75" customHeight="1">
      <c r="A1568" s="6" t="s">
        <v>5550</v>
      </c>
      <c r="B1568" s="6" t="s">
        <v>5530</v>
      </c>
      <c r="C1568" s="6" t="s">
        <v>230</v>
      </c>
      <c r="D1568" s="15" t="s">
        <v>50</v>
      </c>
      <c r="E1568" s="15" t="s">
        <v>35</v>
      </c>
      <c r="F1568" s="16" t="s">
        <v>5551</v>
      </c>
      <c r="G1568" s="6" t="s">
        <v>37</v>
      </c>
      <c r="H1568" s="6" t="s">
        <v>5552</v>
      </c>
    </row>
    <row r="1569" ht="12.75" customHeight="1">
      <c r="A1569" s="6" t="s">
        <v>5553</v>
      </c>
      <c r="B1569" s="6" t="s">
        <v>5554</v>
      </c>
      <c r="C1569" s="6" t="s">
        <v>92</v>
      </c>
      <c r="D1569" s="15" t="s">
        <v>34</v>
      </c>
      <c r="E1569" s="15" t="s">
        <v>35</v>
      </c>
      <c r="F1569" s="16" t="s">
        <v>5555</v>
      </c>
      <c r="G1569" s="6" t="s">
        <v>37</v>
      </c>
      <c r="H1569" s="6" t="s">
        <v>5556</v>
      </c>
    </row>
    <row r="1570" ht="12.75" customHeight="1">
      <c r="A1570" s="6" t="s">
        <v>5557</v>
      </c>
      <c r="B1570" s="6" t="s">
        <v>5554</v>
      </c>
      <c r="C1570" s="6" t="s">
        <v>106</v>
      </c>
      <c r="D1570" s="15" t="s">
        <v>685</v>
      </c>
      <c r="E1570" s="15" t="s">
        <v>35</v>
      </c>
      <c r="F1570" s="16" t="s">
        <v>5558</v>
      </c>
      <c r="G1570" s="6" t="s">
        <v>37</v>
      </c>
      <c r="H1570" s="6" t="s">
        <v>5559</v>
      </c>
    </row>
    <row r="1571" ht="12.75" customHeight="1">
      <c r="A1571" s="6" t="s">
        <v>5560</v>
      </c>
      <c r="B1571" s="6" t="s">
        <v>5554</v>
      </c>
      <c r="C1571" s="6" t="s">
        <v>127</v>
      </c>
      <c r="D1571" s="15" t="s">
        <v>35</v>
      </c>
      <c r="E1571" s="15" t="s">
        <v>2043</v>
      </c>
      <c r="F1571" s="16" t="s">
        <v>5561</v>
      </c>
      <c r="G1571" s="6" t="s">
        <v>37</v>
      </c>
      <c r="H1571" s="6" t="s">
        <v>5562</v>
      </c>
    </row>
    <row r="1572" ht="12.75" customHeight="1">
      <c r="A1572" s="6" t="s">
        <v>5563</v>
      </c>
      <c r="B1572" s="6" t="s">
        <v>5554</v>
      </c>
      <c r="C1572" s="6" t="s">
        <v>2331</v>
      </c>
      <c r="D1572" s="15" t="s">
        <v>35</v>
      </c>
      <c r="E1572" s="15" t="s">
        <v>295</v>
      </c>
      <c r="F1572" s="16" t="s">
        <v>5564</v>
      </c>
      <c r="G1572" s="6" t="s">
        <v>37</v>
      </c>
      <c r="H1572" s="6" t="s">
        <v>5565</v>
      </c>
    </row>
    <row r="1573" ht="12.75" customHeight="1">
      <c r="A1573" s="6" t="s">
        <v>5566</v>
      </c>
      <c r="B1573" s="6" t="s">
        <v>5554</v>
      </c>
      <c r="C1573" s="6" t="s">
        <v>2558</v>
      </c>
      <c r="D1573" s="15" t="s">
        <v>251</v>
      </c>
      <c r="E1573" s="15" t="s">
        <v>35</v>
      </c>
      <c r="F1573" s="16" t="s">
        <v>5567</v>
      </c>
      <c r="G1573" s="6" t="s">
        <v>37</v>
      </c>
      <c r="H1573" s="6" t="s">
        <v>5568</v>
      </c>
    </row>
    <row r="1574" ht="12.75" customHeight="1">
      <c r="A1574" s="6" t="s">
        <v>5569</v>
      </c>
      <c r="B1574" s="6" t="s">
        <v>5554</v>
      </c>
      <c r="C1574" s="6" t="s">
        <v>426</v>
      </c>
      <c r="D1574" s="15" t="s">
        <v>71</v>
      </c>
      <c r="E1574" s="15" t="s">
        <v>35</v>
      </c>
      <c r="F1574" s="16" t="s">
        <v>5570</v>
      </c>
      <c r="G1574" s="6" t="s">
        <v>37</v>
      </c>
      <c r="H1574" s="6" t="s">
        <v>5571</v>
      </c>
    </row>
    <row r="1575" ht="12.75" customHeight="1">
      <c r="A1575" s="6" t="s">
        <v>5572</v>
      </c>
      <c r="B1575" s="6" t="s">
        <v>5554</v>
      </c>
      <c r="C1575" s="6" t="s">
        <v>33</v>
      </c>
      <c r="D1575" s="15" t="s">
        <v>50</v>
      </c>
      <c r="E1575" s="15" t="s">
        <v>35</v>
      </c>
      <c r="F1575" s="16" t="s">
        <v>5561</v>
      </c>
      <c r="G1575" s="6" t="s">
        <v>37</v>
      </c>
      <c r="H1575" s="6" t="s">
        <v>5573</v>
      </c>
    </row>
    <row r="1576" ht="12.75" customHeight="1">
      <c r="A1576" s="6" t="s">
        <v>5574</v>
      </c>
      <c r="B1576" s="6" t="s">
        <v>5575</v>
      </c>
      <c r="C1576" s="6" t="s">
        <v>912</v>
      </c>
      <c r="D1576" s="15" t="s">
        <v>35</v>
      </c>
      <c r="E1576" s="15" t="s">
        <v>71</v>
      </c>
      <c r="F1576" s="16" t="s">
        <v>5576</v>
      </c>
      <c r="G1576" s="6" t="s">
        <v>37</v>
      </c>
      <c r="H1576" s="6" t="s">
        <v>5577</v>
      </c>
    </row>
    <row r="1577" ht="12.75" customHeight="1">
      <c r="A1577" s="6" t="s">
        <v>5578</v>
      </c>
      <c r="B1577" s="6" t="s">
        <v>5575</v>
      </c>
      <c r="C1577" s="6" t="s">
        <v>92</v>
      </c>
      <c r="D1577" s="15" t="s">
        <v>41</v>
      </c>
      <c r="E1577" s="15" t="s">
        <v>35</v>
      </c>
      <c r="F1577" s="16" t="s">
        <v>5579</v>
      </c>
      <c r="G1577" s="6" t="s">
        <v>37</v>
      </c>
      <c r="H1577" s="6" t="s">
        <v>5580</v>
      </c>
    </row>
    <row r="1578" ht="12.75" customHeight="1">
      <c r="A1578" s="6" t="s">
        <v>5581</v>
      </c>
      <c r="B1578" s="6" t="s">
        <v>5575</v>
      </c>
      <c r="C1578" s="6" t="s">
        <v>106</v>
      </c>
      <c r="D1578" s="15" t="s">
        <v>3695</v>
      </c>
      <c r="E1578" s="15" t="s">
        <v>35</v>
      </c>
      <c r="F1578" s="16" t="s">
        <v>5507</v>
      </c>
      <c r="G1578" s="6" t="s">
        <v>37</v>
      </c>
      <c r="H1578" s="6" t="s">
        <v>5582</v>
      </c>
    </row>
    <row r="1579" ht="12.75" customHeight="1">
      <c r="A1579" s="6" t="s">
        <v>5583</v>
      </c>
      <c r="B1579" s="6" t="s">
        <v>5575</v>
      </c>
      <c r="C1579" s="6" t="s">
        <v>5584</v>
      </c>
      <c r="D1579" s="15" t="s">
        <v>855</v>
      </c>
      <c r="E1579" s="15" t="s">
        <v>35</v>
      </c>
      <c r="F1579" s="16" t="s">
        <v>5585</v>
      </c>
      <c r="G1579" s="6" t="s">
        <v>37</v>
      </c>
      <c r="H1579" s="6" t="s">
        <v>5586</v>
      </c>
    </row>
    <row r="1580" ht="12.75" customHeight="1">
      <c r="A1580" s="6" t="s">
        <v>5587</v>
      </c>
      <c r="B1580" s="6" t="s">
        <v>5575</v>
      </c>
      <c r="C1580" s="6" t="s">
        <v>5588</v>
      </c>
      <c r="D1580" s="15" t="s">
        <v>4457</v>
      </c>
      <c r="E1580" s="15" t="s">
        <v>35</v>
      </c>
      <c r="F1580" s="16" t="s">
        <v>5589</v>
      </c>
      <c r="G1580" s="6" t="s">
        <v>37</v>
      </c>
      <c r="H1580" s="6" t="s">
        <v>5590</v>
      </c>
    </row>
    <row r="1581" ht="12.75" customHeight="1">
      <c r="A1581" s="6" t="s">
        <v>5591</v>
      </c>
      <c r="B1581" s="6" t="s">
        <v>5592</v>
      </c>
      <c r="C1581" s="6" t="s">
        <v>230</v>
      </c>
      <c r="D1581" s="15" t="s">
        <v>97</v>
      </c>
      <c r="E1581" s="15" t="s">
        <v>35</v>
      </c>
      <c r="F1581" s="16" t="s">
        <v>5593</v>
      </c>
      <c r="G1581" s="6" t="s">
        <v>37</v>
      </c>
      <c r="H1581" s="6" t="s">
        <v>5594</v>
      </c>
    </row>
    <row r="1582" ht="12.75" customHeight="1">
      <c r="A1582" s="6" t="s">
        <v>5595</v>
      </c>
      <c r="B1582" s="6" t="s">
        <v>5592</v>
      </c>
      <c r="C1582" s="6" t="s">
        <v>5361</v>
      </c>
      <c r="D1582" s="15" t="s">
        <v>855</v>
      </c>
      <c r="E1582" s="15" t="s">
        <v>35</v>
      </c>
      <c r="F1582" s="16" t="s">
        <v>5524</v>
      </c>
      <c r="G1582" s="6" t="s">
        <v>37</v>
      </c>
      <c r="H1582" s="6" t="s">
        <v>5596</v>
      </c>
    </row>
    <row r="1583" ht="12.75" customHeight="1">
      <c r="A1583" s="6" t="s">
        <v>5597</v>
      </c>
      <c r="B1583" s="6" t="s">
        <v>5592</v>
      </c>
      <c r="C1583" s="6" t="s">
        <v>5361</v>
      </c>
      <c r="D1583" s="15" t="s">
        <v>119</v>
      </c>
      <c r="E1583" s="15" t="s">
        <v>35</v>
      </c>
      <c r="F1583" s="16" t="s">
        <v>5598</v>
      </c>
      <c r="G1583" s="6" t="s">
        <v>37</v>
      </c>
      <c r="H1583" s="6" t="s">
        <v>5599</v>
      </c>
    </row>
    <row r="1584" ht="12.75" customHeight="1">
      <c r="A1584" s="6" t="s">
        <v>5600</v>
      </c>
      <c r="B1584" s="6" t="s">
        <v>5592</v>
      </c>
      <c r="C1584" s="6" t="s">
        <v>70</v>
      </c>
      <c r="D1584" s="15" t="s">
        <v>50</v>
      </c>
      <c r="E1584" s="15" t="s">
        <v>35</v>
      </c>
      <c r="F1584" s="16" t="s">
        <v>5601</v>
      </c>
      <c r="G1584" s="6" t="s">
        <v>37</v>
      </c>
      <c r="H1584" s="6" t="s">
        <v>5602</v>
      </c>
    </row>
    <row r="1585" ht="12.75" customHeight="1">
      <c r="A1585" s="6" t="s">
        <v>5603</v>
      </c>
      <c r="B1585" s="6" t="s">
        <v>5604</v>
      </c>
      <c r="C1585" s="6" t="s">
        <v>106</v>
      </c>
      <c r="D1585" s="15" t="s">
        <v>685</v>
      </c>
      <c r="E1585" s="15" t="s">
        <v>35</v>
      </c>
      <c r="F1585" s="16" t="s">
        <v>5605</v>
      </c>
      <c r="G1585" s="6" t="s">
        <v>37</v>
      </c>
      <c r="H1585" s="6" t="s">
        <v>5606</v>
      </c>
    </row>
    <row r="1586" ht="12.75" customHeight="1">
      <c r="A1586" s="6" t="s">
        <v>5607</v>
      </c>
      <c r="B1586" s="6" t="s">
        <v>5604</v>
      </c>
      <c r="C1586" s="6" t="s">
        <v>5608</v>
      </c>
      <c r="D1586" s="15" t="s">
        <v>855</v>
      </c>
      <c r="E1586" s="15" t="s">
        <v>35</v>
      </c>
      <c r="F1586" s="16" t="s">
        <v>5609</v>
      </c>
      <c r="G1586" s="6" t="s">
        <v>37</v>
      </c>
      <c r="H1586" s="6" t="s">
        <v>5610</v>
      </c>
    </row>
    <row r="1587" ht="12.75" customHeight="1">
      <c r="A1587" s="6" t="s">
        <v>5611</v>
      </c>
      <c r="B1587" s="6" t="s">
        <v>5604</v>
      </c>
      <c r="C1587" s="6" t="s">
        <v>230</v>
      </c>
      <c r="D1587" s="15" t="s">
        <v>50</v>
      </c>
      <c r="E1587" s="15" t="s">
        <v>35</v>
      </c>
      <c r="F1587" s="16" t="s">
        <v>5612</v>
      </c>
      <c r="G1587" s="6" t="s">
        <v>37</v>
      </c>
      <c r="H1587" s="6" t="s">
        <v>5613</v>
      </c>
    </row>
    <row r="1588" ht="12.75" customHeight="1">
      <c r="A1588" s="6" t="s">
        <v>5614</v>
      </c>
      <c r="B1588" s="6" t="s">
        <v>5604</v>
      </c>
      <c r="C1588" s="6" t="s">
        <v>5361</v>
      </c>
      <c r="D1588" s="15" t="s">
        <v>123</v>
      </c>
      <c r="E1588" s="15" t="s">
        <v>35</v>
      </c>
      <c r="F1588" s="16" t="s">
        <v>5615</v>
      </c>
      <c r="G1588" s="6" t="s">
        <v>37</v>
      </c>
      <c r="H1588" s="6" t="s">
        <v>5616</v>
      </c>
    </row>
    <row r="1589" ht="12.75" customHeight="1">
      <c r="A1589" s="6" t="s">
        <v>5617</v>
      </c>
      <c r="B1589" s="6" t="s">
        <v>5604</v>
      </c>
      <c r="C1589" s="6" t="s">
        <v>5361</v>
      </c>
      <c r="D1589" s="15" t="s">
        <v>5618</v>
      </c>
      <c r="E1589" s="15" t="s">
        <v>35</v>
      </c>
      <c r="F1589" s="16" t="s">
        <v>5619</v>
      </c>
      <c r="G1589" s="6" t="s">
        <v>37</v>
      </c>
      <c r="H1589" s="6" t="s">
        <v>5620</v>
      </c>
    </row>
    <row r="1590" ht="12.75" customHeight="1">
      <c r="A1590" s="6" t="s">
        <v>5621</v>
      </c>
      <c r="B1590" s="6" t="s">
        <v>5622</v>
      </c>
      <c r="C1590" s="6" t="s">
        <v>70</v>
      </c>
      <c r="D1590" s="15" t="s">
        <v>34</v>
      </c>
      <c r="E1590" s="15" t="s">
        <v>35</v>
      </c>
      <c r="F1590" s="16" t="s">
        <v>5623</v>
      </c>
      <c r="G1590" s="6" t="s">
        <v>37</v>
      </c>
      <c r="H1590" s="6" t="s">
        <v>5624</v>
      </c>
    </row>
    <row r="1591" ht="12.75" customHeight="1">
      <c r="A1591" s="6" t="s">
        <v>5625</v>
      </c>
      <c r="B1591" s="6" t="s">
        <v>5626</v>
      </c>
      <c r="C1591" s="6" t="s">
        <v>5627</v>
      </c>
      <c r="D1591" s="15" t="s">
        <v>35</v>
      </c>
      <c r="E1591" s="15" t="s">
        <v>71</v>
      </c>
      <c r="F1591" s="16" t="s">
        <v>5628</v>
      </c>
      <c r="G1591" s="6" t="s">
        <v>37</v>
      </c>
      <c r="H1591" s="6" t="s">
        <v>5629</v>
      </c>
    </row>
    <row r="1592" ht="12.75" customHeight="1">
      <c r="A1592" s="6" t="s">
        <v>5630</v>
      </c>
      <c r="B1592" s="6" t="s">
        <v>5626</v>
      </c>
      <c r="C1592" s="6" t="s">
        <v>5278</v>
      </c>
      <c r="D1592" s="15" t="s">
        <v>515</v>
      </c>
      <c r="E1592" s="15" t="s">
        <v>35</v>
      </c>
      <c r="F1592" s="16" t="s">
        <v>5631</v>
      </c>
      <c r="G1592" s="6" t="s">
        <v>37</v>
      </c>
      <c r="H1592" s="6" t="s">
        <v>5632</v>
      </c>
    </row>
    <row r="1593" ht="12.75" customHeight="1">
      <c r="A1593" s="6" t="s">
        <v>5633</v>
      </c>
      <c r="B1593" s="6" t="s">
        <v>5626</v>
      </c>
      <c r="C1593" s="6" t="s">
        <v>3188</v>
      </c>
      <c r="D1593" s="15" t="s">
        <v>685</v>
      </c>
      <c r="E1593" s="15" t="s">
        <v>35</v>
      </c>
      <c r="F1593" s="16" t="s">
        <v>5634</v>
      </c>
      <c r="G1593" s="6" t="s">
        <v>37</v>
      </c>
      <c r="H1593" s="6" t="s">
        <v>5635</v>
      </c>
    </row>
    <row r="1594" ht="12.75" customHeight="1">
      <c r="A1594" s="6" t="s">
        <v>5636</v>
      </c>
      <c r="B1594" s="6" t="s">
        <v>5626</v>
      </c>
      <c r="C1594" s="6" t="s">
        <v>5627</v>
      </c>
      <c r="D1594" s="15" t="s">
        <v>35</v>
      </c>
      <c r="E1594" s="15" t="s">
        <v>50</v>
      </c>
      <c r="F1594" s="16" t="s">
        <v>5637</v>
      </c>
      <c r="G1594" s="6" t="s">
        <v>37</v>
      </c>
      <c r="H1594" s="6" t="s">
        <v>5638</v>
      </c>
    </row>
    <row r="1595" ht="12.75" customHeight="1">
      <c r="A1595" s="6" t="s">
        <v>5639</v>
      </c>
      <c r="B1595" s="6" t="s">
        <v>5626</v>
      </c>
      <c r="C1595" s="6" t="s">
        <v>5361</v>
      </c>
      <c r="D1595" s="15" t="s">
        <v>46</v>
      </c>
      <c r="E1595" s="15" t="s">
        <v>35</v>
      </c>
      <c r="F1595" s="16" t="s">
        <v>5640</v>
      </c>
      <c r="G1595" s="6" t="s">
        <v>37</v>
      </c>
      <c r="H1595" s="6" t="s">
        <v>5641</v>
      </c>
    </row>
    <row r="1596" ht="12.75" customHeight="1">
      <c r="A1596" s="6" t="s">
        <v>5642</v>
      </c>
      <c r="B1596" s="6" t="s">
        <v>5626</v>
      </c>
      <c r="C1596" s="6" t="s">
        <v>5307</v>
      </c>
      <c r="D1596" s="15" t="s">
        <v>41</v>
      </c>
      <c r="E1596" s="15" t="s">
        <v>35</v>
      </c>
      <c r="F1596" s="16" t="s">
        <v>5643</v>
      </c>
      <c r="G1596" s="6" t="s">
        <v>37</v>
      </c>
      <c r="H1596" s="6" t="s">
        <v>5644</v>
      </c>
    </row>
    <row r="1597" ht="12.75" customHeight="1">
      <c r="A1597" s="6" t="s">
        <v>5645</v>
      </c>
      <c r="B1597" s="6" t="s">
        <v>5626</v>
      </c>
      <c r="C1597" s="6" t="s">
        <v>5646</v>
      </c>
      <c r="D1597" s="15" t="s">
        <v>35</v>
      </c>
      <c r="E1597" s="15" t="s">
        <v>3898</v>
      </c>
      <c r="F1597" s="16" t="s">
        <v>5647</v>
      </c>
      <c r="G1597" s="6" t="s">
        <v>37</v>
      </c>
      <c r="H1597" s="6" t="s">
        <v>5648</v>
      </c>
    </row>
    <row r="1598" ht="12.75" customHeight="1">
      <c r="A1598" s="6" t="s">
        <v>5649</v>
      </c>
      <c r="B1598" s="6" t="s">
        <v>5626</v>
      </c>
      <c r="C1598" s="6" t="s">
        <v>221</v>
      </c>
      <c r="D1598" s="15" t="s">
        <v>222</v>
      </c>
      <c r="E1598" s="15" t="s">
        <v>35</v>
      </c>
      <c r="F1598" s="16" t="s">
        <v>5650</v>
      </c>
      <c r="G1598" s="6" t="s">
        <v>37</v>
      </c>
      <c r="H1598" s="6" t="s">
        <v>5651</v>
      </c>
    </row>
    <row r="1599" ht="12.75" customHeight="1">
      <c r="A1599" s="6" t="s">
        <v>5652</v>
      </c>
      <c r="B1599" s="6" t="s">
        <v>5626</v>
      </c>
      <c r="C1599" s="6" t="s">
        <v>2558</v>
      </c>
      <c r="D1599" s="15" t="s">
        <v>65</v>
      </c>
      <c r="E1599" s="15" t="s">
        <v>35</v>
      </c>
      <c r="F1599" s="16" t="s">
        <v>5653</v>
      </c>
      <c r="G1599" s="6" t="s">
        <v>37</v>
      </c>
      <c r="H1599" s="6" t="s">
        <v>5654</v>
      </c>
    </row>
    <row r="1600" ht="12.75" customHeight="1">
      <c r="A1600" s="6" t="s">
        <v>5655</v>
      </c>
      <c r="B1600" s="6" t="s">
        <v>5626</v>
      </c>
      <c r="C1600" s="6" t="s">
        <v>5456</v>
      </c>
      <c r="D1600" s="15" t="s">
        <v>97</v>
      </c>
      <c r="E1600" s="15" t="s">
        <v>35</v>
      </c>
      <c r="F1600" s="16" t="s">
        <v>5656</v>
      </c>
      <c r="G1600" s="6" t="s">
        <v>37</v>
      </c>
      <c r="H1600" s="6" t="s">
        <v>5657</v>
      </c>
    </row>
    <row r="1601" ht="12.75" customHeight="1">
      <c r="A1601" s="6" t="s">
        <v>5658</v>
      </c>
      <c r="B1601" s="6" t="s">
        <v>5626</v>
      </c>
      <c r="C1601" s="6" t="s">
        <v>70</v>
      </c>
      <c r="D1601" s="15" t="s">
        <v>97</v>
      </c>
      <c r="E1601" s="15" t="s">
        <v>35</v>
      </c>
      <c r="F1601" s="16" t="s">
        <v>5659</v>
      </c>
      <c r="G1601" s="6" t="s">
        <v>37</v>
      </c>
      <c r="H1601" s="6" t="s">
        <v>5660</v>
      </c>
    </row>
    <row r="1602" ht="12.75" customHeight="1">
      <c r="A1602" s="6" t="s">
        <v>5661</v>
      </c>
      <c r="B1602" s="6" t="s">
        <v>5626</v>
      </c>
      <c r="C1602" s="6" t="s">
        <v>5307</v>
      </c>
      <c r="D1602" s="15" t="s">
        <v>71</v>
      </c>
      <c r="E1602" s="15" t="s">
        <v>35</v>
      </c>
      <c r="F1602" s="16" t="s">
        <v>5662</v>
      </c>
      <c r="G1602" s="6" t="s">
        <v>37</v>
      </c>
      <c r="H1602" s="6" t="s">
        <v>5663</v>
      </c>
    </row>
    <row r="1603" ht="12.75" customHeight="1">
      <c r="A1603" s="6" t="s">
        <v>5664</v>
      </c>
      <c r="B1603" s="6" t="s">
        <v>5626</v>
      </c>
      <c r="C1603" s="6" t="s">
        <v>5428</v>
      </c>
      <c r="D1603" s="15" t="s">
        <v>844</v>
      </c>
      <c r="E1603" s="15" t="s">
        <v>35</v>
      </c>
      <c r="F1603" s="16" t="s">
        <v>5665</v>
      </c>
      <c r="G1603" s="6" t="s">
        <v>37</v>
      </c>
      <c r="H1603" s="6" t="s">
        <v>5666</v>
      </c>
    </row>
    <row r="1604" ht="12.75" customHeight="1">
      <c r="A1604" s="6" t="s">
        <v>5667</v>
      </c>
      <c r="B1604" s="6" t="s">
        <v>5668</v>
      </c>
      <c r="C1604" s="6" t="s">
        <v>92</v>
      </c>
      <c r="D1604" s="15" t="s">
        <v>34</v>
      </c>
      <c r="E1604" s="15" t="s">
        <v>35</v>
      </c>
      <c r="F1604" s="16" t="s">
        <v>5669</v>
      </c>
      <c r="G1604" s="6" t="s">
        <v>37</v>
      </c>
      <c r="H1604" s="6" t="s">
        <v>5670</v>
      </c>
    </row>
    <row r="1605" ht="12.75" customHeight="1">
      <c r="A1605" s="6" t="s">
        <v>5671</v>
      </c>
      <c r="B1605" s="6" t="s">
        <v>5668</v>
      </c>
      <c r="C1605" s="6" t="s">
        <v>3188</v>
      </c>
      <c r="D1605" s="15" t="s">
        <v>685</v>
      </c>
      <c r="E1605" s="15" t="s">
        <v>35</v>
      </c>
      <c r="F1605" s="16" t="s">
        <v>5672</v>
      </c>
      <c r="G1605" s="6" t="s">
        <v>37</v>
      </c>
      <c r="H1605" s="6" t="s">
        <v>5673</v>
      </c>
    </row>
    <row r="1606" ht="12.75" customHeight="1">
      <c r="A1606" s="6" t="s">
        <v>5674</v>
      </c>
      <c r="B1606" s="6" t="s">
        <v>5668</v>
      </c>
      <c r="C1606" s="6" t="s">
        <v>5675</v>
      </c>
      <c r="D1606" s="15" t="s">
        <v>3453</v>
      </c>
      <c r="E1606" s="15" t="s">
        <v>35</v>
      </c>
      <c r="F1606" s="16" t="s">
        <v>5676</v>
      </c>
      <c r="G1606" s="6" t="s">
        <v>37</v>
      </c>
      <c r="H1606" s="6" t="s">
        <v>5677</v>
      </c>
    </row>
    <row r="1607" ht="12.75" customHeight="1">
      <c r="A1607" s="6" t="s">
        <v>5678</v>
      </c>
      <c r="B1607" s="6" t="s">
        <v>5668</v>
      </c>
      <c r="C1607" s="6" t="s">
        <v>5675</v>
      </c>
      <c r="D1607" s="15" t="s">
        <v>50</v>
      </c>
      <c r="E1607" s="15" t="s">
        <v>35</v>
      </c>
      <c r="F1607" s="16" t="s">
        <v>5679</v>
      </c>
      <c r="G1607" s="6" t="s">
        <v>37</v>
      </c>
      <c r="H1607" s="6" t="s">
        <v>5680</v>
      </c>
    </row>
    <row r="1608" ht="12.75" customHeight="1">
      <c r="A1608" s="6" t="s">
        <v>5681</v>
      </c>
      <c r="B1608" s="6" t="s">
        <v>5668</v>
      </c>
      <c r="C1608" s="6" t="s">
        <v>5584</v>
      </c>
      <c r="D1608" s="15" t="s">
        <v>1121</v>
      </c>
      <c r="E1608" s="15" t="s">
        <v>35</v>
      </c>
      <c r="F1608" s="16" t="s">
        <v>5682</v>
      </c>
      <c r="G1608" s="6" t="s">
        <v>37</v>
      </c>
      <c r="H1608" s="6" t="s">
        <v>5683</v>
      </c>
    </row>
    <row r="1609" ht="12.75" customHeight="1">
      <c r="A1609" s="6" t="s">
        <v>5684</v>
      </c>
      <c r="B1609" s="6" t="s">
        <v>5668</v>
      </c>
      <c r="C1609" s="6" t="s">
        <v>5584</v>
      </c>
      <c r="D1609" s="15" t="s">
        <v>5685</v>
      </c>
      <c r="E1609" s="15" t="s">
        <v>35</v>
      </c>
      <c r="F1609" s="16" t="s">
        <v>5686</v>
      </c>
      <c r="G1609" s="6" t="s">
        <v>37</v>
      </c>
      <c r="H1609" s="6" t="s">
        <v>5687</v>
      </c>
    </row>
    <row r="1610" ht="12.75" customHeight="1">
      <c r="A1610" s="6" t="s">
        <v>5688</v>
      </c>
      <c r="B1610" s="6" t="s">
        <v>5668</v>
      </c>
      <c r="C1610" s="6" t="s">
        <v>106</v>
      </c>
      <c r="D1610" s="15" t="s">
        <v>844</v>
      </c>
      <c r="E1610" s="15" t="s">
        <v>35</v>
      </c>
      <c r="F1610" s="16" t="s">
        <v>5689</v>
      </c>
      <c r="G1610" s="6" t="s">
        <v>37</v>
      </c>
      <c r="H1610" s="6" t="s">
        <v>5690</v>
      </c>
    </row>
    <row r="1611" ht="12.75" customHeight="1">
      <c r="A1611" s="6" t="s">
        <v>5691</v>
      </c>
      <c r="B1611" s="6" t="s">
        <v>5692</v>
      </c>
      <c r="C1611" s="6" t="s">
        <v>2905</v>
      </c>
      <c r="D1611" s="15" t="s">
        <v>443</v>
      </c>
      <c r="E1611" s="15" t="s">
        <v>35</v>
      </c>
      <c r="F1611" s="16" t="s">
        <v>5693</v>
      </c>
      <c r="G1611" s="6" t="s">
        <v>37</v>
      </c>
      <c r="H1611" s="6" t="s">
        <v>5694</v>
      </c>
    </row>
    <row r="1612" ht="12.75" customHeight="1">
      <c r="A1612" s="6" t="s">
        <v>5695</v>
      </c>
      <c r="B1612" s="6" t="s">
        <v>5692</v>
      </c>
      <c r="C1612" s="6" t="s">
        <v>3188</v>
      </c>
      <c r="D1612" s="15" t="s">
        <v>1720</v>
      </c>
      <c r="E1612" s="15" t="s">
        <v>35</v>
      </c>
      <c r="F1612" s="16" t="s">
        <v>5544</v>
      </c>
      <c r="G1612" s="6" t="s">
        <v>37</v>
      </c>
      <c r="H1612" s="6" t="s">
        <v>5696</v>
      </c>
    </row>
    <row r="1613" ht="12.75" customHeight="1">
      <c r="A1613" s="6" t="s">
        <v>5697</v>
      </c>
      <c r="B1613" s="6" t="s">
        <v>5692</v>
      </c>
      <c r="C1613" s="6" t="s">
        <v>5698</v>
      </c>
      <c r="D1613" s="15" t="s">
        <v>46</v>
      </c>
      <c r="E1613" s="15" t="s">
        <v>35</v>
      </c>
      <c r="F1613" s="16" t="s">
        <v>5551</v>
      </c>
      <c r="G1613" s="6" t="s">
        <v>37</v>
      </c>
      <c r="H1613" s="6" t="s">
        <v>5699</v>
      </c>
    </row>
    <row r="1614" ht="12.75" customHeight="1">
      <c r="A1614" s="6" t="s">
        <v>5700</v>
      </c>
      <c r="B1614" s="6" t="s">
        <v>5692</v>
      </c>
      <c r="C1614" s="6" t="s">
        <v>5646</v>
      </c>
      <c r="D1614" s="15" t="s">
        <v>35</v>
      </c>
      <c r="E1614" s="15" t="s">
        <v>490</v>
      </c>
      <c r="F1614" s="16" t="s">
        <v>5701</v>
      </c>
      <c r="G1614" s="6" t="s">
        <v>37</v>
      </c>
      <c r="H1614" s="6" t="s">
        <v>5702</v>
      </c>
    </row>
    <row r="1615" ht="12.75" customHeight="1">
      <c r="A1615" s="6" t="s">
        <v>5703</v>
      </c>
      <c r="B1615" s="6" t="s">
        <v>5692</v>
      </c>
      <c r="C1615" s="6" t="s">
        <v>221</v>
      </c>
      <c r="D1615" s="15" t="s">
        <v>222</v>
      </c>
      <c r="E1615" s="15" t="s">
        <v>35</v>
      </c>
      <c r="F1615" s="16" t="s">
        <v>5704</v>
      </c>
      <c r="G1615" s="6" t="s">
        <v>37</v>
      </c>
      <c r="H1615" s="6" t="s">
        <v>5705</v>
      </c>
    </row>
    <row r="1616" ht="12.75" customHeight="1">
      <c r="A1616" s="6" t="s">
        <v>5706</v>
      </c>
      <c r="B1616" s="6" t="s">
        <v>5692</v>
      </c>
      <c r="C1616" s="6" t="s">
        <v>5361</v>
      </c>
      <c r="D1616" s="15" t="s">
        <v>1920</v>
      </c>
      <c r="E1616" s="15" t="s">
        <v>35</v>
      </c>
      <c r="F1616" s="16" t="s">
        <v>5707</v>
      </c>
      <c r="G1616" s="6" t="s">
        <v>37</v>
      </c>
      <c r="H1616" s="6" t="s">
        <v>5708</v>
      </c>
    </row>
    <row r="1617" ht="12.75" customHeight="1">
      <c r="A1617" s="6" t="s">
        <v>5709</v>
      </c>
      <c r="B1617" s="6" t="s">
        <v>5710</v>
      </c>
      <c r="C1617" s="6" t="s">
        <v>70</v>
      </c>
      <c r="D1617" s="15" t="s">
        <v>34</v>
      </c>
      <c r="E1617" s="15" t="s">
        <v>35</v>
      </c>
      <c r="F1617" s="16" t="s">
        <v>5711</v>
      </c>
      <c r="G1617" s="6" t="s">
        <v>37</v>
      </c>
      <c r="H1617" s="6" t="s">
        <v>5712</v>
      </c>
    </row>
    <row r="1618" ht="12.75" customHeight="1">
      <c r="A1618" s="6" t="s">
        <v>5713</v>
      </c>
      <c r="B1618" s="6" t="s">
        <v>5710</v>
      </c>
      <c r="C1618" s="6" t="s">
        <v>2744</v>
      </c>
      <c r="D1618" s="15" t="s">
        <v>189</v>
      </c>
      <c r="E1618" s="15" t="s">
        <v>35</v>
      </c>
      <c r="F1618" s="16" t="s">
        <v>5714</v>
      </c>
      <c r="G1618" s="6" t="s">
        <v>37</v>
      </c>
      <c r="H1618" s="6" t="s">
        <v>5715</v>
      </c>
    </row>
    <row r="1619" ht="12.75" customHeight="1">
      <c r="A1619" s="6" t="s">
        <v>5716</v>
      </c>
      <c r="B1619" s="6" t="s">
        <v>5710</v>
      </c>
      <c r="C1619" s="6" t="s">
        <v>1613</v>
      </c>
      <c r="D1619" s="15" t="s">
        <v>5717</v>
      </c>
      <c r="E1619" s="15" t="s">
        <v>35</v>
      </c>
      <c r="F1619" s="16" t="s">
        <v>5718</v>
      </c>
      <c r="G1619" s="6" t="s">
        <v>37</v>
      </c>
      <c r="H1619" s="6" t="s">
        <v>5719</v>
      </c>
    </row>
    <row r="1620" ht="12.75" customHeight="1">
      <c r="A1620" s="6" t="s">
        <v>5720</v>
      </c>
      <c r="B1620" s="6" t="s">
        <v>5710</v>
      </c>
      <c r="C1620" s="6" t="s">
        <v>230</v>
      </c>
      <c r="D1620" s="15" t="s">
        <v>744</v>
      </c>
      <c r="E1620" s="15" t="s">
        <v>35</v>
      </c>
      <c r="F1620" s="16" t="s">
        <v>5721</v>
      </c>
      <c r="G1620" s="6" t="s">
        <v>37</v>
      </c>
      <c r="H1620" s="6" t="s">
        <v>5722</v>
      </c>
    </row>
    <row r="1621" ht="12.75" customHeight="1">
      <c r="A1621" s="6" t="s">
        <v>5723</v>
      </c>
      <c r="B1621" s="6" t="s">
        <v>5710</v>
      </c>
      <c r="C1621" s="6" t="s">
        <v>33</v>
      </c>
      <c r="D1621" s="15" t="s">
        <v>41</v>
      </c>
      <c r="E1621" s="15" t="s">
        <v>35</v>
      </c>
      <c r="F1621" s="16" t="s">
        <v>5724</v>
      </c>
      <c r="G1621" s="6" t="s">
        <v>37</v>
      </c>
      <c r="H1621" s="6" t="s">
        <v>5725</v>
      </c>
    </row>
    <row r="1622" ht="12.75" customHeight="1">
      <c r="A1622" s="6" t="s">
        <v>5726</v>
      </c>
      <c r="B1622" s="6" t="s">
        <v>5727</v>
      </c>
      <c r="C1622" s="6" t="s">
        <v>230</v>
      </c>
      <c r="D1622" s="15" t="s">
        <v>71</v>
      </c>
      <c r="E1622" s="15" t="s">
        <v>35</v>
      </c>
      <c r="F1622" s="16" t="s">
        <v>5728</v>
      </c>
      <c r="G1622" s="6" t="s">
        <v>37</v>
      </c>
      <c r="H1622" s="6" t="s">
        <v>5729</v>
      </c>
    </row>
    <row r="1623" ht="12.75" customHeight="1">
      <c r="A1623" s="6" t="s">
        <v>5730</v>
      </c>
      <c r="B1623" s="6" t="s">
        <v>5731</v>
      </c>
      <c r="C1623" s="6" t="s">
        <v>5732</v>
      </c>
      <c r="D1623" s="15" t="s">
        <v>123</v>
      </c>
      <c r="E1623" s="15" t="s">
        <v>35</v>
      </c>
      <c r="F1623" s="16" t="s">
        <v>5733</v>
      </c>
      <c r="G1623" s="6" t="s">
        <v>37</v>
      </c>
      <c r="H1623" s="6" t="s">
        <v>5734</v>
      </c>
    </row>
    <row r="1624" ht="12.75" customHeight="1">
      <c r="A1624" s="6" t="s">
        <v>5735</v>
      </c>
      <c r="B1624" s="6" t="s">
        <v>5731</v>
      </c>
      <c r="C1624" s="6" t="s">
        <v>5361</v>
      </c>
      <c r="D1624" s="15" t="s">
        <v>855</v>
      </c>
      <c r="E1624" s="15" t="s">
        <v>35</v>
      </c>
      <c r="F1624" s="16" t="s">
        <v>5736</v>
      </c>
      <c r="G1624" s="6" t="s">
        <v>37</v>
      </c>
      <c r="H1624" s="6" t="s">
        <v>5737</v>
      </c>
    </row>
    <row r="1625" ht="12.75" customHeight="1">
      <c r="A1625" s="6" t="s">
        <v>5738</v>
      </c>
      <c r="B1625" s="6" t="s">
        <v>5731</v>
      </c>
      <c r="C1625" s="6" t="s">
        <v>5739</v>
      </c>
      <c r="D1625" s="15" t="s">
        <v>35</v>
      </c>
      <c r="E1625" s="15" t="s">
        <v>71</v>
      </c>
      <c r="F1625" s="16" t="s">
        <v>5740</v>
      </c>
      <c r="G1625" s="6" t="s">
        <v>37</v>
      </c>
      <c r="H1625" s="6" t="s">
        <v>5741</v>
      </c>
    </row>
    <row r="1626" ht="12.75" customHeight="1">
      <c r="A1626" s="6" t="s">
        <v>5742</v>
      </c>
      <c r="B1626" s="6" t="s">
        <v>5743</v>
      </c>
      <c r="C1626" s="6" t="s">
        <v>5744</v>
      </c>
      <c r="D1626" s="15" t="s">
        <v>55</v>
      </c>
      <c r="E1626" s="15" t="s">
        <v>35</v>
      </c>
      <c r="F1626" s="16" t="s">
        <v>5745</v>
      </c>
      <c r="G1626" s="6" t="s">
        <v>37</v>
      </c>
      <c r="H1626" s="6" t="s">
        <v>5746</v>
      </c>
    </row>
    <row r="1627" ht="12.75" customHeight="1">
      <c r="A1627" s="6" t="s">
        <v>5747</v>
      </c>
      <c r="B1627" s="6" t="s">
        <v>5743</v>
      </c>
      <c r="C1627" s="6" t="s">
        <v>5361</v>
      </c>
      <c r="D1627" s="15" t="s">
        <v>971</v>
      </c>
      <c r="E1627" s="15" t="s">
        <v>35</v>
      </c>
      <c r="F1627" s="16" t="s">
        <v>5748</v>
      </c>
      <c r="G1627" s="6" t="s">
        <v>37</v>
      </c>
      <c r="H1627" s="6" t="s">
        <v>5749</v>
      </c>
    </row>
    <row r="1628" ht="12.75" customHeight="1">
      <c r="A1628" s="6" t="s">
        <v>5750</v>
      </c>
      <c r="B1628" s="6" t="s">
        <v>5743</v>
      </c>
      <c r="C1628" s="6" t="s">
        <v>5751</v>
      </c>
      <c r="D1628" s="15" t="s">
        <v>41</v>
      </c>
      <c r="E1628" s="15" t="s">
        <v>35</v>
      </c>
      <c r="F1628" s="16" t="s">
        <v>5752</v>
      </c>
      <c r="G1628" s="6" t="s">
        <v>37</v>
      </c>
      <c r="H1628" s="6" t="s">
        <v>5753</v>
      </c>
    </row>
    <row r="1629" ht="12.75" customHeight="1">
      <c r="A1629" s="6" t="s">
        <v>5754</v>
      </c>
      <c r="B1629" s="6" t="s">
        <v>5743</v>
      </c>
      <c r="C1629" s="6" t="s">
        <v>912</v>
      </c>
      <c r="D1629" s="15" t="s">
        <v>35</v>
      </c>
      <c r="E1629" s="15" t="s">
        <v>855</v>
      </c>
      <c r="F1629" s="16" t="s">
        <v>5755</v>
      </c>
      <c r="G1629" s="6" t="s">
        <v>37</v>
      </c>
      <c r="H1629" s="6" t="s">
        <v>5756</v>
      </c>
    </row>
    <row r="1630" ht="12.75" customHeight="1">
      <c r="A1630" s="6" t="s">
        <v>5757</v>
      </c>
      <c r="B1630" s="6" t="s">
        <v>5758</v>
      </c>
      <c r="C1630" s="6" t="s">
        <v>33</v>
      </c>
      <c r="D1630" s="15" t="s">
        <v>34</v>
      </c>
      <c r="E1630" s="15" t="s">
        <v>35</v>
      </c>
      <c r="F1630" s="16" t="s">
        <v>5759</v>
      </c>
      <c r="G1630" s="6" t="s">
        <v>37</v>
      </c>
      <c r="H1630" s="6" t="s">
        <v>5760</v>
      </c>
    </row>
    <row r="1631" ht="12.75" customHeight="1">
      <c r="A1631" s="6" t="s">
        <v>5761</v>
      </c>
      <c r="B1631" s="6" t="s">
        <v>5758</v>
      </c>
      <c r="C1631" s="6" t="s">
        <v>5354</v>
      </c>
      <c r="D1631" s="15" t="s">
        <v>1920</v>
      </c>
      <c r="E1631" s="15" t="s">
        <v>35</v>
      </c>
      <c r="F1631" s="16" t="s">
        <v>5762</v>
      </c>
      <c r="G1631" s="6" t="s">
        <v>37</v>
      </c>
      <c r="H1631" s="6" t="s">
        <v>5763</v>
      </c>
    </row>
    <row r="1632" ht="12.75" customHeight="1">
      <c r="A1632" s="6" t="s">
        <v>5764</v>
      </c>
      <c r="B1632" s="6" t="s">
        <v>5758</v>
      </c>
      <c r="C1632" s="6" t="s">
        <v>263</v>
      </c>
      <c r="D1632" s="15" t="s">
        <v>1920</v>
      </c>
      <c r="E1632" s="15" t="s">
        <v>35</v>
      </c>
      <c r="F1632" s="16" t="s">
        <v>5765</v>
      </c>
      <c r="G1632" s="6" t="s">
        <v>37</v>
      </c>
      <c r="H1632" s="6" t="s">
        <v>5766</v>
      </c>
    </row>
    <row r="1633" ht="12.75" customHeight="1">
      <c r="A1633" s="6" t="s">
        <v>5767</v>
      </c>
      <c r="B1633" s="6" t="s">
        <v>5758</v>
      </c>
      <c r="C1633" s="6" t="s">
        <v>5547</v>
      </c>
      <c r="D1633" s="15" t="s">
        <v>41</v>
      </c>
      <c r="E1633" s="15" t="s">
        <v>35</v>
      </c>
      <c r="F1633" s="16" t="s">
        <v>5768</v>
      </c>
      <c r="G1633" s="6" t="s">
        <v>37</v>
      </c>
      <c r="H1633" s="6" t="s">
        <v>5769</v>
      </c>
    </row>
    <row r="1634" ht="12.75" customHeight="1">
      <c r="A1634" s="6" t="s">
        <v>5770</v>
      </c>
      <c r="B1634" s="6" t="s">
        <v>5771</v>
      </c>
      <c r="C1634" s="6" t="s">
        <v>2819</v>
      </c>
      <c r="D1634" s="15" t="s">
        <v>443</v>
      </c>
      <c r="E1634" s="15" t="s">
        <v>35</v>
      </c>
      <c r="F1634" s="16" t="s">
        <v>5772</v>
      </c>
      <c r="G1634" s="6" t="s">
        <v>37</v>
      </c>
      <c r="H1634" s="6" t="s">
        <v>5773</v>
      </c>
    </row>
    <row r="1635" ht="12.75" customHeight="1">
      <c r="A1635" s="6" t="s">
        <v>5774</v>
      </c>
      <c r="B1635" s="6" t="s">
        <v>5771</v>
      </c>
      <c r="C1635" s="6" t="s">
        <v>5627</v>
      </c>
      <c r="D1635" s="15" t="s">
        <v>35</v>
      </c>
      <c r="E1635" s="15" t="s">
        <v>34</v>
      </c>
      <c r="F1635" s="16" t="s">
        <v>5775</v>
      </c>
      <c r="G1635" s="6" t="s">
        <v>37</v>
      </c>
      <c r="H1635" s="6" t="s">
        <v>5776</v>
      </c>
    </row>
    <row r="1636" ht="12.75" customHeight="1">
      <c r="A1636" s="6" t="s">
        <v>5777</v>
      </c>
      <c r="B1636" s="6" t="s">
        <v>5771</v>
      </c>
      <c r="C1636" s="6" t="s">
        <v>5307</v>
      </c>
      <c r="D1636" s="15" t="s">
        <v>1307</v>
      </c>
      <c r="E1636" s="15" t="s">
        <v>35</v>
      </c>
      <c r="F1636" s="16" t="s">
        <v>5778</v>
      </c>
      <c r="G1636" s="6" t="s">
        <v>37</v>
      </c>
      <c r="H1636" s="6" t="s">
        <v>5779</v>
      </c>
    </row>
    <row r="1637" ht="12.75" customHeight="1">
      <c r="A1637" s="6" t="s">
        <v>5780</v>
      </c>
      <c r="B1637" s="6" t="s">
        <v>5771</v>
      </c>
      <c r="C1637" s="6" t="s">
        <v>33</v>
      </c>
      <c r="D1637" s="15" t="s">
        <v>41</v>
      </c>
      <c r="E1637" s="15" t="s">
        <v>35</v>
      </c>
      <c r="F1637" s="16" t="s">
        <v>5781</v>
      </c>
      <c r="G1637" s="6" t="s">
        <v>37</v>
      </c>
      <c r="H1637" s="6" t="s">
        <v>5782</v>
      </c>
    </row>
    <row r="1638" ht="12.75" customHeight="1">
      <c r="A1638" s="6" t="s">
        <v>5783</v>
      </c>
      <c r="B1638" s="6" t="s">
        <v>5771</v>
      </c>
      <c r="C1638" s="6" t="s">
        <v>5784</v>
      </c>
      <c r="D1638" s="15" t="s">
        <v>97</v>
      </c>
      <c r="E1638" s="15" t="s">
        <v>35</v>
      </c>
      <c r="F1638" s="16" t="s">
        <v>5785</v>
      </c>
      <c r="G1638" s="6" t="s">
        <v>37</v>
      </c>
      <c r="H1638" s="6" t="s">
        <v>5786</v>
      </c>
    </row>
    <row r="1639" ht="12.75" customHeight="1">
      <c r="A1639" s="6" t="s">
        <v>5787</v>
      </c>
      <c r="B1639" s="6" t="s">
        <v>5788</v>
      </c>
      <c r="C1639" s="6" t="s">
        <v>5789</v>
      </c>
      <c r="D1639" s="15" t="s">
        <v>35</v>
      </c>
      <c r="E1639" s="15" t="s">
        <v>65</v>
      </c>
      <c r="F1639" s="16" t="s">
        <v>5790</v>
      </c>
      <c r="G1639" s="6" t="s">
        <v>37</v>
      </c>
      <c r="H1639" s="6" t="s">
        <v>5791</v>
      </c>
    </row>
    <row r="1640" ht="12.75" customHeight="1">
      <c r="A1640" s="6" t="s">
        <v>5792</v>
      </c>
      <c r="B1640" s="6" t="s">
        <v>5788</v>
      </c>
      <c r="C1640" s="6" t="s">
        <v>2744</v>
      </c>
      <c r="D1640" s="15" t="s">
        <v>211</v>
      </c>
      <c r="E1640" s="15" t="s">
        <v>35</v>
      </c>
      <c r="F1640" s="16" t="s">
        <v>5793</v>
      </c>
      <c r="G1640" s="6" t="s">
        <v>37</v>
      </c>
      <c r="H1640" s="6" t="s">
        <v>5794</v>
      </c>
    </row>
    <row r="1641" ht="12.75" customHeight="1">
      <c r="A1641" s="6" t="s">
        <v>5795</v>
      </c>
      <c r="B1641" s="6" t="s">
        <v>5788</v>
      </c>
      <c r="C1641" s="6" t="s">
        <v>2019</v>
      </c>
      <c r="D1641" s="15" t="s">
        <v>35</v>
      </c>
      <c r="E1641" s="15" t="s">
        <v>65</v>
      </c>
      <c r="F1641" s="16" t="s">
        <v>5796</v>
      </c>
      <c r="G1641" s="6" t="s">
        <v>37</v>
      </c>
      <c r="H1641" s="6" t="s">
        <v>5797</v>
      </c>
    </row>
    <row r="1642" ht="12.75" customHeight="1">
      <c r="A1642" s="6" t="s">
        <v>5798</v>
      </c>
      <c r="B1642" s="6" t="s">
        <v>5788</v>
      </c>
      <c r="C1642" s="6" t="s">
        <v>5799</v>
      </c>
      <c r="D1642" s="15" t="s">
        <v>65</v>
      </c>
      <c r="E1642" s="15" t="s">
        <v>35</v>
      </c>
      <c r="F1642" s="16" t="s">
        <v>5793</v>
      </c>
      <c r="G1642" s="6" t="s">
        <v>37</v>
      </c>
      <c r="H1642" s="6" t="s">
        <v>5800</v>
      </c>
    </row>
    <row r="1643" ht="12.75" customHeight="1">
      <c r="A1643" s="6" t="s">
        <v>5801</v>
      </c>
      <c r="B1643" s="6" t="s">
        <v>5788</v>
      </c>
      <c r="C1643" s="6" t="s">
        <v>5802</v>
      </c>
      <c r="D1643" s="15" t="s">
        <v>685</v>
      </c>
      <c r="E1643" s="15" t="s">
        <v>35</v>
      </c>
      <c r="F1643" s="16" t="s">
        <v>5803</v>
      </c>
      <c r="G1643" s="6" t="s">
        <v>37</v>
      </c>
      <c r="H1643" s="6" t="s">
        <v>5804</v>
      </c>
    </row>
    <row r="1644" ht="12.75" customHeight="1">
      <c r="A1644" s="6" t="s">
        <v>5805</v>
      </c>
      <c r="B1644" s="6" t="s">
        <v>5788</v>
      </c>
      <c r="C1644" s="6" t="s">
        <v>5806</v>
      </c>
      <c r="D1644" s="15" t="s">
        <v>443</v>
      </c>
      <c r="E1644" s="15" t="s">
        <v>35</v>
      </c>
      <c r="F1644" s="16" t="s">
        <v>5807</v>
      </c>
      <c r="G1644" s="6" t="s">
        <v>37</v>
      </c>
      <c r="H1644" s="6" t="s">
        <v>5808</v>
      </c>
    </row>
    <row r="1645" ht="12.75" customHeight="1">
      <c r="A1645" s="6" t="s">
        <v>5809</v>
      </c>
      <c r="B1645" s="6" t="s">
        <v>5810</v>
      </c>
      <c r="C1645" s="6" t="s">
        <v>5146</v>
      </c>
      <c r="D1645" s="15" t="s">
        <v>34</v>
      </c>
      <c r="E1645" s="15" t="s">
        <v>35</v>
      </c>
      <c r="F1645" s="16" t="s">
        <v>5811</v>
      </c>
      <c r="G1645" s="6" t="s">
        <v>37</v>
      </c>
      <c r="H1645" s="6" t="s">
        <v>5812</v>
      </c>
    </row>
    <row r="1646" ht="12.75" customHeight="1">
      <c r="A1646" s="6" t="s">
        <v>5813</v>
      </c>
      <c r="B1646" s="6" t="s">
        <v>5810</v>
      </c>
      <c r="C1646" s="6" t="s">
        <v>5814</v>
      </c>
      <c r="D1646" s="15" t="s">
        <v>2563</v>
      </c>
      <c r="E1646" s="15" t="s">
        <v>35</v>
      </c>
      <c r="F1646" s="16" t="s">
        <v>5815</v>
      </c>
      <c r="G1646" s="6" t="s">
        <v>37</v>
      </c>
      <c r="H1646" s="6" t="s">
        <v>5816</v>
      </c>
    </row>
    <row r="1647" ht="12.75" customHeight="1">
      <c r="A1647" s="6" t="s">
        <v>5817</v>
      </c>
      <c r="B1647" s="6" t="s">
        <v>5810</v>
      </c>
      <c r="C1647" s="6" t="s">
        <v>106</v>
      </c>
      <c r="D1647" s="15" t="s">
        <v>443</v>
      </c>
      <c r="E1647" s="15" t="s">
        <v>35</v>
      </c>
      <c r="F1647" s="16" t="s">
        <v>5818</v>
      </c>
      <c r="G1647" s="6" t="s">
        <v>37</v>
      </c>
      <c r="H1647" s="6" t="s">
        <v>5819</v>
      </c>
    </row>
    <row r="1648" ht="12.75" customHeight="1">
      <c r="A1648" s="6" t="s">
        <v>5820</v>
      </c>
      <c r="B1648" s="6" t="s">
        <v>5810</v>
      </c>
      <c r="C1648" s="6" t="s">
        <v>5627</v>
      </c>
      <c r="D1648" s="15" t="s">
        <v>35</v>
      </c>
      <c r="E1648" s="15" t="s">
        <v>335</v>
      </c>
      <c r="F1648" s="16" t="s">
        <v>5821</v>
      </c>
      <c r="G1648" s="6" t="s">
        <v>37</v>
      </c>
      <c r="H1648" s="6" t="s">
        <v>5822</v>
      </c>
    </row>
    <row r="1649" ht="12.75" customHeight="1">
      <c r="A1649" s="6" t="s">
        <v>5823</v>
      </c>
      <c r="B1649" s="6" t="s">
        <v>5810</v>
      </c>
      <c r="C1649" s="6" t="s">
        <v>230</v>
      </c>
      <c r="D1649" s="15" t="s">
        <v>71</v>
      </c>
      <c r="E1649" s="15" t="s">
        <v>35</v>
      </c>
      <c r="F1649" s="16" t="s">
        <v>5824</v>
      </c>
      <c r="G1649" s="6" t="s">
        <v>37</v>
      </c>
      <c r="H1649" s="6" t="s">
        <v>5825</v>
      </c>
    </row>
    <row r="1650" ht="12.75" customHeight="1">
      <c r="A1650" s="6" t="s">
        <v>5826</v>
      </c>
      <c r="B1650" s="6" t="s">
        <v>5810</v>
      </c>
      <c r="C1650" s="6" t="s">
        <v>5584</v>
      </c>
      <c r="D1650" s="15" t="s">
        <v>50</v>
      </c>
      <c r="E1650" s="15" t="s">
        <v>35</v>
      </c>
      <c r="F1650" s="16" t="s">
        <v>5827</v>
      </c>
      <c r="G1650" s="6" t="s">
        <v>37</v>
      </c>
      <c r="H1650" s="6" t="s">
        <v>5828</v>
      </c>
    </row>
    <row r="1651" ht="12.75" customHeight="1">
      <c r="A1651" s="6" t="s">
        <v>5829</v>
      </c>
      <c r="B1651" s="6" t="s">
        <v>5830</v>
      </c>
      <c r="C1651" s="6" t="s">
        <v>3381</v>
      </c>
      <c r="D1651" s="15" t="s">
        <v>5831</v>
      </c>
      <c r="E1651" s="15" t="s">
        <v>35</v>
      </c>
      <c r="F1651" s="16" t="s">
        <v>5832</v>
      </c>
      <c r="G1651" s="6" t="s">
        <v>37</v>
      </c>
      <c r="H1651" s="6" t="s">
        <v>5833</v>
      </c>
    </row>
    <row r="1652" ht="12.75" customHeight="1">
      <c r="A1652" s="6" t="s">
        <v>5834</v>
      </c>
      <c r="B1652" s="6" t="s">
        <v>5830</v>
      </c>
      <c r="C1652" s="6" t="s">
        <v>3328</v>
      </c>
      <c r="D1652" s="15" t="s">
        <v>35</v>
      </c>
      <c r="E1652" s="15" t="s">
        <v>335</v>
      </c>
      <c r="F1652" s="16" t="s">
        <v>5835</v>
      </c>
      <c r="G1652" s="6" t="s">
        <v>37</v>
      </c>
      <c r="H1652" s="6" t="s">
        <v>5836</v>
      </c>
    </row>
    <row r="1653" ht="12.75" customHeight="1">
      <c r="A1653" s="6" t="s">
        <v>5837</v>
      </c>
      <c r="B1653" s="6" t="s">
        <v>5830</v>
      </c>
      <c r="C1653" s="6" t="s">
        <v>106</v>
      </c>
      <c r="D1653" s="15" t="s">
        <v>443</v>
      </c>
      <c r="E1653" s="15" t="s">
        <v>35</v>
      </c>
      <c r="F1653" s="16" t="s">
        <v>5838</v>
      </c>
      <c r="G1653" s="6" t="s">
        <v>37</v>
      </c>
      <c r="H1653" s="6" t="s">
        <v>5839</v>
      </c>
    </row>
    <row r="1654" ht="12.75" customHeight="1">
      <c r="A1654" s="6" t="s">
        <v>5840</v>
      </c>
      <c r="B1654" s="6" t="s">
        <v>5830</v>
      </c>
      <c r="C1654" s="6" t="s">
        <v>5146</v>
      </c>
      <c r="D1654" s="15" t="s">
        <v>123</v>
      </c>
      <c r="E1654" s="15" t="s">
        <v>35</v>
      </c>
      <c r="F1654" s="16" t="s">
        <v>5841</v>
      </c>
      <c r="G1654" s="6" t="s">
        <v>37</v>
      </c>
      <c r="H1654" s="6" t="s">
        <v>5842</v>
      </c>
    </row>
    <row r="1655" ht="12.75" customHeight="1">
      <c r="A1655" s="6" t="s">
        <v>5843</v>
      </c>
      <c r="B1655" s="6" t="s">
        <v>5830</v>
      </c>
      <c r="C1655" s="6" t="s">
        <v>5307</v>
      </c>
      <c r="D1655" s="15" t="s">
        <v>335</v>
      </c>
      <c r="E1655" s="15" t="s">
        <v>35</v>
      </c>
      <c r="F1655" s="16" t="s">
        <v>3262</v>
      </c>
      <c r="G1655" s="6" t="s">
        <v>37</v>
      </c>
      <c r="H1655" s="6" t="s">
        <v>5844</v>
      </c>
    </row>
    <row r="1656" ht="12.75" customHeight="1">
      <c r="A1656" s="6" t="s">
        <v>5845</v>
      </c>
      <c r="B1656" s="6" t="s">
        <v>5830</v>
      </c>
      <c r="C1656" s="6" t="s">
        <v>2988</v>
      </c>
      <c r="D1656" s="15" t="s">
        <v>35</v>
      </c>
      <c r="E1656" s="15" t="s">
        <v>5846</v>
      </c>
      <c r="F1656" s="16" t="s">
        <v>335</v>
      </c>
      <c r="G1656" s="6" t="s">
        <v>37</v>
      </c>
      <c r="H1656" s="6" t="s">
        <v>5847</v>
      </c>
    </row>
    <row r="1657" ht="12.75" customHeight="1">
      <c r="A1657" s="6" t="s">
        <v>5848</v>
      </c>
      <c r="B1657" s="6" t="s">
        <v>5830</v>
      </c>
      <c r="C1657" s="6" t="s">
        <v>92</v>
      </c>
      <c r="D1657" s="15" t="s">
        <v>34</v>
      </c>
      <c r="E1657" s="15" t="s">
        <v>35</v>
      </c>
      <c r="F1657" s="16" t="s">
        <v>3262</v>
      </c>
      <c r="G1657" s="6" t="s">
        <v>37</v>
      </c>
      <c r="H1657" s="6" t="s">
        <v>5849</v>
      </c>
    </row>
    <row r="1658" ht="12.75" customHeight="1">
      <c r="A1658" s="6" t="s">
        <v>5850</v>
      </c>
      <c r="B1658" s="6" t="s">
        <v>5830</v>
      </c>
      <c r="C1658" s="6" t="s">
        <v>2988</v>
      </c>
      <c r="D1658" s="15" t="s">
        <v>35</v>
      </c>
      <c r="E1658" s="15" t="s">
        <v>34</v>
      </c>
      <c r="F1658" s="16" t="s">
        <v>34</v>
      </c>
      <c r="G1658" s="6" t="s">
        <v>37</v>
      </c>
      <c r="H1658" s="6" t="s">
        <v>5851</v>
      </c>
    </row>
    <row r="1659" ht="12.75" customHeight="1">
      <c r="A1659" s="6" t="s">
        <v>5852</v>
      </c>
      <c r="B1659" s="6" t="s">
        <v>5830</v>
      </c>
      <c r="C1659" s="6" t="s">
        <v>5853</v>
      </c>
      <c r="D1659" s="15" t="s">
        <v>719</v>
      </c>
      <c r="E1659" s="15" t="s">
        <v>35</v>
      </c>
      <c r="F1659" s="16" t="s">
        <v>3262</v>
      </c>
      <c r="G1659" s="6" t="s">
        <v>37</v>
      </c>
      <c r="H1659" s="6" t="s">
        <v>5854</v>
      </c>
    </row>
    <row r="1660" ht="12.75" customHeight="1">
      <c r="A1660" s="6" t="s">
        <v>5855</v>
      </c>
      <c r="B1660" s="6" t="s">
        <v>5830</v>
      </c>
      <c r="C1660" s="6" t="s">
        <v>2988</v>
      </c>
      <c r="D1660" s="15" t="s">
        <v>35</v>
      </c>
      <c r="E1660" s="15" t="s">
        <v>719</v>
      </c>
      <c r="F1660" s="16" t="s">
        <v>719</v>
      </c>
      <c r="G1660" s="6" t="s">
        <v>37</v>
      </c>
      <c r="H1660" s="6" t="s">
        <v>5856</v>
      </c>
    </row>
    <row r="1661" ht="12.75" customHeight="1">
      <c r="A1661" s="6" t="s">
        <v>5857</v>
      </c>
      <c r="B1661" s="6" t="s">
        <v>5830</v>
      </c>
      <c r="C1661" s="6" t="s">
        <v>397</v>
      </c>
      <c r="D1661" s="15" t="s">
        <v>119</v>
      </c>
      <c r="E1661" s="15" t="s">
        <v>35</v>
      </c>
      <c r="F1661" s="16" t="s">
        <v>3262</v>
      </c>
      <c r="G1661" s="6" t="s">
        <v>37</v>
      </c>
      <c r="H1661" s="6" t="s">
        <v>5858</v>
      </c>
    </row>
    <row r="1662" ht="12.75" customHeight="1">
      <c r="A1662" s="6" t="s">
        <v>5859</v>
      </c>
      <c r="B1662" s="6" t="s">
        <v>5830</v>
      </c>
      <c r="C1662" s="6" t="s">
        <v>2988</v>
      </c>
      <c r="D1662" s="15" t="s">
        <v>35</v>
      </c>
      <c r="E1662" s="15" t="s">
        <v>119</v>
      </c>
      <c r="F1662" s="16" t="s">
        <v>119</v>
      </c>
      <c r="G1662" s="6" t="s">
        <v>37</v>
      </c>
      <c r="H1662" s="6" t="s">
        <v>5860</v>
      </c>
    </row>
    <row r="1663" ht="12.75" customHeight="1">
      <c r="A1663" s="6" t="s">
        <v>5861</v>
      </c>
      <c r="B1663" s="6" t="s">
        <v>5830</v>
      </c>
      <c r="C1663" s="6" t="s">
        <v>5361</v>
      </c>
      <c r="D1663" s="15" t="s">
        <v>46</v>
      </c>
      <c r="E1663" s="15" t="s">
        <v>35</v>
      </c>
      <c r="F1663" s="16" t="s">
        <v>3262</v>
      </c>
      <c r="G1663" s="6" t="s">
        <v>37</v>
      </c>
      <c r="H1663" s="6" t="s">
        <v>5862</v>
      </c>
    </row>
    <row r="1664" ht="12.75" customHeight="1">
      <c r="A1664" s="6" t="s">
        <v>5863</v>
      </c>
      <c r="B1664" s="6" t="s">
        <v>5830</v>
      </c>
      <c r="C1664" s="6" t="s">
        <v>2988</v>
      </c>
      <c r="D1664" s="15" t="s">
        <v>35</v>
      </c>
      <c r="E1664" s="15" t="s">
        <v>46</v>
      </c>
      <c r="F1664" s="16" t="s">
        <v>46</v>
      </c>
      <c r="G1664" s="6" t="s">
        <v>37</v>
      </c>
      <c r="H1664" s="6" t="s">
        <v>5864</v>
      </c>
    </row>
    <row r="1665" ht="12.75" customHeight="1">
      <c r="A1665" s="6" t="s">
        <v>5865</v>
      </c>
      <c r="B1665" s="6" t="s">
        <v>5830</v>
      </c>
      <c r="C1665" s="6" t="s">
        <v>5361</v>
      </c>
      <c r="D1665" s="15" t="s">
        <v>119</v>
      </c>
      <c r="E1665" s="15" t="s">
        <v>35</v>
      </c>
      <c r="F1665" s="16" t="s">
        <v>3262</v>
      </c>
      <c r="G1665" s="6" t="s">
        <v>37</v>
      </c>
      <c r="H1665" s="6" t="s">
        <v>5866</v>
      </c>
    </row>
    <row r="1666" ht="12.75" customHeight="1">
      <c r="A1666" s="6" t="s">
        <v>5867</v>
      </c>
      <c r="B1666" s="6" t="s">
        <v>5830</v>
      </c>
      <c r="C1666" s="6" t="s">
        <v>2988</v>
      </c>
      <c r="D1666" s="15" t="s">
        <v>35</v>
      </c>
      <c r="E1666" s="15" t="s">
        <v>119</v>
      </c>
      <c r="F1666" s="16" t="s">
        <v>119</v>
      </c>
      <c r="G1666" s="6" t="s">
        <v>37</v>
      </c>
      <c r="H1666" s="6" t="s">
        <v>5868</v>
      </c>
    </row>
    <row r="1667" ht="12.75" customHeight="1">
      <c r="A1667" s="6" t="s">
        <v>5869</v>
      </c>
      <c r="B1667" s="6" t="s">
        <v>5870</v>
      </c>
      <c r="C1667" s="6" t="s">
        <v>5789</v>
      </c>
      <c r="D1667" s="15" t="s">
        <v>35</v>
      </c>
      <c r="E1667" s="15" t="s">
        <v>97</v>
      </c>
      <c r="F1667" s="16" t="s">
        <v>97</v>
      </c>
      <c r="G1667" s="6" t="s">
        <v>37</v>
      </c>
      <c r="H1667" s="6" t="s">
        <v>5871</v>
      </c>
    </row>
    <row r="1668" ht="12.75" customHeight="1">
      <c r="A1668" s="6" t="s">
        <v>5872</v>
      </c>
      <c r="B1668" s="6" t="s">
        <v>5870</v>
      </c>
      <c r="C1668" s="6" t="s">
        <v>5584</v>
      </c>
      <c r="D1668" s="15" t="s">
        <v>855</v>
      </c>
      <c r="E1668" s="15" t="s">
        <v>35</v>
      </c>
      <c r="F1668" s="16" t="s">
        <v>34</v>
      </c>
      <c r="G1668" s="6" t="s">
        <v>37</v>
      </c>
      <c r="H1668" s="6" t="s">
        <v>5873</v>
      </c>
    </row>
    <row r="1669" ht="12.75" customHeight="1">
      <c r="A1669" s="6" t="s">
        <v>5874</v>
      </c>
      <c r="B1669" s="6" t="s">
        <v>5870</v>
      </c>
      <c r="C1669" s="6" t="s">
        <v>5875</v>
      </c>
      <c r="D1669" s="15" t="s">
        <v>50</v>
      </c>
      <c r="E1669" s="15" t="s">
        <v>35</v>
      </c>
      <c r="F1669" s="16" t="s">
        <v>3262</v>
      </c>
      <c r="G1669" s="6" t="s">
        <v>37</v>
      </c>
      <c r="H1669" s="6" t="s">
        <v>5876</v>
      </c>
    </row>
    <row r="1670" ht="12.75" customHeight="1">
      <c r="A1670" s="6" t="s">
        <v>5877</v>
      </c>
      <c r="B1670" s="6" t="s">
        <v>5870</v>
      </c>
      <c r="C1670" s="6" t="s">
        <v>2988</v>
      </c>
      <c r="D1670" s="15" t="s">
        <v>35</v>
      </c>
      <c r="E1670" s="15" t="s">
        <v>41</v>
      </c>
      <c r="F1670" s="16" t="s">
        <v>50</v>
      </c>
      <c r="G1670" s="6" t="s">
        <v>37</v>
      </c>
      <c r="H1670" s="6" t="s">
        <v>5878</v>
      </c>
    </row>
    <row r="1671" ht="12.75" customHeight="1">
      <c r="A1671" s="6" t="s">
        <v>5879</v>
      </c>
      <c r="B1671" s="6" t="s">
        <v>5870</v>
      </c>
      <c r="C1671" s="6" t="s">
        <v>5789</v>
      </c>
      <c r="D1671" s="15" t="s">
        <v>35</v>
      </c>
      <c r="E1671" s="15" t="s">
        <v>97</v>
      </c>
      <c r="F1671" s="16" t="s">
        <v>97</v>
      </c>
      <c r="G1671" s="6" t="s">
        <v>37</v>
      </c>
      <c r="H1671" s="6" t="s">
        <v>5880</v>
      </c>
    </row>
    <row r="1672" ht="12.75" customHeight="1">
      <c r="A1672" s="6" t="s">
        <v>5881</v>
      </c>
      <c r="B1672" s="6" t="s">
        <v>5870</v>
      </c>
      <c r="C1672" s="6" t="s">
        <v>230</v>
      </c>
      <c r="D1672" s="15" t="s">
        <v>46</v>
      </c>
      <c r="E1672" s="15" t="s">
        <v>35</v>
      </c>
      <c r="F1672" s="16" t="s">
        <v>41</v>
      </c>
      <c r="G1672" s="6" t="s">
        <v>37</v>
      </c>
      <c r="H1672" s="6" t="s">
        <v>5882</v>
      </c>
    </row>
    <row r="1673" ht="12.75" customHeight="1">
      <c r="A1673" s="6" t="s">
        <v>5883</v>
      </c>
      <c r="B1673" s="6" t="s">
        <v>5870</v>
      </c>
      <c r="C1673" s="6" t="s">
        <v>5199</v>
      </c>
      <c r="D1673" s="15" t="s">
        <v>35</v>
      </c>
      <c r="E1673" s="15" t="s">
        <v>71</v>
      </c>
      <c r="F1673" s="16" t="s">
        <v>1097</v>
      </c>
      <c r="G1673" s="6" t="s">
        <v>37</v>
      </c>
      <c r="H1673" s="6" t="s">
        <v>5884</v>
      </c>
    </row>
    <row r="1674" ht="12.75" customHeight="1">
      <c r="A1674" s="6" t="s">
        <v>5885</v>
      </c>
      <c r="B1674" s="6" t="s">
        <v>5870</v>
      </c>
      <c r="C1674" s="6" t="s">
        <v>5307</v>
      </c>
      <c r="D1674" s="15" t="s">
        <v>71</v>
      </c>
      <c r="E1674" s="15" t="s">
        <v>35</v>
      </c>
      <c r="F1674" s="16" t="s">
        <v>41</v>
      </c>
      <c r="G1674" s="6" t="s">
        <v>37</v>
      </c>
      <c r="H1674" s="6" t="s">
        <v>5886</v>
      </c>
    </row>
    <row r="1675" ht="12.75" customHeight="1">
      <c r="A1675" s="6" t="s">
        <v>5887</v>
      </c>
      <c r="B1675" s="6" t="s">
        <v>5888</v>
      </c>
      <c r="C1675" s="6" t="s">
        <v>5889</v>
      </c>
      <c r="D1675" s="15" t="s">
        <v>582</v>
      </c>
      <c r="E1675" s="15" t="s">
        <v>35</v>
      </c>
      <c r="F1675" s="16" t="s">
        <v>3262</v>
      </c>
      <c r="G1675" s="6" t="s">
        <v>37</v>
      </c>
      <c r="H1675" s="6" t="s">
        <v>5890</v>
      </c>
    </row>
    <row r="1676" ht="12.75" customHeight="1">
      <c r="A1676" s="6" t="s">
        <v>5891</v>
      </c>
      <c r="B1676" s="6" t="s">
        <v>5888</v>
      </c>
      <c r="C1676" s="6" t="s">
        <v>2988</v>
      </c>
      <c r="D1676" s="15" t="s">
        <v>35</v>
      </c>
      <c r="E1676" s="15" t="s">
        <v>2563</v>
      </c>
      <c r="F1676" s="16" t="s">
        <v>582</v>
      </c>
      <c r="G1676" s="6" t="s">
        <v>37</v>
      </c>
      <c r="H1676" s="6" t="s">
        <v>5892</v>
      </c>
    </row>
    <row r="1677" ht="12.75" customHeight="1">
      <c r="A1677" s="6" t="s">
        <v>5893</v>
      </c>
      <c r="B1677" s="6" t="s">
        <v>5888</v>
      </c>
      <c r="C1677" s="6" t="s">
        <v>5894</v>
      </c>
      <c r="D1677" s="15" t="s">
        <v>35</v>
      </c>
      <c r="E1677" s="15" t="s">
        <v>65</v>
      </c>
      <c r="F1677" s="16" t="s">
        <v>65</v>
      </c>
      <c r="G1677" s="6" t="s">
        <v>37</v>
      </c>
      <c r="H1677" s="6" t="s">
        <v>5895</v>
      </c>
    </row>
    <row r="1678" ht="12.75" customHeight="1">
      <c r="A1678" s="6" t="s">
        <v>5896</v>
      </c>
      <c r="B1678" s="6" t="s">
        <v>5888</v>
      </c>
      <c r="C1678" s="6" t="s">
        <v>784</v>
      </c>
      <c r="D1678" s="15" t="s">
        <v>97</v>
      </c>
      <c r="E1678" s="15" t="s">
        <v>35</v>
      </c>
      <c r="F1678" s="16" t="s">
        <v>251</v>
      </c>
      <c r="G1678" s="6" t="s">
        <v>37</v>
      </c>
      <c r="H1678" s="6" t="s">
        <v>5897</v>
      </c>
    </row>
    <row r="1679" ht="12.75" customHeight="1">
      <c r="A1679" s="6" t="s">
        <v>5898</v>
      </c>
      <c r="B1679" s="6" t="s">
        <v>5899</v>
      </c>
      <c r="C1679" s="6" t="s">
        <v>230</v>
      </c>
      <c r="D1679" s="15" t="s">
        <v>71</v>
      </c>
      <c r="E1679" s="15" t="s">
        <v>35</v>
      </c>
      <c r="F1679" s="16" t="s">
        <v>71</v>
      </c>
      <c r="G1679" s="6" t="s">
        <v>37</v>
      </c>
      <c r="H1679" s="6" t="s">
        <v>5900</v>
      </c>
    </row>
    <row r="1680" ht="12.75" customHeight="1">
      <c r="A1680" s="6" t="s">
        <v>5901</v>
      </c>
      <c r="B1680" s="6" t="s">
        <v>5899</v>
      </c>
      <c r="C1680" s="6" t="s">
        <v>33</v>
      </c>
      <c r="D1680" s="15" t="s">
        <v>5902</v>
      </c>
      <c r="E1680" s="15" t="s">
        <v>35</v>
      </c>
      <c r="F1680" s="16" t="s">
        <v>5903</v>
      </c>
      <c r="G1680" s="6" t="s">
        <v>37</v>
      </c>
      <c r="H1680" s="6" t="s">
        <v>5904</v>
      </c>
    </row>
    <row r="1681" ht="12.75" customHeight="1">
      <c r="A1681" s="6" t="s">
        <v>5905</v>
      </c>
      <c r="B1681" s="6" t="s">
        <v>5899</v>
      </c>
      <c r="C1681" s="6" t="s">
        <v>3328</v>
      </c>
      <c r="D1681" s="15" t="s">
        <v>35</v>
      </c>
      <c r="E1681" s="15" t="s">
        <v>5906</v>
      </c>
      <c r="F1681" s="16" t="s">
        <v>5907</v>
      </c>
      <c r="G1681" s="6" t="s">
        <v>37</v>
      </c>
      <c r="H1681" s="6" t="s">
        <v>5908</v>
      </c>
    </row>
    <row r="1682" ht="12.75" customHeight="1">
      <c r="A1682" s="6" t="s">
        <v>5909</v>
      </c>
      <c r="B1682" s="6" t="s">
        <v>5899</v>
      </c>
      <c r="C1682" s="6" t="s">
        <v>5584</v>
      </c>
      <c r="D1682" s="15" t="s">
        <v>855</v>
      </c>
      <c r="E1682" s="15" t="s">
        <v>35</v>
      </c>
      <c r="F1682" s="16" t="s">
        <v>5910</v>
      </c>
      <c r="G1682" s="6" t="s">
        <v>37</v>
      </c>
      <c r="H1682" s="6" t="s">
        <v>5911</v>
      </c>
    </row>
    <row r="1683" ht="12.75" customHeight="1">
      <c r="A1683" s="6" t="s">
        <v>5912</v>
      </c>
      <c r="B1683" s="6" t="s">
        <v>5899</v>
      </c>
      <c r="C1683" s="6" t="s">
        <v>188</v>
      </c>
      <c r="D1683" s="15" t="s">
        <v>35</v>
      </c>
      <c r="E1683" s="15" t="s">
        <v>97</v>
      </c>
      <c r="F1683" s="16" t="s">
        <v>5913</v>
      </c>
      <c r="G1683" s="6" t="s">
        <v>37</v>
      </c>
      <c r="H1683" s="6" t="s">
        <v>5914</v>
      </c>
    </row>
    <row r="1684" ht="12.75" customHeight="1">
      <c r="A1684" s="6" t="s">
        <v>5915</v>
      </c>
      <c r="B1684" s="6" t="s">
        <v>5899</v>
      </c>
      <c r="C1684" s="6" t="s">
        <v>5916</v>
      </c>
      <c r="D1684" s="15" t="s">
        <v>685</v>
      </c>
      <c r="E1684" s="15" t="s">
        <v>35</v>
      </c>
      <c r="F1684" s="16" t="s">
        <v>5917</v>
      </c>
      <c r="G1684" s="6" t="s">
        <v>37</v>
      </c>
      <c r="H1684" s="6" t="s">
        <v>5918</v>
      </c>
    </row>
    <row r="1685" ht="12.75" customHeight="1">
      <c r="A1685" s="6" t="s">
        <v>5919</v>
      </c>
      <c r="B1685" s="6" t="s">
        <v>5899</v>
      </c>
      <c r="C1685" s="6" t="s">
        <v>5206</v>
      </c>
      <c r="D1685" s="15" t="s">
        <v>502</v>
      </c>
      <c r="E1685" s="15" t="s">
        <v>35</v>
      </c>
      <c r="F1685" s="16" t="s">
        <v>5920</v>
      </c>
      <c r="G1685" s="6" t="s">
        <v>37</v>
      </c>
      <c r="H1685" s="6" t="s">
        <v>5921</v>
      </c>
    </row>
    <row r="1686" ht="12.75" customHeight="1">
      <c r="A1686" s="6" t="s">
        <v>5922</v>
      </c>
      <c r="B1686" s="6" t="s">
        <v>5923</v>
      </c>
      <c r="C1686" s="6" t="s">
        <v>5924</v>
      </c>
      <c r="D1686" s="15" t="s">
        <v>50</v>
      </c>
      <c r="E1686" s="15" t="s">
        <v>35</v>
      </c>
      <c r="F1686" s="16" t="s">
        <v>5925</v>
      </c>
      <c r="G1686" s="6" t="s">
        <v>37</v>
      </c>
      <c r="H1686" s="6" t="s">
        <v>5926</v>
      </c>
    </row>
    <row r="1687" ht="12.75" customHeight="1">
      <c r="A1687" s="6" t="s">
        <v>5927</v>
      </c>
      <c r="B1687" s="6" t="s">
        <v>5923</v>
      </c>
      <c r="C1687" s="6" t="s">
        <v>5789</v>
      </c>
      <c r="D1687" s="15" t="s">
        <v>35</v>
      </c>
      <c r="E1687" s="15" t="s">
        <v>71</v>
      </c>
      <c r="F1687" s="16" t="s">
        <v>5928</v>
      </c>
      <c r="G1687" s="6" t="s">
        <v>37</v>
      </c>
      <c r="H1687" s="6" t="s">
        <v>5929</v>
      </c>
    </row>
    <row r="1688" ht="12.75" customHeight="1">
      <c r="A1688" s="6" t="s">
        <v>5930</v>
      </c>
      <c r="B1688" s="6" t="s">
        <v>5923</v>
      </c>
      <c r="C1688" s="6" t="s">
        <v>92</v>
      </c>
      <c r="D1688" s="15" t="s">
        <v>41</v>
      </c>
      <c r="E1688" s="15" t="s">
        <v>35</v>
      </c>
      <c r="F1688" s="16" t="s">
        <v>5931</v>
      </c>
      <c r="G1688" s="6" t="s">
        <v>37</v>
      </c>
      <c r="H1688" s="6" t="s">
        <v>5932</v>
      </c>
    </row>
    <row r="1689" ht="12.75" customHeight="1">
      <c r="A1689" s="6" t="s">
        <v>5933</v>
      </c>
      <c r="B1689" s="6" t="s">
        <v>5923</v>
      </c>
      <c r="C1689" s="6" t="s">
        <v>33</v>
      </c>
      <c r="D1689" s="15" t="s">
        <v>5934</v>
      </c>
      <c r="E1689" s="15" t="s">
        <v>35</v>
      </c>
      <c r="F1689" s="16" t="s">
        <v>5935</v>
      </c>
      <c r="G1689" s="6" t="s">
        <v>37</v>
      </c>
      <c r="H1689" s="6" t="s">
        <v>5936</v>
      </c>
    </row>
    <row r="1690" ht="12.75" customHeight="1">
      <c r="A1690" s="6" t="s">
        <v>5937</v>
      </c>
      <c r="B1690" s="6" t="s">
        <v>5938</v>
      </c>
      <c r="C1690" s="6" t="s">
        <v>5939</v>
      </c>
      <c r="D1690" s="15" t="s">
        <v>35</v>
      </c>
      <c r="E1690" s="15" t="s">
        <v>71</v>
      </c>
      <c r="F1690" s="16" t="s">
        <v>5940</v>
      </c>
      <c r="G1690" s="6" t="s">
        <v>37</v>
      </c>
      <c r="H1690" s="6" t="s">
        <v>5941</v>
      </c>
    </row>
    <row r="1691" ht="12.75" customHeight="1">
      <c r="A1691" s="6" t="s">
        <v>5942</v>
      </c>
      <c r="B1691" s="6" t="s">
        <v>5938</v>
      </c>
      <c r="C1691" s="6" t="s">
        <v>2744</v>
      </c>
      <c r="D1691" s="15" t="s">
        <v>5943</v>
      </c>
      <c r="E1691" s="15" t="s">
        <v>35</v>
      </c>
      <c r="F1691" s="16" t="s">
        <v>5944</v>
      </c>
      <c r="G1691" s="6" t="s">
        <v>37</v>
      </c>
      <c r="H1691" s="6" t="s">
        <v>5945</v>
      </c>
    </row>
    <row r="1692" ht="12.75" customHeight="1">
      <c r="A1692" s="6" t="s">
        <v>5946</v>
      </c>
      <c r="B1692" s="6" t="s">
        <v>5938</v>
      </c>
      <c r="C1692" s="6" t="s">
        <v>5584</v>
      </c>
      <c r="D1692" s="15" t="s">
        <v>855</v>
      </c>
      <c r="E1692" s="15" t="s">
        <v>35</v>
      </c>
      <c r="F1692" s="16" t="s">
        <v>5947</v>
      </c>
      <c r="G1692" s="6" t="s">
        <v>37</v>
      </c>
      <c r="H1692" s="6" t="s">
        <v>5948</v>
      </c>
    </row>
    <row r="1693" ht="12.75" customHeight="1">
      <c r="A1693" s="6" t="s">
        <v>5949</v>
      </c>
      <c r="B1693" s="6" t="s">
        <v>5938</v>
      </c>
      <c r="C1693" s="6" t="s">
        <v>5950</v>
      </c>
      <c r="D1693" s="15" t="s">
        <v>35</v>
      </c>
      <c r="E1693" s="15" t="s">
        <v>65</v>
      </c>
      <c r="F1693" s="16" t="s">
        <v>5951</v>
      </c>
      <c r="G1693" s="6" t="s">
        <v>37</v>
      </c>
      <c r="H1693" s="6" t="s">
        <v>5952</v>
      </c>
    </row>
    <row r="1694" ht="12.75" customHeight="1">
      <c r="A1694" s="6" t="s">
        <v>5953</v>
      </c>
      <c r="B1694" s="6" t="s">
        <v>5938</v>
      </c>
      <c r="C1694" s="6" t="s">
        <v>5894</v>
      </c>
      <c r="D1694" s="15" t="s">
        <v>35</v>
      </c>
      <c r="E1694" s="15" t="s">
        <v>256</v>
      </c>
      <c r="F1694" s="16" t="s">
        <v>5954</v>
      </c>
      <c r="G1694" s="6" t="s">
        <v>37</v>
      </c>
      <c r="H1694" s="6" t="s">
        <v>5955</v>
      </c>
    </row>
    <row r="1695" ht="12.75" customHeight="1">
      <c r="A1695" s="6" t="s">
        <v>5956</v>
      </c>
      <c r="B1695" s="6" t="s">
        <v>5938</v>
      </c>
      <c r="C1695" s="6" t="s">
        <v>221</v>
      </c>
      <c r="D1695" s="15" t="s">
        <v>222</v>
      </c>
      <c r="E1695" s="15" t="s">
        <v>35</v>
      </c>
      <c r="F1695" s="16" t="s">
        <v>5957</v>
      </c>
      <c r="G1695" s="6" t="s">
        <v>37</v>
      </c>
      <c r="H1695" s="6" t="s">
        <v>5958</v>
      </c>
    </row>
    <row r="1696" ht="12.75" customHeight="1">
      <c r="A1696" s="6" t="s">
        <v>5959</v>
      </c>
      <c r="B1696" s="6" t="s">
        <v>5938</v>
      </c>
      <c r="C1696" s="6" t="s">
        <v>5960</v>
      </c>
      <c r="D1696" s="15" t="s">
        <v>35</v>
      </c>
      <c r="E1696" s="15" t="s">
        <v>256</v>
      </c>
      <c r="F1696" s="16" t="s">
        <v>5961</v>
      </c>
      <c r="G1696" s="6" t="s">
        <v>37</v>
      </c>
      <c r="H1696" s="6" t="s">
        <v>5962</v>
      </c>
    </row>
    <row r="1697" ht="12.75" customHeight="1">
      <c r="A1697" s="6" t="s">
        <v>5963</v>
      </c>
      <c r="B1697" s="6" t="s">
        <v>5938</v>
      </c>
      <c r="C1697" s="6" t="s">
        <v>221</v>
      </c>
      <c r="D1697" s="15" t="s">
        <v>222</v>
      </c>
      <c r="E1697" s="15" t="s">
        <v>35</v>
      </c>
      <c r="F1697" s="16" t="s">
        <v>5964</v>
      </c>
      <c r="G1697" s="6" t="s">
        <v>37</v>
      </c>
      <c r="H1697" s="6" t="s">
        <v>5965</v>
      </c>
    </row>
    <row r="1698" ht="12.75" customHeight="1">
      <c r="A1698" s="6" t="s">
        <v>5966</v>
      </c>
      <c r="B1698" s="6" t="s">
        <v>5938</v>
      </c>
      <c r="C1698" s="6" t="s">
        <v>5967</v>
      </c>
      <c r="D1698" s="15" t="s">
        <v>35</v>
      </c>
      <c r="E1698" s="15" t="s">
        <v>65</v>
      </c>
      <c r="F1698" s="16" t="s">
        <v>5968</v>
      </c>
      <c r="G1698" s="6" t="s">
        <v>37</v>
      </c>
      <c r="H1698" s="6" t="s">
        <v>5969</v>
      </c>
    </row>
    <row r="1699" ht="12.75" customHeight="1">
      <c r="A1699" s="6" t="s">
        <v>5970</v>
      </c>
      <c r="B1699" s="6" t="s">
        <v>5971</v>
      </c>
      <c r="C1699" s="6" t="s">
        <v>5972</v>
      </c>
      <c r="D1699" s="15" t="s">
        <v>71</v>
      </c>
      <c r="E1699" s="15" t="s">
        <v>35</v>
      </c>
      <c r="F1699" s="16" t="s">
        <v>5973</v>
      </c>
      <c r="G1699" s="6" t="s">
        <v>37</v>
      </c>
      <c r="H1699" s="6" t="s">
        <v>5974</v>
      </c>
    </row>
    <row r="1700" ht="12.75" customHeight="1">
      <c r="A1700" s="6" t="s">
        <v>5975</v>
      </c>
      <c r="B1700" s="6" t="s">
        <v>5971</v>
      </c>
      <c r="C1700" s="6" t="s">
        <v>5976</v>
      </c>
      <c r="D1700" s="15" t="s">
        <v>189</v>
      </c>
      <c r="E1700" s="15" t="s">
        <v>35</v>
      </c>
      <c r="F1700" s="16" t="s">
        <v>5977</v>
      </c>
      <c r="G1700" s="6" t="s">
        <v>37</v>
      </c>
      <c r="H1700" s="6" t="s">
        <v>5978</v>
      </c>
    </row>
    <row r="1701" ht="12.75" customHeight="1">
      <c r="A1701" s="6" t="s">
        <v>5979</v>
      </c>
      <c r="B1701" s="6" t="s">
        <v>5971</v>
      </c>
      <c r="C1701" s="6" t="s">
        <v>5980</v>
      </c>
      <c r="D1701" s="15" t="s">
        <v>97</v>
      </c>
      <c r="E1701" s="15" t="s">
        <v>35</v>
      </c>
      <c r="F1701" s="16" t="s">
        <v>5981</v>
      </c>
      <c r="G1701" s="6" t="s">
        <v>37</v>
      </c>
      <c r="H1701" s="6" t="s">
        <v>5982</v>
      </c>
    </row>
    <row r="1702" ht="12.75" customHeight="1">
      <c r="A1702" s="6" t="s">
        <v>5983</v>
      </c>
      <c r="B1702" s="6" t="s">
        <v>5971</v>
      </c>
      <c r="C1702" s="6" t="s">
        <v>5984</v>
      </c>
      <c r="D1702" s="15" t="s">
        <v>515</v>
      </c>
      <c r="E1702" s="15" t="s">
        <v>35</v>
      </c>
      <c r="F1702" s="16" t="s">
        <v>5985</v>
      </c>
      <c r="G1702" s="6" t="s">
        <v>37</v>
      </c>
      <c r="H1702" s="6" t="s">
        <v>5986</v>
      </c>
    </row>
    <row r="1703" ht="12.75" customHeight="1">
      <c r="A1703" s="6" t="s">
        <v>5987</v>
      </c>
      <c r="B1703" s="6" t="s">
        <v>5971</v>
      </c>
      <c r="C1703" s="6" t="s">
        <v>5608</v>
      </c>
      <c r="D1703" s="15" t="s">
        <v>855</v>
      </c>
      <c r="E1703" s="15" t="s">
        <v>35</v>
      </c>
      <c r="F1703" s="16" t="s">
        <v>5988</v>
      </c>
      <c r="G1703" s="6" t="s">
        <v>37</v>
      </c>
      <c r="H1703" s="6" t="s">
        <v>5989</v>
      </c>
    </row>
    <row r="1704" ht="12.75" customHeight="1">
      <c r="A1704" s="6" t="s">
        <v>5990</v>
      </c>
      <c r="B1704" s="6" t="s">
        <v>5971</v>
      </c>
      <c r="C1704" s="6" t="s">
        <v>230</v>
      </c>
      <c r="D1704" s="15" t="s">
        <v>137</v>
      </c>
      <c r="E1704" s="15" t="s">
        <v>35</v>
      </c>
      <c r="F1704" s="16" t="s">
        <v>5991</v>
      </c>
      <c r="G1704" s="6" t="s">
        <v>37</v>
      </c>
      <c r="H1704" s="6" t="s">
        <v>5992</v>
      </c>
    </row>
    <row r="1705" ht="12.75" customHeight="1">
      <c r="A1705" s="6" t="s">
        <v>5993</v>
      </c>
      <c r="B1705" s="6" t="s">
        <v>5971</v>
      </c>
      <c r="C1705" s="6" t="s">
        <v>1627</v>
      </c>
      <c r="D1705" s="15" t="s">
        <v>1920</v>
      </c>
      <c r="E1705" s="15" t="s">
        <v>35</v>
      </c>
      <c r="F1705" s="16" t="s">
        <v>5994</v>
      </c>
      <c r="G1705" s="6" t="s">
        <v>37</v>
      </c>
      <c r="H1705" s="6" t="s">
        <v>5995</v>
      </c>
    </row>
    <row r="1706" ht="12.75" customHeight="1">
      <c r="A1706" s="6" t="s">
        <v>5996</v>
      </c>
      <c r="B1706" s="6" t="s">
        <v>5971</v>
      </c>
      <c r="C1706" s="6" t="s">
        <v>5361</v>
      </c>
      <c r="D1706" s="15" t="s">
        <v>855</v>
      </c>
      <c r="E1706" s="15" t="s">
        <v>35</v>
      </c>
      <c r="F1706" s="16" t="s">
        <v>5997</v>
      </c>
      <c r="G1706" s="6" t="s">
        <v>37</v>
      </c>
      <c r="H1706" s="6" t="s">
        <v>5998</v>
      </c>
    </row>
    <row r="1707" ht="12.75" customHeight="1">
      <c r="A1707" s="6" t="s">
        <v>5999</v>
      </c>
      <c r="B1707" s="6" t="s">
        <v>5971</v>
      </c>
      <c r="C1707" s="6" t="s">
        <v>230</v>
      </c>
      <c r="D1707" s="15" t="s">
        <v>50</v>
      </c>
      <c r="E1707" s="15" t="s">
        <v>35</v>
      </c>
      <c r="F1707" s="16" t="s">
        <v>6000</v>
      </c>
      <c r="G1707" s="6" t="s">
        <v>37</v>
      </c>
      <c r="H1707" s="6" t="s">
        <v>6001</v>
      </c>
    </row>
    <row r="1708" ht="12.75" customHeight="1">
      <c r="A1708" s="6" t="s">
        <v>6002</v>
      </c>
      <c r="B1708" s="6" t="s">
        <v>5971</v>
      </c>
      <c r="C1708" s="6" t="s">
        <v>5361</v>
      </c>
      <c r="D1708" s="15" t="s">
        <v>726</v>
      </c>
      <c r="E1708" s="15" t="s">
        <v>35</v>
      </c>
      <c r="F1708" s="16" t="s">
        <v>6003</v>
      </c>
      <c r="G1708" s="6" t="s">
        <v>37</v>
      </c>
      <c r="H1708" s="6" t="s">
        <v>6004</v>
      </c>
    </row>
    <row r="1709" ht="12.75" customHeight="1">
      <c r="A1709" s="6" t="s">
        <v>6005</v>
      </c>
      <c r="B1709" s="6" t="s">
        <v>6006</v>
      </c>
      <c r="C1709" s="6" t="s">
        <v>3328</v>
      </c>
      <c r="D1709" s="15" t="s">
        <v>35</v>
      </c>
      <c r="E1709" s="15" t="s">
        <v>6007</v>
      </c>
      <c r="F1709" s="16" t="s">
        <v>6008</v>
      </c>
      <c r="G1709" s="6" t="s">
        <v>37</v>
      </c>
      <c r="H1709" s="6" t="s">
        <v>6009</v>
      </c>
    </row>
    <row r="1710" ht="12.75" customHeight="1">
      <c r="A1710" s="6" t="s">
        <v>6010</v>
      </c>
      <c r="B1710" s="6" t="s">
        <v>6006</v>
      </c>
      <c r="C1710" s="6" t="s">
        <v>5307</v>
      </c>
      <c r="D1710" s="15" t="s">
        <v>335</v>
      </c>
      <c r="E1710" s="15" t="s">
        <v>35</v>
      </c>
      <c r="F1710" s="16" t="s">
        <v>6011</v>
      </c>
      <c r="G1710" s="6" t="s">
        <v>37</v>
      </c>
      <c r="H1710" s="6" t="s">
        <v>6012</v>
      </c>
    </row>
    <row r="1711" ht="12.75" customHeight="1">
      <c r="A1711" s="6" t="s">
        <v>6013</v>
      </c>
      <c r="B1711" s="6" t="s">
        <v>6006</v>
      </c>
      <c r="C1711" s="6" t="s">
        <v>33</v>
      </c>
      <c r="D1711" s="15" t="s">
        <v>50</v>
      </c>
      <c r="E1711" s="15" t="s">
        <v>35</v>
      </c>
      <c r="F1711" s="16" t="s">
        <v>6014</v>
      </c>
      <c r="G1711" s="6" t="s">
        <v>37</v>
      </c>
      <c r="H1711" s="6" t="s">
        <v>6015</v>
      </c>
    </row>
    <row r="1712" ht="12.75" customHeight="1">
      <c r="A1712" s="6" t="s">
        <v>6016</v>
      </c>
      <c r="B1712" s="6" t="s">
        <v>6006</v>
      </c>
      <c r="C1712" s="6" t="s">
        <v>263</v>
      </c>
      <c r="D1712" s="15" t="s">
        <v>264</v>
      </c>
      <c r="E1712" s="15" t="s">
        <v>35</v>
      </c>
      <c r="F1712" s="16" t="s">
        <v>6017</v>
      </c>
      <c r="G1712" s="6" t="s">
        <v>37</v>
      </c>
      <c r="H1712" s="6" t="s">
        <v>6018</v>
      </c>
    </row>
    <row r="1713" ht="12.75" customHeight="1">
      <c r="A1713" s="6" t="s">
        <v>6019</v>
      </c>
      <c r="B1713" s="6" t="s">
        <v>6006</v>
      </c>
      <c r="C1713" s="6" t="s">
        <v>5361</v>
      </c>
      <c r="D1713" s="15" t="s">
        <v>97</v>
      </c>
      <c r="E1713" s="15" t="s">
        <v>35</v>
      </c>
      <c r="F1713" s="16" t="s">
        <v>6020</v>
      </c>
      <c r="G1713" s="6" t="s">
        <v>37</v>
      </c>
      <c r="H1713" s="6" t="s">
        <v>6021</v>
      </c>
    </row>
    <row r="1714" ht="12.75" customHeight="1">
      <c r="A1714" s="6" t="s">
        <v>6022</v>
      </c>
      <c r="B1714" s="6" t="s">
        <v>6006</v>
      </c>
      <c r="C1714" s="6" t="s">
        <v>5627</v>
      </c>
      <c r="D1714" s="15" t="s">
        <v>35</v>
      </c>
      <c r="E1714" s="15" t="s">
        <v>50</v>
      </c>
      <c r="F1714" s="16" t="s">
        <v>6023</v>
      </c>
      <c r="G1714" s="6" t="s">
        <v>37</v>
      </c>
      <c r="H1714" s="6" t="s">
        <v>6024</v>
      </c>
    </row>
    <row r="1715" ht="12.75" customHeight="1">
      <c r="A1715" s="6" t="s">
        <v>6025</v>
      </c>
      <c r="B1715" s="6" t="s">
        <v>6006</v>
      </c>
      <c r="C1715" s="6" t="s">
        <v>1627</v>
      </c>
      <c r="D1715" s="15" t="s">
        <v>971</v>
      </c>
      <c r="E1715" s="15" t="s">
        <v>35</v>
      </c>
      <c r="F1715" s="16" t="s">
        <v>6026</v>
      </c>
      <c r="G1715" s="6" t="s">
        <v>37</v>
      </c>
      <c r="H1715" s="6" t="s">
        <v>6027</v>
      </c>
    </row>
    <row r="1716" ht="12.75" customHeight="1">
      <c r="A1716" s="6" t="s">
        <v>6028</v>
      </c>
      <c r="B1716" s="6" t="s">
        <v>6006</v>
      </c>
      <c r="C1716" s="6" t="s">
        <v>33</v>
      </c>
      <c r="D1716" s="15" t="s">
        <v>50</v>
      </c>
      <c r="E1716" s="15" t="s">
        <v>35</v>
      </c>
      <c r="F1716" s="16" t="s">
        <v>6029</v>
      </c>
      <c r="G1716" s="6" t="s">
        <v>37</v>
      </c>
      <c r="H1716" s="6" t="s">
        <v>6030</v>
      </c>
    </row>
    <row r="1717" ht="12.75" customHeight="1">
      <c r="A1717" s="6" t="s">
        <v>6031</v>
      </c>
      <c r="B1717" s="6" t="s">
        <v>6006</v>
      </c>
      <c r="C1717" s="6" t="s">
        <v>33</v>
      </c>
      <c r="D1717" s="15" t="s">
        <v>50</v>
      </c>
      <c r="E1717" s="15" t="s">
        <v>35</v>
      </c>
      <c r="F1717" s="16" t="s">
        <v>6032</v>
      </c>
      <c r="G1717" s="6" t="s">
        <v>37</v>
      </c>
      <c r="H1717" s="6" t="s">
        <v>6033</v>
      </c>
    </row>
    <row r="1718" ht="12.75" customHeight="1">
      <c r="A1718" s="6" t="s">
        <v>6034</v>
      </c>
      <c r="B1718" s="6" t="s">
        <v>6006</v>
      </c>
      <c r="C1718" s="6" t="s">
        <v>5547</v>
      </c>
      <c r="D1718" s="15" t="s">
        <v>41</v>
      </c>
      <c r="E1718" s="15" t="s">
        <v>35</v>
      </c>
      <c r="F1718" s="16" t="s">
        <v>6035</v>
      </c>
      <c r="G1718" s="6" t="s">
        <v>37</v>
      </c>
      <c r="H1718" s="6" t="s">
        <v>6036</v>
      </c>
    </row>
    <row r="1719" ht="12.75" customHeight="1">
      <c r="A1719" s="6" t="s">
        <v>6037</v>
      </c>
      <c r="B1719" s="6" t="s">
        <v>6006</v>
      </c>
      <c r="C1719" s="6" t="s">
        <v>230</v>
      </c>
      <c r="D1719" s="15" t="s">
        <v>119</v>
      </c>
      <c r="E1719" s="15" t="s">
        <v>35</v>
      </c>
      <c r="F1719" s="16" t="s">
        <v>6038</v>
      </c>
      <c r="G1719" s="6" t="s">
        <v>37</v>
      </c>
      <c r="H1719" s="6" t="s">
        <v>6039</v>
      </c>
    </row>
    <row r="1720" ht="12.75" customHeight="1">
      <c r="A1720" s="6" t="s">
        <v>6040</v>
      </c>
      <c r="B1720" s="6" t="s">
        <v>6041</v>
      </c>
      <c r="C1720" s="6" t="s">
        <v>6042</v>
      </c>
      <c r="D1720" s="15" t="s">
        <v>335</v>
      </c>
      <c r="E1720" s="15" t="s">
        <v>35</v>
      </c>
      <c r="F1720" s="16" t="s">
        <v>6043</v>
      </c>
      <c r="G1720" s="6" t="s">
        <v>37</v>
      </c>
      <c r="H1720" s="6" t="s">
        <v>6044</v>
      </c>
    </row>
    <row r="1721" ht="12.75" customHeight="1">
      <c r="A1721" s="6" t="s">
        <v>6045</v>
      </c>
      <c r="B1721" s="6" t="s">
        <v>6041</v>
      </c>
      <c r="C1721" s="6" t="s">
        <v>6046</v>
      </c>
      <c r="D1721" s="15" t="s">
        <v>35</v>
      </c>
      <c r="E1721" s="15" t="s">
        <v>2551</v>
      </c>
      <c r="F1721" s="16" t="s">
        <v>6047</v>
      </c>
      <c r="G1721" s="6" t="s">
        <v>37</v>
      </c>
      <c r="H1721" s="6" t="s">
        <v>6048</v>
      </c>
    </row>
    <row r="1722" ht="12.75" customHeight="1">
      <c r="A1722" s="6" t="s">
        <v>6049</v>
      </c>
      <c r="B1722" s="6" t="s">
        <v>6041</v>
      </c>
      <c r="C1722" s="6" t="s">
        <v>221</v>
      </c>
      <c r="D1722" s="15" t="s">
        <v>222</v>
      </c>
      <c r="E1722" s="15" t="s">
        <v>35</v>
      </c>
      <c r="F1722" s="16" t="s">
        <v>6050</v>
      </c>
      <c r="G1722" s="6" t="s">
        <v>37</v>
      </c>
      <c r="H1722" s="6" t="s">
        <v>6051</v>
      </c>
    </row>
    <row r="1723" ht="12.75" customHeight="1">
      <c r="A1723" s="6" t="s">
        <v>6052</v>
      </c>
      <c r="B1723" s="6" t="s">
        <v>6041</v>
      </c>
      <c r="C1723" s="6" t="s">
        <v>3381</v>
      </c>
      <c r="D1723" s="15" t="s">
        <v>6053</v>
      </c>
      <c r="E1723" s="15" t="s">
        <v>35</v>
      </c>
      <c r="F1723" s="16" t="s">
        <v>6054</v>
      </c>
      <c r="G1723" s="6" t="s">
        <v>37</v>
      </c>
      <c r="H1723" s="6" t="s">
        <v>6055</v>
      </c>
    </row>
    <row r="1724" ht="12.75" customHeight="1">
      <c r="A1724" s="6" t="s">
        <v>6056</v>
      </c>
      <c r="B1724" s="6" t="s">
        <v>6041</v>
      </c>
      <c r="C1724" s="6" t="s">
        <v>3381</v>
      </c>
      <c r="D1724" s="15" t="s">
        <v>5831</v>
      </c>
      <c r="E1724" s="15" t="s">
        <v>35</v>
      </c>
      <c r="F1724" s="16" t="s">
        <v>6057</v>
      </c>
      <c r="G1724" s="6" t="s">
        <v>37</v>
      </c>
      <c r="H1724" s="6" t="s">
        <v>6058</v>
      </c>
    </row>
    <row r="1725" ht="12.75" customHeight="1">
      <c r="A1725" s="6" t="s">
        <v>6059</v>
      </c>
      <c r="B1725" s="6" t="s">
        <v>6041</v>
      </c>
      <c r="C1725" s="6" t="s">
        <v>5307</v>
      </c>
      <c r="D1725" s="15" t="s">
        <v>65</v>
      </c>
      <c r="E1725" s="15" t="s">
        <v>35</v>
      </c>
      <c r="F1725" s="16" t="s">
        <v>6060</v>
      </c>
      <c r="G1725" s="6" t="s">
        <v>37</v>
      </c>
      <c r="H1725" s="6" t="s">
        <v>6061</v>
      </c>
    </row>
    <row r="1726" ht="12.75" customHeight="1">
      <c r="A1726" s="6" t="s">
        <v>6062</v>
      </c>
      <c r="B1726" s="6" t="s">
        <v>6041</v>
      </c>
      <c r="C1726" s="6" t="s">
        <v>426</v>
      </c>
      <c r="D1726" s="15" t="s">
        <v>6063</v>
      </c>
      <c r="E1726" s="15" t="s">
        <v>35</v>
      </c>
      <c r="F1726" s="16" t="s">
        <v>6064</v>
      </c>
      <c r="G1726" s="6" t="s">
        <v>37</v>
      </c>
      <c r="H1726" s="6" t="s">
        <v>6065</v>
      </c>
    </row>
    <row r="1727" ht="12.75" customHeight="1">
      <c r="A1727" s="6" t="s">
        <v>6066</v>
      </c>
      <c r="B1727" s="6" t="s">
        <v>6041</v>
      </c>
      <c r="C1727" s="6" t="s">
        <v>5361</v>
      </c>
      <c r="D1727" s="15" t="s">
        <v>50</v>
      </c>
      <c r="E1727" s="15" t="s">
        <v>35</v>
      </c>
      <c r="F1727" s="16" t="s">
        <v>6067</v>
      </c>
      <c r="G1727" s="6" t="s">
        <v>37</v>
      </c>
      <c r="H1727" s="6" t="s">
        <v>6068</v>
      </c>
    </row>
    <row r="1728" ht="12.75" customHeight="1">
      <c r="A1728" s="6" t="s">
        <v>6069</v>
      </c>
      <c r="B1728" s="6" t="s">
        <v>6041</v>
      </c>
      <c r="C1728" s="6" t="s">
        <v>6070</v>
      </c>
      <c r="D1728" s="15" t="s">
        <v>65</v>
      </c>
      <c r="E1728" s="15" t="s">
        <v>35</v>
      </c>
      <c r="F1728" s="16" t="s">
        <v>6071</v>
      </c>
      <c r="G1728" s="6" t="s">
        <v>37</v>
      </c>
      <c r="H1728" s="6" t="s">
        <v>6072</v>
      </c>
    </row>
    <row r="1729" ht="12.75" customHeight="1">
      <c r="A1729" s="6" t="s">
        <v>6073</v>
      </c>
      <c r="B1729" s="6" t="s">
        <v>6041</v>
      </c>
      <c r="C1729" s="6" t="s">
        <v>33</v>
      </c>
      <c r="D1729" s="15" t="s">
        <v>711</v>
      </c>
      <c r="E1729" s="15" t="s">
        <v>35</v>
      </c>
      <c r="F1729" s="16" t="s">
        <v>6074</v>
      </c>
      <c r="G1729" s="6" t="s">
        <v>37</v>
      </c>
      <c r="H1729" s="6" t="s">
        <v>6075</v>
      </c>
    </row>
    <row r="1730" ht="12.75" customHeight="1">
      <c r="A1730" s="6" t="s">
        <v>6076</v>
      </c>
      <c r="B1730" s="6" t="s">
        <v>6077</v>
      </c>
      <c r="C1730" s="6" t="s">
        <v>6078</v>
      </c>
      <c r="D1730" s="15" t="s">
        <v>97</v>
      </c>
      <c r="E1730" s="15" t="s">
        <v>35</v>
      </c>
      <c r="F1730" s="16" t="s">
        <v>6079</v>
      </c>
      <c r="G1730" s="6" t="s">
        <v>37</v>
      </c>
      <c r="H1730" s="6" t="s">
        <v>6080</v>
      </c>
    </row>
    <row r="1731" ht="12.75" customHeight="1">
      <c r="A1731" s="6" t="s">
        <v>6081</v>
      </c>
      <c r="B1731" s="6" t="s">
        <v>6077</v>
      </c>
      <c r="C1731" s="6" t="s">
        <v>6082</v>
      </c>
      <c r="D1731" s="15" t="s">
        <v>35</v>
      </c>
      <c r="E1731" s="15" t="s">
        <v>71</v>
      </c>
      <c r="F1731" s="16" t="s">
        <v>6083</v>
      </c>
      <c r="G1731" s="6" t="s">
        <v>37</v>
      </c>
      <c r="H1731" s="6" t="s">
        <v>6084</v>
      </c>
    </row>
    <row r="1732" ht="12.75" customHeight="1">
      <c r="A1732" s="6" t="s">
        <v>6085</v>
      </c>
      <c r="B1732" s="6" t="s">
        <v>6077</v>
      </c>
      <c r="C1732" s="6" t="s">
        <v>1863</v>
      </c>
      <c r="D1732" s="15" t="s">
        <v>50</v>
      </c>
      <c r="E1732" s="15" t="s">
        <v>35</v>
      </c>
      <c r="F1732" s="16" t="s">
        <v>6086</v>
      </c>
      <c r="G1732" s="6" t="s">
        <v>37</v>
      </c>
      <c r="H1732" s="6" t="s">
        <v>6087</v>
      </c>
    </row>
    <row r="1733" ht="12.75" customHeight="1">
      <c r="A1733" s="6" t="s">
        <v>6088</v>
      </c>
      <c r="B1733" s="6" t="s">
        <v>6077</v>
      </c>
      <c r="C1733" s="6" t="s">
        <v>5875</v>
      </c>
      <c r="D1733" s="15" t="s">
        <v>222</v>
      </c>
      <c r="E1733" s="15" t="s">
        <v>35</v>
      </c>
      <c r="F1733" s="16" t="s">
        <v>6089</v>
      </c>
      <c r="G1733" s="6" t="s">
        <v>37</v>
      </c>
      <c r="H1733" s="6" t="s">
        <v>6090</v>
      </c>
    </row>
    <row r="1734" ht="12.75" customHeight="1">
      <c r="A1734" s="6" t="s">
        <v>6091</v>
      </c>
      <c r="B1734" s="6" t="s">
        <v>6077</v>
      </c>
      <c r="C1734" s="6" t="s">
        <v>5584</v>
      </c>
      <c r="D1734" s="15" t="s">
        <v>50</v>
      </c>
      <c r="E1734" s="15" t="s">
        <v>35</v>
      </c>
      <c r="F1734" s="16" t="s">
        <v>6092</v>
      </c>
      <c r="G1734" s="6" t="s">
        <v>37</v>
      </c>
      <c r="H1734" s="6" t="s">
        <v>6093</v>
      </c>
    </row>
    <row r="1735" ht="12.75" customHeight="1">
      <c r="A1735" s="6" t="s">
        <v>6094</v>
      </c>
      <c r="B1735" s="6" t="s">
        <v>6077</v>
      </c>
      <c r="C1735" s="6" t="s">
        <v>6095</v>
      </c>
      <c r="D1735" s="15" t="s">
        <v>34</v>
      </c>
      <c r="E1735" s="15" t="s">
        <v>35</v>
      </c>
      <c r="F1735" s="16" t="s">
        <v>6096</v>
      </c>
      <c r="G1735" s="6" t="s">
        <v>37</v>
      </c>
      <c r="H1735" s="6" t="s">
        <v>6097</v>
      </c>
    </row>
    <row r="1736" ht="12.75" customHeight="1">
      <c r="A1736" s="6" t="s">
        <v>6098</v>
      </c>
      <c r="B1736" s="6" t="s">
        <v>6077</v>
      </c>
      <c r="C1736" s="6" t="s">
        <v>5751</v>
      </c>
      <c r="D1736" s="15" t="s">
        <v>55</v>
      </c>
      <c r="E1736" s="15" t="s">
        <v>35</v>
      </c>
      <c r="F1736" s="16" t="s">
        <v>6099</v>
      </c>
      <c r="G1736" s="6" t="s">
        <v>37</v>
      </c>
      <c r="H1736" s="6" t="s">
        <v>6100</v>
      </c>
    </row>
    <row r="1737" ht="12.75" customHeight="1">
      <c r="A1737" s="6" t="s">
        <v>6101</v>
      </c>
      <c r="B1737" s="6" t="s">
        <v>6077</v>
      </c>
      <c r="C1737" s="6" t="s">
        <v>230</v>
      </c>
      <c r="D1737" s="15" t="s">
        <v>50</v>
      </c>
      <c r="E1737" s="15" t="s">
        <v>35</v>
      </c>
      <c r="F1737" s="16" t="s">
        <v>6102</v>
      </c>
      <c r="G1737" s="6" t="s">
        <v>37</v>
      </c>
      <c r="H1737" s="6" t="s">
        <v>6103</v>
      </c>
    </row>
    <row r="1738" ht="12.75" customHeight="1">
      <c r="A1738" s="6" t="s">
        <v>6104</v>
      </c>
      <c r="B1738" s="6" t="s">
        <v>6105</v>
      </c>
      <c r="C1738" s="6" t="s">
        <v>6106</v>
      </c>
      <c r="D1738" s="15" t="s">
        <v>41</v>
      </c>
      <c r="E1738" s="15" t="s">
        <v>35</v>
      </c>
      <c r="F1738" s="16" t="s">
        <v>6107</v>
      </c>
      <c r="G1738" s="6" t="s">
        <v>37</v>
      </c>
      <c r="H1738" s="6" t="s">
        <v>6108</v>
      </c>
    </row>
    <row r="1739" ht="12.75" customHeight="1">
      <c r="A1739" s="6" t="s">
        <v>6109</v>
      </c>
      <c r="B1739" s="6" t="s">
        <v>6105</v>
      </c>
      <c r="C1739" s="6" t="s">
        <v>2819</v>
      </c>
      <c r="D1739" s="15" t="s">
        <v>726</v>
      </c>
      <c r="E1739" s="15" t="s">
        <v>35</v>
      </c>
      <c r="F1739" s="16" t="s">
        <v>6110</v>
      </c>
      <c r="G1739" s="6" t="s">
        <v>37</v>
      </c>
      <c r="H1739" s="6" t="s">
        <v>6111</v>
      </c>
    </row>
    <row r="1740" ht="12.75" customHeight="1">
      <c r="A1740" s="6" t="s">
        <v>6112</v>
      </c>
      <c r="B1740" s="6" t="s">
        <v>6105</v>
      </c>
      <c r="C1740" s="6" t="s">
        <v>5361</v>
      </c>
      <c r="D1740" s="15" t="s">
        <v>41</v>
      </c>
      <c r="E1740" s="15" t="s">
        <v>35</v>
      </c>
      <c r="F1740" s="16" t="s">
        <v>6113</v>
      </c>
      <c r="G1740" s="6" t="s">
        <v>37</v>
      </c>
      <c r="H1740" s="6" t="s">
        <v>6114</v>
      </c>
    </row>
    <row r="1741" ht="12.75" customHeight="1">
      <c r="A1741" s="6" t="s">
        <v>6115</v>
      </c>
      <c r="B1741" s="6" t="s">
        <v>6105</v>
      </c>
      <c r="C1741" s="6" t="s">
        <v>2905</v>
      </c>
      <c r="D1741" s="15" t="s">
        <v>898</v>
      </c>
      <c r="E1741" s="15" t="s">
        <v>35</v>
      </c>
      <c r="F1741" s="16" t="s">
        <v>6116</v>
      </c>
      <c r="G1741" s="6" t="s">
        <v>37</v>
      </c>
      <c r="H1741" s="6" t="s">
        <v>6117</v>
      </c>
    </row>
    <row r="1742" ht="12.75" customHeight="1">
      <c r="A1742" s="6" t="s">
        <v>6118</v>
      </c>
      <c r="B1742" s="6" t="s">
        <v>6105</v>
      </c>
      <c r="C1742" s="6" t="s">
        <v>230</v>
      </c>
      <c r="D1742" s="15" t="s">
        <v>97</v>
      </c>
      <c r="E1742" s="15" t="s">
        <v>35</v>
      </c>
      <c r="F1742" s="16" t="s">
        <v>6119</v>
      </c>
      <c r="G1742" s="6" t="s">
        <v>37</v>
      </c>
      <c r="H1742" s="6" t="s">
        <v>6120</v>
      </c>
    </row>
    <row r="1743" ht="12.75" customHeight="1">
      <c r="A1743" s="6" t="s">
        <v>6121</v>
      </c>
      <c r="B1743" s="6" t="s">
        <v>6105</v>
      </c>
      <c r="C1743" s="6" t="s">
        <v>45</v>
      </c>
      <c r="D1743" s="15" t="s">
        <v>299</v>
      </c>
      <c r="E1743" s="15" t="s">
        <v>35</v>
      </c>
      <c r="F1743" s="16" t="s">
        <v>6122</v>
      </c>
      <c r="G1743" s="6" t="s">
        <v>37</v>
      </c>
      <c r="H1743" s="6" t="s">
        <v>6123</v>
      </c>
    </row>
    <row r="1744" ht="12.75" customHeight="1">
      <c r="A1744" s="6" t="s">
        <v>6124</v>
      </c>
      <c r="B1744" s="6" t="s">
        <v>6125</v>
      </c>
      <c r="C1744" s="6" t="s">
        <v>33</v>
      </c>
      <c r="D1744" s="15" t="s">
        <v>1920</v>
      </c>
      <c r="E1744" s="15" t="s">
        <v>35</v>
      </c>
      <c r="F1744" s="16" t="s">
        <v>6126</v>
      </c>
      <c r="G1744" s="6" t="s">
        <v>37</v>
      </c>
      <c r="H1744" s="6" t="s">
        <v>6127</v>
      </c>
    </row>
    <row r="1745" ht="12.75" customHeight="1">
      <c r="A1745" s="6" t="s">
        <v>6128</v>
      </c>
      <c r="B1745" s="6" t="s">
        <v>6125</v>
      </c>
      <c r="C1745" s="6" t="s">
        <v>5584</v>
      </c>
      <c r="D1745" s="15" t="s">
        <v>50</v>
      </c>
      <c r="E1745" s="15" t="s">
        <v>35</v>
      </c>
      <c r="F1745" s="16" t="s">
        <v>6129</v>
      </c>
      <c r="G1745" s="6" t="s">
        <v>37</v>
      </c>
      <c r="H1745" s="6" t="s">
        <v>6130</v>
      </c>
    </row>
    <row r="1746" ht="12.75" customHeight="1">
      <c r="A1746" s="6" t="s">
        <v>6131</v>
      </c>
      <c r="B1746" s="6" t="s">
        <v>6125</v>
      </c>
      <c r="C1746" s="6" t="s">
        <v>6132</v>
      </c>
      <c r="D1746" s="15" t="s">
        <v>97</v>
      </c>
      <c r="E1746" s="15" t="s">
        <v>35</v>
      </c>
      <c r="F1746" s="16" t="s">
        <v>6133</v>
      </c>
      <c r="G1746" s="6" t="s">
        <v>37</v>
      </c>
      <c r="H1746" s="6" t="s">
        <v>6134</v>
      </c>
    </row>
    <row r="1747" ht="12.75" customHeight="1">
      <c r="A1747" s="6" t="s">
        <v>6135</v>
      </c>
      <c r="B1747" s="6" t="s">
        <v>6125</v>
      </c>
      <c r="C1747" s="6" t="s">
        <v>6095</v>
      </c>
      <c r="D1747" s="15" t="s">
        <v>119</v>
      </c>
      <c r="E1747" s="15" t="s">
        <v>35</v>
      </c>
      <c r="F1747" s="16" t="s">
        <v>6136</v>
      </c>
      <c r="G1747" s="6" t="s">
        <v>37</v>
      </c>
      <c r="H1747" s="6" t="s">
        <v>6137</v>
      </c>
    </row>
    <row r="1748" ht="12.75" customHeight="1">
      <c r="A1748" s="6" t="s">
        <v>6138</v>
      </c>
      <c r="B1748" s="6" t="s">
        <v>6139</v>
      </c>
      <c r="C1748" s="6" t="s">
        <v>912</v>
      </c>
      <c r="D1748" s="15" t="s">
        <v>35</v>
      </c>
      <c r="E1748" s="15" t="s">
        <v>251</v>
      </c>
      <c r="F1748" s="16" t="s">
        <v>6140</v>
      </c>
      <c r="G1748" s="6" t="s">
        <v>37</v>
      </c>
      <c r="H1748" s="6" t="s">
        <v>6141</v>
      </c>
    </row>
    <row r="1749" ht="12.75" customHeight="1">
      <c r="A1749" s="6" t="s">
        <v>6142</v>
      </c>
      <c r="B1749" s="6" t="s">
        <v>6139</v>
      </c>
      <c r="C1749" s="6" t="s">
        <v>6143</v>
      </c>
      <c r="D1749" s="15" t="s">
        <v>515</v>
      </c>
      <c r="E1749" s="15" t="s">
        <v>35</v>
      </c>
      <c r="F1749" s="16" t="s">
        <v>6144</v>
      </c>
      <c r="G1749" s="6" t="s">
        <v>37</v>
      </c>
      <c r="H1749" s="6" t="s">
        <v>6145</v>
      </c>
    </row>
    <row r="1750" ht="12.75" customHeight="1">
      <c r="A1750" s="6" t="s">
        <v>6146</v>
      </c>
      <c r="B1750" s="6" t="s">
        <v>6139</v>
      </c>
      <c r="C1750" s="6" t="s">
        <v>40</v>
      </c>
      <c r="D1750" s="15" t="s">
        <v>35</v>
      </c>
      <c r="E1750" s="15" t="s">
        <v>623</v>
      </c>
      <c r="F1750" s="16" t="s">
        <v>6147</v>
      </c>
      <c r="G1750" s="6" t="s">
        <v>37</v>
      </c>
      <c r="H1750" s="6" t="s">
        <v>6148</v>
      </c>
    </row>
    <row r="1751" ht="12.75" customHeight="1">
      <c r="A1751" s="6" t="s">
        <v>6149</v>
      </c>
      <c r="B1751" s="6" t="s">
        <v>6139</v>
      </c>
      <c r="C1751" s="6" t="s">
        <v>221</v>
      </c>
      <c r="D1751" s="15" t="s">
        <v>222</v>
      </c>
      <c r="E1751" s="15" t="s">
        <v>35</v>
      </c>
      <c r="F1751" s="16" t="s">
        <v>6150</v>
      </c>
      <c r="G1751" s="6" t="s">
        <v>37</v>
      </c>
      <c r="H1751" s="6" t="s">
        <v>6151</v>
      </c>
    </row>
    <row r="1752" ht="12.75" customHeight="1">
      <c r="A1752" s="6" t="s">
        <v>6152</v>
      </c>
      <c r="B1752" s="6" t="s">
        <v>6139</v>
      </c>
      <c r="C1752" s="6" t="s">
        <v>70</v>
      </c>
      <c r="D1752" s="15" t="s">
        <v>65</v>
      </c>
      <c r="E1752" s="15" t="s">
        <v>35</v>
      </c>
      <c r="F1752" s="16" t="s">
        <v>6153</v>
      </c>
      <c r="G1752" s="6" t="s">
        <v>37</v>
      </c>
      <c r="H1752" s="6" t="s">
        <v>6154</v>
      </c>
    </row>
    <row r="1753" ht="12.75" customHeight="1">
      <c r="A1753" s="6" t="s">
        <v>6155</v>
      </c>
      <c r="B1753" s="6" t="s">
        <v>6139</v>
      </c>
      <c r="C1753" s="6" t="s">
        <v>5307</v>
      </c>
      <c r="D1753" s="15" t="s">
        <v>490</v>
      </c>
      <c r="E1753" s="15" t="s">
        <v>35</v>
      </c>
      <c r="F1753" s="16" t="s">
        <v>6156</v>
      </c>
      <c r="G1753" s="6" t="s">
        <v>37</v>
      </c>
      <c r="H1753" s="6" t="s">
        <v>6157</v>
      </c>
    </row>
    <row r="1754" ht="12.75" customHeight="1">
      <c r="A1754" s="6" t="s">
        <v>6158</v>
      </c>
      <c r="B1754" s="6" t="s">
        <v>6139</v>
      </c>
      <c r="C1754" s="6" t="s">
        <v>33</v>
      </c>
      <c r="D1754" s="15" t="s">
        <v>34</v>
      </c>
      <c r="E1754" s="15" t="s">
        <v>35</v>
      </c>
      <c r="F1754" s="16" t="s">
        <v>6159</v>
      </c>
      <c r="G1754" s="6" t="s">
        <v>37</v>
      </c>
      <c r="H1754" s="6" t="s">
        <v>6160</v>
      </c>
    </row>
    <row r="1755" ht="12.75" customHeight="1">
      <c r="A1755" s="6" t="s">
        <v>6161</v>
      </c>
      <c r="B1755" s="6" t="s">
        <v>6162</v>
      </c>
      <c r="C1755" s="6" t="s">
        <v>45</v>
      </c>
      <c r="D1755" s="15" t="s">
        <v>119</v>
      </c>
      <c r="E1755" s="15" t="s">
        <v>35</v>
      </c>
      <c r="F1755" s="16" t="s">
        <v>6163</v>
      </c>
      <c r="G1755" s="6" t="s">
        <v>37</v>
      </c>
      <c r="H1755" s="6" t="s">
        <v>6164</v>
      </c>
    </row>
    <row r="1756" ht="12.75" customHeight="1">
      <c r="A1756" s="6" t="s">
        <v>6165</v>
      </c>
      <c r="B1756" s="6" t="s">
        <v>6162</v>
      </c>
      <c r="C1756" s="6" t="s">
        <v>5584</v>
      </c>
      <c r="D1756" s="15" t="s">
        <v>855</v>
      </c>
      <c r="E1756" s="15" t="s">
        <v>35</v>
      </c>
      <c r="F1756" s="16" t="s">
        <v>6166</v>
      </c>
      <c r="G1756" s="6" t="s">
        <v>37</v>
      </c>
      <c r="H1756" s="6" t="s">
        <v>6167</v>
      </c>
    </row>
    <row r="1757" ht="12.75" customHeight="1">
      <c r="A1757" s="6" t="s">
        <v>6168</v>
      </c>
      <c r="B1757" s="6" t="s">
        <v>6162</v>
      </c>
      <c r="C1757" s="6" t="s">
        <v>127</v>
      </c>
      <c r="D1757" s="15" t="s">
        <v>35</v>
      </c>
      <c r="E1757" s="15" t="s">
        <v>71</v>
      </c>
      <c r="F1757" s="16" t="s">
        <v>6169</v>
      </c>
      <c r="G1757" s="6" t="s">
        <v>37</v>
      </c>
      <c r="H1757" s="6" t="s">
        <v>6170</v>
      </c>
    </row>
    <row r="1758" ht="12.75" customHeight="1">
      <c r="A1758" s="6" t="s">
        <v>6171</v>
      </c>
      <c r="B1758" s="6" t="s">
        <v>6162</v>
      </c>
      <c r="C1758" s="6" t="s">
        <v>2744</v>
      </c>
      <c r="D1758" s="15" t="s">
        <v>6172</v>
      </c>
      <c r="E1758" s="15" t="s">
        <v>35</v>
      </c>
      <c r="F1758" s="16" t="s">
        <v>6173</v>
      </c>
      <c r="G1758" s="6" t="s">
        <v>37</v>
      </c>
      <c r="H1758" s="6" t="s">
        <v>6174</v>
      </c>
    </row>
    <row r="1759" ht="12.75" customHeight="1">
      <c r="A1759" s="6" t="s">
        <v>6175</v>
      </c>
      <c r="B1759" s="6" t="s">
        <v>6162</v>
      </c>
      <c r="C1759" s="6" t="s">
        <v>45</v>
      </c>
      <c r="D1759" s="15" t="s">
        <v>299</v>
      </c>
      <c r="E1759" s="15" t="s">
        <v>35</v>
      </c>
      <c r="F1759" s="16" t="s">
        <v>6176</v>
      </c>
      <c r="G1759" s="6" t="s">
        <v>37</v>
      </c>
      <c r="H1759" s="6" t="s">
        <v>6177</v>
      </c>
    </row>
    <row r="1760" ht="12.75" customHeight="1">
      <c r="A1760" s="6" t="s">
        <v>6178</v>
      </c>
      <c r="B1760" s="6" t="s">
        <v>6179</v>
      </c>
      <c r="C1760" s="6" t="s">
        <v>6180</v>
      </c>
      <c r="D1760" s="15" t="s">
        <v>34</v>
      </c>
      <c r="E1760" s="15" t="s">
        <v>35</v>
      </c>
      <c r="F1760" s="16" t="s">
        <v>6181</v>
      </c>
      <c r="G1760" s="6" t="s">
        <v>37</v>
      </c>
      <c r="H1760" s="6" t="s">
        <v>6182</v>
      </c>
    </row>
    <row r="1761" ht="12.75" customHeight="1">
      <c r="A1761" s="6" t="s">
        <v>6183</v>
      </c>
      <c r="B1761" s="6" t="s">
        <v>6184</v>
      </c>
      <c r="C1761" s="6" t="s">
        <v>5789</v>
      </c>
      <c r="D1761" s="15" t="s">
        <v>35</v>
      </c>
      <c r="E1761" s="15" t="s">
        <v>65</v>
      </c>
      <c r="F1761" s="16" t="s">
        <v>6185</v>
      </c>
      <c r="G1761" s="6" t="s">
        <v>37</v>
      </c>
      <c r="H1761" s="6" t="s">
        <v>6186</v>
      </c>
    </row>
    <row r="1762" ht="12.75" customHeight="1">
      <c r="A1762" s="6" t="s">
        <v>6187</v>
      </c>
      <c r="B1762" s="6" t="s">
        <v>6184</v>
      </c>
      <c r="C1762" s="6" t="s">
        <v>5354</v>
      </c>
      <c r="D1762" s="15" t="s">
        <v>71</v>
      </c>
      <c r="E1762" s="15" t="s">
        <v>35</v>
      </c>
      <c r="F1762" s="16" t="s">
        <v>6188</v>
      </c>
      <c r="G1762" s="6" t="s">
        <v>37</v>
      </c>
      <c r="H1762" s="6" t="s">
        <v>6189</v>
      </c>
    </row>
    <row r="1763" ht="12.75" customHeight="1">
      <c r="A1763" s="6" t="s">
        <v>6190</v>
      </c>
      <c r="B1763" s="6" t="s">
        <v>6184</v>
      </c>
      <c r="C1763" s="6" t="s">
        <v>263</v>
      </c>
      <c r="D1763" s="15" t="s">
        <v>97</v>
      </c>
      <c r="E1763" s="15" t="s">
        <v>35</v>
      </c>
      <c r="F1763" s="16" t="s">
        <v>6191</v>
      </c>
      <c r="G1763" s="6" t="s">
        <v>37</v>
      </c>
      <c r="H1763" s="6" t="s">
        <v>6192</v>
      </c>
    </row>
    <row r="1764" ht="12.75" customHeight="1">
      <c r="A1764" s="6" t="s">
        <v>6193</v>
      </c>
      <c r="B1764" s="6" t="s">
        <v>6194</v>
      </c>
      <c r="C1764" s="6" t="s">
        <v>40</v>
      </c>
      <c r="D1764" s="15" t="s">
        <v>35</v>
      </c>
      <c r="E1764" s="15" t="s">
        <v>4457</v>
      </c>
      <c r="F1764" s="16" t="s">
        <v>6195</v>
      </c>
      <c r="G1764" s="6" t="s">
        <v>37</v>
      </c>
      <c r="H1764" s="6" t="s">
        <v>6196</v>
      </c>
    </row>
    <row r="1765" ht="12.75" customHeight="1">
      <c r="A1765" s="6" t="s">
        <v>6197</v>
      </c>
      <c r="B1765" s="6" t="s">
        <v>6194</v>
      </c>
      <c r="C1765" s="6" t="s">
        <v>230</v>
      </c>
      <c r="D1765" s="15" t="s">
        <v>97</v>
      </c>
      <c r="E1765" s="15" t="s">
        <v>35</v>
      </c>
      <c r="F1765" s="16" t="s">
        <v>6198</v>
      </c>
      <c r="G1765" s="6" t="s">
        <v>37</v>
      </c>
      <c r="H1765" s="6" t="s">
        <v>6199</v>
      </c>
    </row>
    <row r="1766" ht="12.75" customHeight="1">
      <c r="A1766" s="6" t="s">
        <v>6200</v>
      </c>
      <c r="B1766" s="6" t="s">
        <v>6194</v>
      </c>
      <c r="C1766" s="6" t="s">
        <v>6180</v>
      </c>
      <c r="D1766" s="15" t="s">
        <v>34</v>
      </c>
      <c r="E1766" s="15" t="s">
        <v>35</v>
      </c>
      <c r="F1766" s="16" t="s">
        <v>6201</v>
      </c>
      <c r="G1766" s="6" t="s">
        <v>37</v>
      </c>
      <c r="H1766" s="6" t="s">
        <v>6202</v>
      </c>
    </row>
    <row r="1767" ht="12.75" customHeight="1">
      <c r="A1767" s="6" t="s">
        <v>6203</v>
      </c>
      <c r="B1767" s="6" t="s">
        <v>6204</v>
      </c>
      <c r="C1767" s="6" t="s">
        <v>6205</v>
      </c>
      <c r="D1767" s="15" t="s">
        <v>50</v>
      </c>
      <c r="E1767" s="15" t="s">
        <v>35</v>
      </c>
      <c r="F1767" s="16" t="s">
        <v>6206</v>
      </c>
      <c r="G1767" s="6" t="s">
        <v>37</v>
      </c>
      <c r="H1767" s="6" t="s">
        <v>6207</v>
      </c>
    </row>
    <row r="1768" ht="12.75" customHeight="1">
      <c r="A1768" s="6" t="s">
        <v>6208</v>
      </c>
      <c r="B1768" s="6" t="s">
        <v>6204</v>
      </c>
      <c r="C1768" s="6" t="s">
        <v>5584</v>
      </c>
      <c r="D1768" s="15" t="s">
        <v>855</v>
      </c>
      <c r="E1768" s="15" t="s">
        <v>35</v>
      </c>
      <c r="F1768" s="16" t="s">
        <v>6209</v>
      </c>
      <c r="G1768" s="6" t="s">
        <v>37</v>
      </c>
      <c r="H1768" s="6" t="s">
        <v>6210</v>
      </c>
    </row>
    <row r="1769" ht="12.75" customHeight="1">
      <c r="A1769" s="6" t="s">
        <v>6211</v>
      </c>
      <c r="B1769" s="6" t="s">
        <v>6212</v>
      </c>
      <c r="C1769" s="6" t="s">
        <v>4836</v>
      </c>
      <c r="D1769" s="15" t="s">
        <v>35</v>
      </c>
      <c r="E1769" s="15" t="s">
        <v>256</v>
      </c>
      <c r="F1769" s="16" t="s">
        <v>6213</v>
      </c>
      <c r="G1769" s="6" t="s">
        <v>37</v>
      </c>
      <c r="H1769" s="6" t="s">
        <v>6214</v>
      </c>
    </row>
    <row r="1770" ht="12.75" customHeight="1">
      <c r="A1770" s="6" t="s">
        <v>6215</v>
      </c>
      <c r="B1770" s="6" t="s">
        <v>6212</v>
      </c>
      <c r="C1770" s="6" t="s">
        <v>221</v>
      </c>
      <c r="D1770" s="15" t="s">
        <v>222</v>
      </c>
      <c r="E1770" s="15" t="s">
        <v>35</v>
      </c>
      <c r="F1770" s="16" t="s">
        <v>6216</v>
      </c>
      <c r="G1770" s="6" t="s">
        <v>37</v>
      </c>
      <c r="H1770" s="6" t="s">
        <v>6217</v>
      </c>
    </row>
    <row r="1771" ht="12.75" customHeight="1">
      <c r="A1771" s="6" t="s">
        <v>6218</v>
      </c>
      <c r="B1771" s="6" t="s">
        <v>6212</v>
      </c>
      <c r="C1771" s="6" t="s">
        <v>6219</v>
      </c>
      <c r="D1771" s="15" t="s">
        <v>35</v>
      </c>
      <c r="E1771" s="15" t="s">
        <v>65</v>
      </c>
      <c r="F1771" s="16" t="s">
        <v>6220</v>
      </c>
      <c r="G1771" s="6" t="s">
        <v>37</v>
      </c>
      <c r="H1771" s="6" t="s">
        <v>6221</v>
      </c>
    </row>
    <row r="1772" ht="12.75" customHeight="1">
      <c r="A1772" s="6" t="s">
        <v>6222</v>
      </c>
      <c r="B1772" s="6" t="s">
        <v>6212</v>
      </c>
      <c r="C1772" s="6" t="s">
        <v>6223</v>
      </c>
      <c r="D1772" s="15" t="s">
        <v>35</v>
      </c>
      <c r="E1772" s="15" t="s">
        <v>623</v>
      </c>
      <c r="F1772" s="16" t="s">
        <v>6224</v>
      </c>
      <c r="G1772" s="6" t="s">
        <v>37</v>
      </c>
      <c r="H1772" s="6" t="s">
        <v>6225</v>
      </c>
    </row>
    <row r="1773" ht="12.75" customHeight="1">
      <c r="A1773" s="6" t="s">
        <v>6226</v>
      </c>
      <c r="B1773" s="6" t="s">
        <v>6212</v>
      </c>
      <c r="C1773" s="6" t="s">
        <v>221</v>
      </c>
      <c r="D1773" s="15" t="s">
        <v>222</v>
      </c>
      <c r="E1773" s="15" t="s">
        <v>35</v>
      </c>
      <c r="F1773" s="16" t="s">
        <v>6227</v>
      </c>
      <c r="G1773" s="6" t="s">
        <v>37</v>
      </c>
      <c r="H1773" s="6" t="s">
        <v>6228</v>
      </c>
    </row>
    <row r="1774" ht="12.75" customHeight="1">
      <c r="A1774" s="6" t="s">
        <v>6229</v>
      </c>
      <c r="B1774" s="6" t="s">
        <v>6230</v>
      </c>
      <c r="C1774" s="6" t="s">
        <v>33</v>
      </c>
      <c r="D1774" s="15" t="s">
        <v>97</v>
      </c>
      <c r="E1774" s="15" t="s">
        <v>35</v>
      </c>
      <c r="F1774" s="16" t="s">
        <v>6231</v>
      </c>
      <c r="G1774" s="6" t="s">
        <v>37</v>
      </c>
      <c r="H1774" s="6" t="s">
        <v>6232</v>
      </c>
    </row>
    <row r="1775" ht="12.75" customHeight="1">
      <c r="A1775" s="6" t="s">
        <v>6233</v>
      </c>
      <c r="B1775" s="6" t="s">
        <v>6230</v>
      </c>
      <c r="C1775" s="6" t="s">
        <v>912</v>
      </c>
      <c r="D1775" s="15" t="s">
        <v>35</v>
      </c>
      <c r="E1775" s="15" t="s">
        <v>335</v>
      </c>
      <c r="F1775" s="16" t="s">
        <v>6234</v>
      </c>
      <c r="G1775" s="6" t="s">
        <v>37</v>
      </c>
      <c r="H1775" s="6" t="s">
        <v>6235</v>
      </c>
    </row>
    <row r="1776" ht="12.75" customHeight="1">
      <c r="A1776" s="6" t="s">
        <v>6236</v>
      </c>
      <c r="B1776" s="6" t="s">
        <v>6230</v>
      </c>
      <c r="C1776" s="6" t="s">
        <v>356</v>
      </c>
      <c r="D1776" s="15" t="s">
        <v>34</v>
      </c>
      <c r="E1776" s="15" t="s">
        <v>35</v>
      </c>
      <c r="F1776" s="16" t="s">
        <v>6237</v>
      </c>
      <c r="G1776" s="6" t="s">
        <v>37</v>
      </c>
      <c r="H1776" s="6" t="s">
        <v>6238</v>
      </c>
    </row>
    <row r="1777" ht="12.75" customHeight="1">
      <c r="A1777" s="6" t="s">
        <v>6239</v>
      </c>
      <c r="B1777" s="6" t="s">
        <v>6230</v>
      </c>
      <c r="C1777" s="6" t="s">
        <v>6240</v>
      </c>
      <c r="D1777" s="15" t="s">
        <v>770</v>
      </c>
      <c r="E1777" s="15" t="s">
        <v>35</v>
      </c>
      <c r="F1777" s="16" t="s">
        <v>6241</v>
      </c>
      <c r="G1777" s="6" t="s">
        <v>37</v>
      </c>
      <c r="H1777" s="6" t="s">
        <v>6242</v>
      </c>
    </row>
    <row r="1778" ht="12.75" customHeight="1">
      <c r="A1778" s="6" t="s">
        <v>6243</v>
      </c>
      <c r="B1778" s="6" t="s">
        <v>6230</v>
      </c>
      <c r="C1778" s="6" t="s">
        <v>5972</v>
      </c>
      <c r="D1778" s="15" t="s">
        <v>623</v>
      </c>
      <c r="E1778" s="15" t="s">
        <v>35</v>
      </c>
      <c r="F1778" s="16" t="s">
        <v>6244</v>
      </c>
      <c r="G1778" s="6" t="s">
        <v>37</v>
      </c>
      <c r="H1778" s="6" t="s">
        <v>6245</v>
      </c>
    </row>
    <row r="1779" ht="12.75" customHeight="1">
      <c r="A1779" s="6" t="s">
        <v>6246</v>
      </c>
      <c r="B1779" s="6" t="s">
        <v>6230</v>
      </c>
      <c r="C1779" s="6" t="s">
        <v>5976</v>
      </c>
      <c r="D1779" s="15" t="s">
        <v>189</v>
      </c>
      <c r="E1779" s="15" t="s">
        <v>35</v>
      </c>
      <c r="F1779" s="16" t="s">
        <v>6247</v>
      </c>
      <c r="G1779" s="6" t="s">
        <v>37</v>
      </c>
      <c r="H1779" s="6" t="s">
        <v>6248</v>
      </c>
    </row>
    <row r="1780" ht="12.75" customHeight="1">
      <c r="A1780" s="6" t="s">
        <v>6249</v>
      </c>
      <c r="B1780" s="6" t="s">
        <v>6230</v>
      </c>
      <c r="C1780" s="6" t="s">
        <v>6250</v>
      </c>
      <c r="D1780" s="15" t="s">
        <v>123</v>
      </c>
      <c r="E1780" s="15" t="s">
        <v>35</v>
      </c>
      <c r="F1780" s="16" t="s">
        <v>6251</v>
      </c>
      <c r="G1780" s="6" t="s">
        <v>37</v>
      </c>
      <c r="H1780" s="6" t="s">
        <v>6252</v>
      </c>
    </row>
    <row r="1781" ht="12.75" customHeight="1">
      <c r="A1781" s="6" t="s">
        <v>6253</v>
      </c>
      <c r="B1781" s="6" t="s">
        <v>6230</v>
      </c>
      <c r="C1781" s="6" t="s">
        <v>230</v>
      </c>
      <c r="D1781" s="15" t="s">
        <v>665</v>
      </c>
      <c r="E1781" s="15" t="s">
        <v>35</v>
      </c>
      <c r="F1781" s="16" t="s">
        <v>6254</v>
      </c>
      <c r="G1781" s="6" t="s">
        <v>37</v>
      </c>
      <c r="H1781" s="6" t="s">
        <v>6255</v>
      </c>
    </row>
    <row r="1782" ht="12.75" customHeight="1">
      <c r="A1782" s="6" t="s">
        <v>6256</v>
      </c>
      <c r="B1782" s="6" t="s">
        <v>6230</v>
      </c>
      <c r="C1782" s="6" t="s">
        <v>5428</v>
      </c>
      <c r="D1782" s="15" t="s">
        <v>6257</v>
      </c>
      <c r="E1782" s="15" t="s">
        <v>35</v>
      </c>
      <c r="F1782" s="16" t="s">
        <v>6086</v>
      </c>
      <c r="G1782" s="6" t="s">
        <v>37</v>
      </c>
      <c r="H1782" s="6" t="s">
        <v>6258</v>
      </c>
    </row>
    <row r="1783" ht="12.75" customHeight="1">
      <c r="A1783" s="6" t="s">
        <v>6259</v>
      </c>
      <c r="B1783" s="6" t="s">
        <v>6260</v>
      </c>
      <c r="C1783" s="6" t="s">
        <v>263</v>
      </c>
      <c r="D1783" s="15" t="s">
        <v>1097</v>
      </c>
      <c r="E1783" s="15" t="s">
        <v>35</v>
      </c>
      <c r="F1783" s="16" t="s">
        <v>6261</v>
      </c>
      <c r="G1783" s="6" t="s">
        <v>37</v>
      </c>
      <c r="H1783" s="6" t="s">
        <v>6262</v>
      </c>
    </row>
    <row r="1784" ht="12.75" customHeight="1">
      <c r="A1784" s="6" t="s">
        <v>6263</v>
      </c>
      <c r="B1784" s="6" t="s">
        <v>6260</v>
      </c>
      <c r="C1784" s="6" t="s">
        <v>6264</v>
      </c>
      <c r="D1784" s="15" t="s">
        <v>35</v>
      </c>
      <c r="E1784" s="15" t="s">
        <v>313</v>
      </c>
      <c r="F1784" s="16" t="s">
        <v>6265</v>
      </c>
      <c r="G1784" s="6" t="s">
        <v>37</v>
      </c>
      <c r="H1784" s="6" t="s">
        <v>6266</v>
      </c>
    </row>
    <row r="1785" ht="12.75" customHeight="1">
      <c r="A1785" s="6" t="s">
        <v>6267</v>
      </c>
      <c r="B1785" s="6" t="s">
        <v>6260</v>
      </c>
      <c r="C1785" s="6" t="s">
        <v>221</v>
      </c>
      <c r="D1785" s="15" t="s">
        <v>222</v>
      </c>
      <c r="E1785" s="15" t="s">
        <v>35</v>
      </c>
      <c r="F1785" s="16" t="s">
        <v>6268</v>
      </c>
      <c r="G1785" s="6" t="s">
        <v>37</v>
      </c>
      <c r="H1785" s="6" t="s">
        <v>6269</v>
      </c>
    </row>
    <row r="1786" ht="12.75" customHeight="1">
      <c r="A1786" s="6" t="s">
        <v>6270</v>
      </c>
      <c r="B1786" s="6" t="s">
        <v>6260</v>
      </c>
      <c r="C1786" s="6" t="s">
        <v>70</v>
      </c>
      <c r="D1786" s="15" t="s">
        <v>490</v>
      </c>
      <c r="E1786" s="15" t="s">
        <v>35</v>
      </c>
      <c r="F1786" s="16" t="s">
        <v>6271</v>
      </c>
      <c r="G1786" s="6" t="s">
        <v>37</v>
      </c>
      <c r="H1786" s="6" t="s">
        <v>6272</v>
      </c>
    </row>
    <row r="1787" ht="12.75" customHeight="1">
      <c r="A1787" s="6" t="s">
        <v>6273</v>
      </c>
      <c r="B1787" s="6" t="s">
        <v>6260</v>
      </c>
      <c r="C1787" s="6" t="s">
        <v>5307</v>
      </c>
      <c r="D1787" s="15" t="s">
        <v>65</v>
      </c>
      <c r="E1787" s="15" t="s">
        <v>35</v>
      </c>
      <c r="F1787" s="16" t="s">
        <v>6274</v>
      </c>
      <c r="G1787" s="6" t="s">
        <v>37</v>
      </c>
      <c r="H1787" s="6" t="s">
        <v>6275</v>
      </c>
    </row>
    <row r="1788" ht="12.75" customHeight="1">
      <c r="A1788" s="6" t="s">
        <v>6276</v>
      </c>
      <c r="B1788" s="6" t="s">
        <v>6260</v>
      </c>
      <c r="C1788" s="6" t="s">
        <v>2384</v>
      </c>
      <c r="D1788" s="15" t="s">
        <v>515</v>
      </c>
      <c r="E1788" s="15" t="s">
        <v>35</v>
      </c>
      <c r="F1788" s="16" t="s">
        <v>6277</v>
      </c>
      <c r="G1788" s="6" t="s">
        <v>37</v>
      </c>
      <c r="H1788" s="6" t="s">
        <v>6278</v>
      </c>
    </row>
    <row r="1789" ht="12.75" customHeight="1">
      <c r="A1789" s="6" t="s">
        <v>6279</v>
      </c>
      <c r="B1789" s="6" t="s">
        <v>6260</v>
      </c>
      <c r="C1789" s="6" t="s">
        <v>230</v>
      </c>
      <c r="D1789" s="15" t="s">
        <v>97</v>
      </c>
      <c r="E1789" s="15" t="s">
        <v>35</v>
      </c>
      <c r="F1789" s="16" t="s">
        <v>6280</v>
      </c>
      <c r="G1789" s="6" t="s">
        <v>37</v>
      </c>
      <c r="H1789" s="6" t="s">
        <v>6281</v>
      </c>
    </row>
    <row r="1790" ht="12.75" customHeight="1">
      <c r="A1790" s="6" t="s">
        <v>6282</v>
      </c>
      <c r="B1790" s="6" t="s">
        <v>6260</v>
      </c>
      <c r="C1790" s="6" t="s">
        <v>5146</v>
      </c>
      <c r="D1790" s="15" t="s">
        <v>34</v>
      </c>
      <c r="E1790" s="15" t="s">
        <v>35</v>
      </c>
      <c r="F1790" s="16" t="s">
        <v>6283</v>
      </c>
      <c r="G1790" s="6" t="s">
        <v>37</v>
      </c>
      <c r="H1790" s="6" t="s">
        <v>6284</v>
      </c>
    </row>
    <row r="1791" ht="12.75" customHeight="1">
      <c r="A1791" s="6" t="s">
        <v>6285</v>
      </c>
      <c r="B1791" s="6" t="s">
        <v>6260</v>
      </c>
      <c r="C1791" s="6" t="s">
        <v>5428</v>
      </c>
      <c r="D1791" s="15" t="s">
        <v>6286</v>
      </c>
      <c r="E1791" s="15" t="s">
        <v>35</v>
      </c>
      <c r="F1791" s="16" t="s">
        <v>6287</v>
      </c>
      <c r="G1791" s="6" t="s">
        <v>37</v>
      </c>
      <c r="H1791" s="6" t="s">
        <v>6288</v>
      </c>
    </row>
    <row r="1792" ht="12.75" customHeight="1">
      <c r="A1792" s="6" t="s">
        <v>6289</v>
      </c>
      <c r="B1792" s="6" t="s">
        <v>6260</v>
      </c>
      <c r="C1792" s="6" t="s">
        <v>6290</v>
      </c>
      <c r="D1792" s="15" t="s">
        <v>76</v>
      </c>
      <c r="E1792" s="15" t="s">
        <v>35</v>
      </c>
      <c r="F1792" s="16" t="s">
        <v>6291</v>
      </c>
      <c r="G1792" s="6" t="s">
        <v>37</v>
      </c>
      <c r="H1792" s="6" t="s">
        <v>6292</v>
      </c>
    </row>
    <row r="1793" ht="12.75" customHeight="1">
      <c r="A1793" s="6" t="s">
        <v>6293</v>
      </c>
      <c r="B1793" s="6" t="s">
        <v>6260</v>
      </c>
      <c r="C1793" s="6" t="s">
        <v>70</v>
      </c>
      <c r="D1793" s="15" t="s">
        <v>97</v>
      </c>
      <c r="E1793" s="15" t="s">
        <v>35</v>
      </c>
      <c r="F1793" s="16" t="s">
        <v>6294</v>
      </c>
      <c r="G1793" s="6" t="s">
        <v>37</v>
      </c>
      <c r="H1793" s="6" t="s">
        <v>6295</v>
      </c>
    </row>
    <row r="1794" ht="12.75" customHeight="1">
      <c r="A1794" s="6" t="s">
        <v>6296</v>
      </c>
      <c r="B1794" s="6" t="s">
        <v>6297</v>
      </c>
      <c r="C1794" s="6" t="s">
        <v>5307</v>
      </c>
      <c r="D1794" s="15" t="s">
        <v>50</v>
      </c>
      <c r="E1794" s="15" t="s">
        <v>35</v>
      </c>
      <c r="F1794" s="16" t="s">
        <v>6298</v>
      </c>
      <c r="G1794" s="6" t="s">
        <v>37</v>
      </c>
      <c r="H1794" s="6" t="s">
        <v>6299</v>
      </c>
    </row>
    <row r="1795" ht="12.75" customHeight="1">
      <c r="A1795" s="6" t="s">
        <v>6300</v>
      </c>
      <c r="B1795" s="6" t="s">
        <v>6297</v>
      </c>
      <c r="C1795" s="6" t="s">
        <v>70</v>
      </c>
      <c r="D1795" s="15" t="s">
        <v>50</v>
      </c>
      <c r="E1795" s="15" t="s">
        <v>35</v>
      </c>
      <c r="F1795" s="16" t="s">
        <v>6301</v>
      </c>
      <c r="G1795" s="6" t="s">
        <v>37</v>
      </c>
      <c r="H1795" s="6" t="s">
        <v>6302</v>
      </c>
    </row>
    <row r="1796" ht="12.75" customHeight="1">
      <c r="A1796" s="6" t="s">
        <v>6303</v>
      </c>
      <c r="B1796" s="6" t="s">
        <v>6297</v>
      </c>
      <c r="C1796" s="6" t="s">
        <v>6304</v>
      </c>
      <c r="D1796" s="15" t="s">
        <v>71</v>
      </c>
      <c r="E1796" s="15" t="s">
        <v>35</v>
      </c>
      <c r="F1796" s="16" t="s">
        <v>6305</v>
      </c>
      <c r="G1796" s="6" t="s">
        <v>37</v>
      </c>
      <c r="H1796" s="6" t="s">
        <v>6306</v>
      </c>
    </row>
    <row r="1797" ht="12.75" customHeight="1">
      <c r="A1797" s="6" t="s">
        <v>6307</v>
      </c>
      <c r="B1797" s="6" t="s">
        <v>6297</v>
      </c>
      <c r="C1797" s="6" t="s">
        <v>6308</v>
      </c>
      <c r="D1797" s="15" t="s">
        <v>34</v>
      </c>
      <c r="E1797" s="15" t="s">
        <v>35</v>
      </c>
      <c r="F1797" s="16" t="s">
        <v>6309</v>
      </c>
      <c r="G1797" s="6" t="s">
        <v>37</v>
      </c>
      <c r="H1797" s="6" t="s">
        <v>6310</v>
      </c>
    </row>
    <row r="1798" ht="12.75" customHeight="1">
      <c r="A1798" s="6" t="s">
        <v>6311</v>
      </c>
      <c r="B1798" s="6" t="s">
        <v>6297</v>
      </c>
      <c r="C1798" s="6" t="s">
        <v>5361</v>
      </c>
      <c r="D1798" s="15" t="s">
        <v>2563</v>
      </c>
      <c r="E1798" s="15" t="s">
        <v>35</v>
      </c>
      <c r="F1798" s="16" t="s">
        <v>6312</v>
      </c>
      <c r="G1798" s="6" t="s">
        <v>37</v>
      </c>
      <c r="H1798" s="6" t="s">
        <v>6313</v>
      </c>
    </row>
    <row r="1799" ht="12.75" customHeight="1">
      <c r="A1799" s="6" t="s">
        <v>6314</v>
      </c>
      <c r="B1799" s="6" t="s">
        <v>6297</v>
      </c>
      <c r="C1799" s="6" t="s">
        <v>6315</v>
      </c>
      <c r="D1799" s="15" t="s">
        <v>55</v>
      </c>
      <c r="E1799" s="15" t="s">
        <v>35</v>
      </c>
      <c r="F1799" s="16" t="s">
        <v>6316</v>
      </c>
      <c r="G1799" s="6" t="s">
        <v>37</v>
      </c>
      <c r="H1799" s="6" t="s">
        <v>6317</v>
      </c>
    </row>
    <row r="1800" ht="12.75" customHeight="1">
      <c r="A1800" s="6" t="s">
        <v>6318</v>
      </c>
      <c r="B1800" s="6" t="s">
        <v>6297</v>
      </c>
      <c r="C1800" s="6" t="s">
        <v>6315</v>
      </c>
      <c r="D1800" s="15" t="s">
        <v>41</v>
      </c>
      <c r="E1800" s="15" t="s">
        <v>35</v>
      </c>
      <c r="F1800" s="16" t="s">
        <v>6319</v>
      </c>
      <c r="G1800" s="6" t="s">
        <v>37</v>
      </c>
      <c r="H1800" s="6" t="s">
        <v>6320</v>
      </c>
    </row>
    <row r="1801" ht="12.75" customHeight="1">
      <c r="A1801" s="6" t="s">
        <v>6321</v>
      </c>
      <c r="B1801" s="6" t="s">
        <v>6322</v>
      </c>
      <c r="C1801" s="6" t="s">
        <v>230</v>
      </c>
      <c r="D1801" s="15" t="s">
        <v>97</v>
      </c>
      <c r="E1801" s="15" t="s">
        <v>35</v>
      </c>
      <c r="F1801" s="16" t="s">
        <v>6323</v>
      </c>
      <c r="G1801" s="6" t="s">
        <v>37</v>
      </c>
      <c r="H1801" s="6" t="s">
        <v>6324</v>
      </c>
    </row>
    <row r="1802" ht="12.75" customHeight="1">
      <c r="A1802" s="6" t="s">
        <v>6325</v>
      </c>
      <c r="B1802" s="6" t="s">
        <v>6322</v>
      </c>
      <c r="C1802" s="6" t="s">
        <v>5784</v>
      </c>
      <c r="D1802" s="15" t="s">
        <v>46</v>
      </c>
      <c r="E1802" s="15" t="s">
        <v>35</v>
      </c>
      <c r="F1802" s="16" t="s">
        <v>6326</v>
      </c>
      <c r="G1802" s="6" t="s">
        <v>37</v>
      </c>
      <c r="H1802" s="6" t="s">
        <v>6327</v>
      </c>
    </row>
    <row r="1803" ht="12.75" customHeight="1">
      <c r="A1803" s="6" t="s">
        <v>6328</v>
      </c>
      <c r="B1803" s="6" t="s">
        <v>6322</v>
      </c>
      <c r="C1803" s="6" t="s">
        <v>5361</v>
      </c>
      <c r="D1803" s="15" t="s">
        <v>3695</v>
      </c>
      <c r="E1803" s="15" t="s">
        <v>35</v>
      </c>
      <c r="F1803" s="16" t="s">
        <v>6329</v>
      </c>
      <c r="G1803" s="6" t="s">
        <v>37</v>
      </c>
      <c r="H1803" s="6" t="s">
        <v>6330</v>
      </c>
    </row>
    <row r="1804" ht="12.75" customHeight="1">
      <c r="A1804" s="6" t="s">
        <v>6331</v>
      </c>
      <c r="B1804" s="6" t="s">
        <v>6322</v>
      </c>
      <c r="C1804" s="6" t="s">
        <v>172</v>
      </c>
      <c r="D1804" s="15" t="s">
        <v>34</v>
      </c>
      <c r="E1804" s="15" t="s">
        <v>35</v>
      </c>
      <c r="F1804" s="16" t="s">
        <v>6332</v>
      </c>
      <c r="G1804" s="6" t="s">
        <v>37</v>
      </c>
      <c r="H1804" s="6" t="s">
        <v>6333</v>
      </c>
    </row>
    <row r="1805" ht="12.75" customHeight="1">
      <c r="A1805" s="6" t="s">
        <v>6334</v>
      </c>
      <c r="B1805" s="6" t="s">
        <v>6322</v>
      </c>
      <c r="C1805" s="6" t="s">
        <v>40</v>
      </c>
      <c r="D1805" s="15" t="s">
        <v>35</v>
      </c>
      <c r="E1805" s="15" t="s">
        <v>50</v>
      </c>
      <c r="F1805" s="16" t="s">
        <v>6335</v>
      </c>
      <c r="G1805" s="6" t="s">
        <v>37</v>
      </c>
      <c r="H1805" s="6" t="s">
        <v>6336</v>
      </c>
    </row>
    <row r="1806" ht="12.75" customHeight="1">
      <c r="A1806" s="6" t="s">
        <v>6337</v>
      </c>
      <c r="B1806" s="6" t="s">
        <v>6338</v>
      </c>
      <c r="C1806" s="6" t="s">
        <v>6339</v>
      </c>
      <c r="D1806" s="15" t="s">
        <v>189</v>
      </c>
      <c r="E1806" s="15" t="s">
        <v>35</v>
      </c>
      <c r="F1806" s="16" t="s">
        <v>6340</v>
      </c>
      <c r="G1806" s="6" t="s">
        <v>37</v>
      </c>
      <c r="H1806" s="6" t="s">
        <v>6341</v>
      </c>
    </row>
    <row r="1807" ht="12.75" customHeight="1">
      <c r="A1807" s="6" t="s">
        <v>6342</v>
      </c>
      <c r="B1807" s="6" t="s">
        <v>6338</v>
      </c>
      <c r="C1807" s="6" t="s">
        <v>5789</v>
      </c>
      <c r="D1807" s="15" t="s">
        <v>35</v>
      </c>
      <c r="E1807" s="15" t="s">
        <v>46</v>
      </c>
      <c r="F1807" s="16" t="s">
        <v>6343</v>
      </c>
      <c r="G1807" s="6" t="s">
        <v>37</v>
      </c>
      <c r="H1807" s="6" t="s">
        <v>6344</v>
      </c>
    </row>
    <row r="1808" ht="12.75" customHeight="1">
      <c r="A1808" s="6" t="s">
        <v>6345</v>
      </c>
      <c r="B1808" s="6" t="s">
        <v>6346</v>
      </c>
      <c r="C1808" s="6" t="s">
        <v>1627</v>
      </c>
      <c r="D1808" s="15" t="s">
        <v>443</v>
      </c>
      <c r="E1808" s="15" t="s">
        <v>35</v>
      </c>
      <c r="F1808" s="16" t="s">
        <v>6347</v>
      </c>
      <c r="G1808" s="6" t="s">
        <v>37</v>
      </c>
      <c r="H1808" s="6" t="s">
        <v>6348</v>
      </c>
    </row>
    <row r="1809" ht="12.75" customHeight="1">
      <c r="A1809" s="6" t="s">
        <v>6349</v>
      </c>
      <c r="B1809" s="6" t="s">
        <v>6346</v>
      </c>
      <c r="C1809" s="6" t="s">
        <v>6350</v>
      </c>
      <c r="D1809" s="15" t="s">
        <v>71</v>
      </c>
      <c r="E1809" s="15" t="s">
        <v>35</v>
      </c>
      <c r="F1809" s="16" t="s">
        <v>6351</v>
      </c>
      <c r="G1809" s="6" t="s">
        <v>37</v>
      </c>
      <c r="H1809" s="6" t="s">
        <v>6352</v>
      </c>
    </row>
    <row r="1810" ht="12.75" customHeight="1">
      <c r="A1810" s="6" t="s">
        <v>6353</v>
      </c>
      <c r="B1810" s="6" t="s">
        <v>6346</v>
      </c>
      <c r="C1810" s="6" t="s">
        <v>5584</v>
      </c>
      <c r="D1810" s="15" t="s">
        <v>855</v>
      </c>
      <c r="E1810" s="15" t="s">
        <v>35</v>
      </c>
      <c r="F1810" s="16" t="s">
        <v>6354</v>
      </c>
      <c r="G1810" s="6" t="s">
        <v>37</v>
      </c>
      <c r="H1810" s="6" t="s">
        <v>6355</v>
      </c>
    </row>
    <row r="1811" ht="12.75" customHeight="1">
      <c r="A1811" s="6" t="s">
        <v>6356</v>
      </c>
      <c r="B1811" s="6" t="s">
        <v>6346</v>
      </c>
      <c r="C1811" s="6" t="s">
        <v>6357</v>
      </c>
      <c r="D1811" s="15" t="s">
        <v>34</v>
      </c>
      <c r="E1811" s="15" t="s">
        <v>35</v>
      </c>
      <c r="F1811" s="16" t="s">
        <v>6074</v>
      </c>
      <c r="G1811" s="6" t="s">
        <v>37</v>
      </c>
      <c r="H1811" s="6" t="s">
        <v>6358</v>
      </c>
    </row>
    <row r="1812" ht="12.75" customHeight="1">
      <c r="A1812" s="6" t="s">
        <v>6359</v>
      </c>
      <c r="B1812" s="6" t="s">
        <v>6346</v>
      </c>
      <c r="C1812" s="6" t="s">
        <v>5307</v>
      </c>
      <c r="D1812" s="15" t="s">
        <v>443</v>
      </c>
      <c r="E1812" s="15" t="s">
        <v>35</v>
      </c>
      <c r="F1812" s="16" t="s">
        <v>6360</v>
      </c>
      <c r="G1812" s="6" t="s">
        <v>37</v>
      </c>
      <c r="H1812" s="6" t="s">
        <v>6361</v>
      </c>
    </row>
    <row r="1813" ht="12.75" customHeight="1">
      <c r="A1813" s="6" t="s">
        <v>6362</v>
      </c>
      <c r="B1813" s="6" t="s">
        <v>6346</v>
      </c>
      <c r="C1813" s="6" t="s">
        <v>6363</v>
      </c>
      <c r="D1813" s="15" t="s">
        <v>50</v>
      </c>
      <c r="E1813" s="15" t="s">
        <v>35</v>
      </c>
      <c r="F1813" s="16" t="s">
        <v>6364</v>
      </c>
      <c r="G1813" s="6" t="s">
        <v>37</v>
      </c>
      <c r="H1813" s="6" t="s">
        <v>6365</v>
      </c>
    </row>
    <row r="1814" ht="12.75" customHeight="1">
      <c r="A1814" s="6" t="s">
        <v>6366</v>
      </c>
      <c r="B1814" s="6" t="s">
        <v>6346</v>
      </c>
      <c r="C1814" s="6" t="s">
        <v>5806</v>
      </c>
      <c r="D1814" s="15" t="s">
        <v>46</v>
      </c>
      <c r="E1814" s="15" t="s">
        <v>35</v>
      </c>
      <c r="F1814" s="16" t="s">
        <v>6367</v>
      </c>
      <c r="G1814" s="6" t="s">
        <v>37</v>
      </c>
      <c r="H1814" s="6" t="s">
        <v>6368</v>
      </c>
    </row>
    <row r="1815" ht="12.75" customHeight="1">
      <c r="A1815" s="6" t="s">
        <v>6369</v>
      </c>
      <c r="B1815" s="6" t="s">
        <v>6346</v>
      </c>
      <c r="C1815" s="6" t="s">
        <v>45</v>
      </c>
      <c r="D1815" s="15" t="s">
        <v>50</v>
      </c>
      <c r="E1815" s="15" t="s">
        <v>35</v>
      </c>
      <c r="F1815" s="16" t="s">
        <v>6370</v>
      </c>
      <c r="G1815" s="6" t="s">
        <v>37</v>
      </c>
      <c r="H1815" s="6" t="s">
        <v>6371</v>
      </c>
    </row>
    <row r="1816" ht="12.75" customHeight="1">
      <c r="A1816" s="6" t="s">
        <v>6372</v>
      </c>
      <c r="B1816" s="6" t="s">
        <v>6373</v>
      </c>
      <c r="C1816" s="6" t="s">
        <v>6374</v>
      </c>
      <c r="D1816" s="15" t="s">
        <v>34</v>
      </c>
      <c r="E1816" s="15" t="s">
        <v>35</v>
      </c>
      <c r="F1816" s="16" t="s">
        <v>6375</v>
      </c>
      <c r="G1816" s="6" t="s">
        <v>37</v>
      </c>
      <c r="H1816" s="6" t="s">
        <v>6376</v>
      </c>
    </row>
    <row r="1817" ht="12.75" customHeight="1">
      <c r="A1817" s="6" t="s">
        <v>6377</v>
      </c>
      <c r="B1817" s="6" t="s">
        <v>6373</v>
      </c>
      <c r="C1817" s="6" t="s">
        <v>5361</v>
      </c>
      <c r="D1817" s="15" t="s">
        <v>97</v>
      </c>
      <c r="E1817" s="15" t="s">
        <v>35</v>
      </c>
      <c r="F1817" s="16" t="s">
        <v>6378</v>
      </c>
      <c r="G1817" s="6" t="s">
        <v>37</v>
      </c>
      <c r="H1817" s="6" t="s">
        <v>6379</v>
      </c>
    </row>
    <row r="1818" ht="12.75" customHeight="1">
      <c r="A1818" s="6" t="s">
        <v>6380</v>
      </c>
      <c r="B1818" s="6" t="s">
        <v>6373</v>
      </c>
      <c r="C1818" s="6" t="s">
        <v>6381</v>
      </c>
      <c r="D1818" s="15" t="s">
        <v>119</v>
      </c>
      <c r="E1818" s="15" t="s">
        <v>35</v>
      </c>
      <c r="F1818" s="16" t="s">
        <v>6382</v>
      </c>
      <c r="G1818" s="6" t="s">
        <v>37</v>
      </c>
      <c r="H1818" s="6" t="s">
        <v>6383</v>
      </c>
    </row>
    <row r="1819" ht="12.75" customHeight="1">
      <c r="A1819" s="6" t="s">
        <v>6384</v>
      </c>
      <c r="B1819" s="6" t="s">
        <v>6385</v>
      </c>
      <c r="C1819" s="6" t="s">
        <v>6386</v>
      </c>
      <c r="D1819" s="15" t="s">
        <v>55</v>
      </c>
      <c r="E1819" s="15" t="s">
        <v>35</v>
      </c>
      <c r="F1819" s="16" t="s">
        <v>6387</v>
      </c>
      <c r="G1819" s="6" t="s">
        <v>37</v>
      </c>
      <c r="H1819" s="6" t="s">
        <v>6388</v>
      </c>
    </row>
    <row r="1820" ht="12.75" customHeight="1">
      <c r="A1820" s="6" t="s">
        <v>6389</v>
      </c>
      <c r="B1820" s="6" t="s">
        <v>6385</v>
      </c>
      <c r="C1820" s="6" t="s">
        <v>230</v>
      </c>
      <c r="D1820" s="15" t="s">
        <v>97</v>
      </c>
      <c r="E1820" s="15" t="s">
        <v>35</v>
      </c>
      <c r="F1820" s="16" t="s">
        <v>6390</v>
      </c>
      <c r="G1820" s="6" t="s">
        <v>37</v>
      </c>
      <c r="H1820" s="6" t="s">
        <v>6391</v>
      </c>
    </row>
    <row r="1821" ht="12.75" customHeight="1">
      <c r="A1821" s="6" t="s">
        <v>6392</v>
      </c>
      <c r="B1821" s="6" t="s">
        <v>6385</v>
      </c>
      <c r="C1821" s="6" t="s">
        <v>6393</v>
      </c>
      <c r="D1821" s="15" t="s">
        <v>6394</v>
      </c>
      <c r="E1821" s="15" t="s">
        <v>35</v>
      </c>
      <c r="F1821" s="16" t="s">
        <v>6395</v>
      </c>
      <c r="G1821" s="6" t="s">
        <v>868</v>
      </c>
      <c r="H1821" s="6" t="s">
        <v>6396</v>
      </c>
    </row>
    <row r="1822" ht="12.75" customHeight="1">
      <c r="A1822" s="6" t="s">
        <v>6397</v>
      </c>
      <c r="B1822" s="6" t="s">
        <v>6398</v>
      </c>
      <c r="C1822" s="6" t="s">
        <v>6399</v>
      </c>
      <c r="D1822" s="15" t="s">
        <v>41</v>
      </c>
      <c r="E1822" s="15" t="s">
        <v>35</v>
      </c>
      <c r="F1822" s="16" t="s">
        <v>6400</v>
      </c>
      <c r="G1822" s="6" t="s">
        <v>37</v>
      </c>
      <c r="H1822" s="6" t="s">
        <v>6401</v>
      </c>
    </row>
    <row r="1823" ht="12.75" customHeight="1">
      <c r="A1823" s="6" t="s">
        <v>6402</v>
      </c>
      <c r="B1823" s="6" t="s">
        <v>6398</v>
      </c>
      <c r="C1823" s="6" t="s">
        <v>5258</v>
      </c>
      <c r="D1823" s="15" t="s">
        <v>55</v>
      </c>
      <c r="E1823" s="15" t="s">
        <v>35</v>
      </c>
      <c r="F1823" s="16" t="s">
        <v>6403</v>
      </c>
      <c r="G1823" s="6" t="s">
        <v>37</v>
      </c>
      <c r="H1823" s="6" t="s">
        <v>6404</v>
      </c>
    </row>
    <row r="1824" ht="12.75" customHeight="1">
      <c r="A1824" s="6" t="s">
        <v>6405</v>
      </c>
      <c r="B1824" s="6" t="s">
        <v>6406</v>
      </c>
      <c r="C1824" s="6" t="s">
        <v>6407</v>
      </c>
      <c r="D1824" s="15" t="s">
        <v>107</v>
      </c>
      <c r="E1824" s="15" t="s">
        <v>35</v>
      </c>
      <c r="F1824" s="16" t="s">
        <v>6408</v>
      </c>
      <c r="G1824" s="6" t="s">
        <v>868</v>
      </c>
      <c r="H1824" s="6" t="s">
        <v>6409</v>
      </c>
    </row>
    <row r="1825" ht="12.75" customHeight="1">
      <c r="A1825" s="6" t="s">
        <v>6410</v>
      </c>
      <c r="B1825" s="6" t="s">
        <v>6406</v>
      </c>
      <c r="C1825" s="6" t="s">
        <v>5789</v>
      </c>
      <c r="D1825" s="15" t="s">
        <v>35</v>
      </c>
      <c r="E1825" s="15" t="s">
        <v>515</v>
      </c>
      <c r="F1825" s="16" t="s">
        <v>6411</v>
      </c>
      <c r="G1825" s="6" t="s">
        <v>37</v>
      </c>
      <c r="H1825" s="6" t="s">
        <v>6412</v>
      </c>
    </row>
    <row r="1826" ht="12.75" customHeight="1">
      <c r="A1826" s="6" t="s">
        <v>6413</v>
      </c>
      <c r="B1826" s="6" t="s">
        <v>6406</v>
      </c>
      <c r="C1826" s="6" t="s">
        <v>6414</v>
      </c>
      <c r="D1826" s="15" t="s">
        <v>515</v>
      </c>
      <c r="E1826" s="15" t="s">
        <v>35</v>
      </c>
      <c r="F1826" s="16" t="s">
        <v>6408</v>
      </c>
      <c r="G1826" s="6" t="s">
        <v>868</v>
      </c>
      <c r="H1826" s="6" t="s">
        <v>6415</v>
      </c>
    </row>
    <row r="1827" ht="12.75" customHeight="1">
      <c r="A1827" s="6" t="s">
        <v>6416</v>
      </c>
      <c r="B1827" s="6" t="s">
        <v>6417</v>
      </c>
      <c r="C1827" s="6" t="s">
        <v>5254</v>
      </c>
      <c r="D1827" s="15" t="s">
        <v>34</v>
      </c>
      <c r="E1827" s="15" t="s">
        <v>35</v>
      </c>
      <c r="F1827" s="16" t="s">
        <v>6418</v>
      </c>
      <c r="G1827" s="6" t="s">
        <v>37</v>
      </c>
      <c r="H1827" s="6" t="s">
        <v>6419</v>
      </c>
    </row>
    <row r="1828" ht="12.75" customHeight="1">
      <c r="A1828" s="6" t="s">
        <v>6420</v>
      </c>
      <c r="B1828" s="6" t="s">
        <v>6417</v>
      </c>
      <c r="C1828" s="6" t="s">
        <v>5789</v>
      </c>
      <c r="D1828" s="15" t="s">
        <v>35</v>
      </c>
      <c r="E1828" s="15" t="s">
        <v>97</v>
      </c>
      <c r="F1828" s="16" t="s">
        <v>6421</v>
      </c>
      <c r="G1828" s="6" t="s">
        <v>37</v>
      </c>
      <c r="H1828" s="6" t="s">
        <v>6422</v>
      </c>
    </row>
    <row r="1829" ht="12.75" customHeight="1">
      <c r="A1829" s="6" t="s">
        <v>6423</v>
      </c>
      <c r="B1829" s="6" t="s">
        <v>6417</v>
      </c>
      <c r="C1829" s="6" t="s">
        <v>230</v>
      </c>
      <c r="D1829" s="15" t="s">
        <v>97</v>
      </c>
      <c r="E1829" s="15" t="s">
        <v>35</v>
      </c>
      <c r="F1829" s="16" t="s">
        <v>6418</v>
      </c>
      <c r="G1829" s="6" t="s">
        <v>37</v>
      </c>
      <c r="H1829" s="6" t="s">
        <v>6424</v>
      </c>
    </row>
    <row r="1830" ht="12.75" customHeight="1">
      <c r="A1830" s="6" t="s">
        <v>6425</v>
      </c>
      <c r="B1830" s="6" t="s">
        <v>6417</v>
      </c>
      <c r="C1830" s="6" t="s">
        <v>6426</v>
      </c>
      <c r="D1830" s="15" t="s">
        <v>35</v>
      </c>
      <c r="E1830" s="15" t="s">
        <v>71</v>
      </c>
      <c r="F1830" s="16" t="s">
        <v>6427</v>
      </c>
      <c r="G1830" s="6" t="s">
        <v>37</v>
      </c>
      <c r="H1830" s="6" t="s">
        <v>6428</v>
      </c>
    </row>
    <row r="1831" ht="12.75" customHeight="1">
      <c r="A1831" s="6" t="s">
        <v>6429</v>
      </c>
      <c r="B1831" s="6" t="s">
        <v>6417</v>
      </c>
      <c r="C1831" s="6" t="s">
        <v>6350</v>
      </c>
      <c r="D1831" s="15" t="s">
        <v>97</v>
      </c>
      <c r="E1831" s="15" t="s">
        <v>35</v>
      </c>
      <c r="F1831" s="16" t="s">
        <v>6421</v>
      </c>
      <c r="G1831" s="6" t="s">
        <v>37</v>
      </c>
      <c r="H1831" s="6" t="s">
        <v>6430</v>
      </c>
    </row>
    <row r="1832" ht="12.75" customHeight="1">
      <c r="A1832" s="6" t="s">
        <v>6431</v>
      </c>
      <c r="B1832" s="6" t="s">
        <v>6417</v>
      </c>
      <c r="C1832" s="6" t="s">
        <v>2905</v>
      </c>
      <c r="D1832" s="15" t="s">
        <v>6432</v>
      </c>
      <c r="E1832" s="15" t="s">
        <v>35</v>
      </c>
      <c r="F1832" s="16" t="s">
        <v>6433</v>
      </c>
      <c r="G1832" s="6" t="s">
        <v>37</v>
      </c>
      <c r="H1832" s="6" t="s">
        <v>6434</v>
      </c>
    </row>
    <row r="1833" ht="12.75" customHeight="1">
      <c r="A1833" s="6" t="s">
        <v>6435</v>
      </c>
      <c r="B1833" s="6" t="s">
        <v>6417</v>
      </c>
      <c r="C1833" s="6" t="s">
        <v>6436</v>
      </c>
      <c r="D1833" s="15" t="s">
        <v>685</v>
      </c>
      <c r="E1833" s="15" t="s">
        <v>35</v>
      </c>
      <c r="F1833" s="16" t="s">
        <v>6437</v>
      </c>
      <c r="G1833" s="6" t="s">
        <v>37</v>
      </c>
      <c r="H1833" s="6" t="s">
        <v>6438</v>
      </c>
    </row>
    <row r="1834" ht="12.75" customHeight="1">
      <c r="A1834" s="6" t="s">
        <v>6439</v>
      </c>
      <c r="B1834" s="6" t="s">
        <v>6417</v>
      </c>
      <c r="C1834" s="6" t="s">
        <v>40</v>
      </c>
      <c r="D1834" s="15" t="s">
        <v>35</v>
      </c>
      <c r="E1834" s="15" t="s">
        <v>34</v>
      </c>
      <c r="F1834" s="16" t="s">
        <v>6440</v>
      </c>
      <c r="G1834" s="6" t="s">
        <v>37</v>
      </c>
      <c r="H1834" s="6" t="s">
        <v>6441</v>
      </c>
    </row>
    <row r="1835" ht="12.75" customHeight="1">
      <c r="A1835" s="6" t="s">
        <v>6442</v>
      </c>
      <c r="B1835" s="6" t="s">
        <v>6417</v>
      </c>
      <c r="C1835" s="6" t="s">
        <v>6443</v>
      </c>
      <c r="D1835" s="15" t="s">
        <v>35</v>
      </c>
      <c r="E1835" s="15" t="s">
        <v>256</v>
      </c>
      <c r="F1835" s="16" t="s">
        <v>6444</v>
      </c>
      <c r="G1835" s="6" t="s">
        <v>37</v>
      </c>
      <c r="H1835" s="6" t="s">
        <v>6445</v>
      </c>
    </row>
    <row r="1836" ht="12.75" customHeight="1">
      <c r="A1836" s="6" t="s">
        <v>6446</v>
      </c>
      <c r="B1836" s="6" t="s">
        <v>6417</v>
      </c>
      <c r="C1836" s="6" t="s">
        <v>221</v>
      </c>
      <c r="D1836" s="15" t="s">
        <v>222</v>
      </c>
      <c r="E1836" s="15" t="s">
        <v>35</v>
      </c>
      <c r="F1836" s="16" t="s">
        <v>6447</v>
      </c>
      <c r="G1836" s="6" t="s">
        <v>37</v>
      </c>
      <c r="H1836" s="6" t="s">
        <v>6448</v>
      </c>
    </row>
    <row r="1837" ht="12.75" customHeight="1">
      <c r="A1837" s="6" t="s">
        <v>6449</v>
      </c>
      <c r="B1837" s="6" t="s">
        <v>6417</v>
      </c>
      <c r="C1837" s="6" t="s">
        <v>5307</v>
      </c>
      <c r="D1837" s="15" t="s">
        <v>335</v>
      </c>
      <c r="E1837" s="15" t="s">
        <v>35</v>
      </c>
      <c r="F1837" s="16" t="s">
        <v>6450</v>
      </c>
      <c r="G1837" s="6" t="s">
        <v>37</v>
      </c>
      <c r="H1837" s="6" t="s">
        <v>6451</v>
      </c>
    </row>
    <row r="1838" ht="12.75" customHeight="1">
      <c r="A1838" s="6" t="s">
        <v>6452</v>
      </c>
      <c r="B1838" s="6" t="s">
        <v>6417</v>
      </c>
      <c r="C1838" s="6" t="s">
        <v>5206</v>
      </c>
      <c r="D1838" s="15" t="s">
        <v>41</v>
      </c>
      <c r="E1838" s="15" t="s">
        <v>35</v>
      </c>
      <c r="F1838" s="16" t="s">
        <v>6453</v>
      </c>
      <c r="G1838" s="6" t="s">
        <v>37</v>
      </c>
      <c r="H1838" s="6" t="s">
        <v>6454</v>
      </c>
    </row>
    <row r="1839" ht="12.75" customHeight="1">
      <c r="A1839" s="6" t="s">
        <v>6455</v>
      </c>
      <c r="B1839" s="6" t="s">
        <v>6456</v>
      </c>
      <c r="C1839" s="6" t="s">
        <v>6457</v>
      </c>
      <c r="D1839" s="15" t="s">
        <v>50</v>
      </c>
      <c r="E1839" s="15" t="s">
        <v>35</v>
      </c>
      <c r="F1839" s="16" t="s">
        <v>6458</v>
      </c>
      <c r="G1839" s="6" t="s">
        <v>868</v>
      </c>
      <c r="H1839" s="6" t="s">
        <v>6459</v>
      </c>
    </row>
    <row r="1840" ht="12.75" customHeight="1">
      <c r="A1840" s="6" t="s">
        <v>6460</v>
      </c>
      <c r="B1840" s="6" t="s">
        <v>6456</v>
      </c>
      <c r="C1840" s="6" t="s">
        <v>33</v>
      </c>
      <c r="D1840" s="15" t="s">
        <v>50</v>
      </c>
      <c r="E1840" s="15" t="s">
        <v>35</v>
      </c>
      <c r="F1840" s="16" t="s">
        <v>6461</v>
      </c>
      <c r="G1840" s="6" t="s">
        <v>37</v>
      </c>
      <c r="H1840" s="6" t="s">
        <v>6462</v>
      </c>
    </row>
    <row r="1841" ht="12.75" customHeight="1">
      <c r="A1841" s="6" t="s">
        <v>6463</v>
      </c>
      <c r="B1841" s="6" t="s">
        <v>6456</v>
      </c>
      <c r="C1841" s="6" t="s">
        <v>106</v>
      </c>
      <c r="D1841" s="15" t="s">
        <v>34</v>
      </c>
      <c r="E1841" s="15" t="s">
        <v>35</v>
      </c>
      <c r="F1841" s="16" t="s">
        <v>6464</v>
      </c>
      <c r="G1841" s="6" t="s">
        <v>37</v>
      </c>
      <c r="H1841" s="6" t="s">
        <v>6465</v>
      </c>
    </row>
    <row r="1842" ht="12.75" customHeight="1">
      <c r="A1842" s="6" t="s">
        <v>6466</v>
      </c>
      <c r="B1842" s="6" t="s">
        <v>6456</v>
      </c>
      <c r="C1842" s="6" t="s">
        <v>6467</v>
      </c>
      <c r="D1842" s="15" t="s">
        <v>71</v>
      </c>
      <c r="E1842" s="15" t="s">
        <v>35</v>
      </c>
      <c r="F1842" s="16" t="s">
        <v>6468</v>
      </c>
      <c r="G1842" s="6" t="s">
        <v>37</v>
      </c>
      <c r="H1842" s="6" t="s">
        <v>6469</v>
      </c>
    </row>
    <row r="1843" ht="12.75" customHeight="1">
      <c r="A1843" s="6" t="s">
        <v>6470</v>
      </c>
      <c r="B1843" s="6" t="s">
        <v>6456</v>
      </c>
      <c r="C1843" s="6" t="s">
        <v>5365</v>
      </c>
      <c r="D1843" s="15" t="s">
        <v>34</v>
      </c>
      <c r="E1843" s="15" t="s">
        <v>35</v>
      </c>
      <c r="F1843" s="16" t="s">
        <v>6471</v>
      </c>
      <c r="G1843" s="6" t="s">
        <v>37</v>
      </c>
      <c r="H1843" s="6" t="s">
        <v>6472</v>
      </c>
    </row>
    <row r="1844" ht="12.75" customHeight="1">
      <c r="A1844" s="6" t="s">
        <v>6473</v>
      </c>
      <c r="B1844" s="6" t="s">
        <v>6456</v>
      </c>
      <c r="C1844" s="6" t="s">
        <v>5361</v>
      </c>
      <c r="D1844" s="15" t="s">
        <v>443</v>
      </c>
      <c r="E1844" s="15" t="s">
        <v>35</v>
      </c>
      <c r="F1844" s="16" t="s">
        <v>6474</v>
      </c>
      <c r="G1844" s="6" t="s">
        <v>37</v>
      </c>
      <c r="H1844" s="6" t="s">
        <v>6475</v>
      </c>
    </row>
    <row r="1845" ht="12.75" customHeight="1">
      <c r="A1845" s="6" t="s">
        <v>6476</v>
      </c>
      <c r="B1845" s="6" t="s">
        <v>6477</v>
      </c>
      <c r="C1845" s="6" t="s">
        <v>230</v>
      </c>
      <c r="D1845" s="15" t="s">
        <v>97</v>
      </c>
      <c r="E1845" s="15" t="s">
        <v>35</v>
      </c>
      <c r="F1845" s="16" t="s">
        <v>6478</v>
      </c>
      <c r="G1845" s="6" t="s">
        <v>37</v>
      </c>
      <c r="H1845" s="6" t="s">
        <v>6479</v>
      </c>
    </row>
    <row r="1846" ht="12.75" customHeight="1">
      <c r="A1846" s="6" t="s">
        <v>6480</v>
      </c>
      <c r="B1846" s="6" t="s">
        <v>6477</v>
      </c>
      <c r="C1846" s="6" t="s">
        <v>6481</v>
      </c>
      <c r="D1846" s="15" t="s">
        <v>34</v>
      </c>
      <c r="E1846" s="15" t="s">
        <v>35</v>
      </c>
      <c r="F1846" s="16" t="s">
        <v>6482</v>
      </c>
      <c r="G1846" s="6" t="s">
        <v>37</v>
      </c>
      <c r="H1846" s="6" t="s">
        <v>6483</v>
      </c>
    </row>
    <row r="1847" ht="12.75" customHeight="1">
      <c r="A1847" s="6" t="s">
        <v>6484</v>
      </c>
      <c r="B1847" s="6" t="s">
        <v>6477</v>
      </c>
      <c r="C1847" s="6" t="s">
        <v>6485</v>
      </c>
      <c r="D1847" s="15" t="s">
        <v>35</v>
      </c>
      <c r="E1847" s="15" t="s">
        <v>335</v>
      </c>
      <c r="F1847" s="16" t="s">
        <v>6486</v>
      </c>
      <c r="G1847" s="6" t="s">
        <v>37</v>
      </c>
      <c r="H1847" s="6" t="s">
        <v>6487</v>
      </c>
    </row>
    <row r="1848" ht="12.75" customHeight="1">
      <c r="A1848" s="6" t="s">
        <v>6488</v>
      </c>
      <c r="B1848" s="6" t="s">
        <v>6477</v>
      </c>
      <c r="C1848" s="6" t="s">
        <v>6489</v>
      </c>
      <c r="D1848" s="15" t="s">
        <v>35</v>
      </c>
      <c r="E1848" s="15" t="s">
        <v>490</v>
      </c>
      <c r="F1848" s="16" t="s">
        <v>6490</v>
      </c>
      <c r="G1848" s="6" t="s">
        <v>37</v>
      </c>
      <c r="H1848" s="6" t="s">
        <v>6491</v>
      </c>
    </row>
    <row r="1849" ht="12.75" customHeight="1">
      <c r="A1849" s="6" t="s">
        <v>6492</v>
      </c>
      <c r="B1849" s="6" t="s">
        <v>6477</v>
      </c>
      <c r="C1849" s="6" t="s">
        <v>221</v>
      </c>
      <c r="D1849" s="15" t="s">
        <v>222</v>
      </c>
      <c r="E1849" s="15" t="s">
        <v>35</v>
      </c>
      <c r="F1849" s="16" t="s">
        <v>6493</v>
      </c>
      <c r="G1849" s="6" t="s">
        <v>37</v>
      </c>
      <c r="H1849" s="6" t="s">
        <v>6494</v>
      </c>
    </row>
    <row r="1850" ht="12.75" customHeight="1">
      <c r="A1850" s="6" t="s">
        <v>6495</v>
      </c>
      <c r="B1850" s="6" t="s">
        <v>6477</v>
      </c>
      <c r="C1850" s="6" t="s">
        <v>33</v>
      </c>
      <c r="D1850" s="15" t="s">
        <v>137</v>
      </c>
      <c r="E1850" s="15" t="s">
        <v>35</v>
      </c>
      <c r="F1850" s="16" t="s">
        <v>6496</v>
      </c>
      <c r="G1850" s="6" t="s">
        <v>37</v>
      </c>
      <c r="H1850" s="6" t="s">
        <v>6497</v>
      </c>
    </row>
    <row r="1851" ht="12.75" customHeight="1">
      <c r="A1851" s="6" t="s">
        <v>6498</v>
      </c>
      <c r="B1851" s="6" t="s">
        <v>6477</v>
      </c>
      <c r="C1851" s="6" t="s">
        <v>6499</v>
      </c>
      <c r="D1851" s="15" t="s">
        <v>119</v>
      </c>
      <c r="E1851" s="15" t="s">
        <v>35</v>
      </c>
      <c r="F1851" s="16" t="s">
        <v>6500</v>
      </c>
      <c r="G1851" s="6" t="s">
        <v>37</v>
      </c>
      <c r="H1851" s="6" t="s">
        <v>6501</v>
      </c>
    </row>
    <row r="1852" ht="12.75" customHeight="1">
      <c r="A1852" s="6" t="s">
        <v>6502</v>
      </c>
      <c r="B1852" s="6" t="s">
        <v>6477</v>
      </c>
      <c r="C1852" s="6" t="s">
        <v>40</v>
      </c>
      <c r="D1852" s="15" t="s">
        <v>35</v>
      </c>
      <c r="E1852" s="15" t="s">
        <v>119</v>
      </c>
      <c r="F1852" s="16" t="s">
        <v>6496</v>
      </c>
      <c r="G1852" s="6" t="s">
        <v>37</v>
      </c>
      <c r="H1852" s="6" t="s">
        <v>6503</v>
      </c>
    </row>
    <row r="1853" ht="12.75" customHeight="1">
      <c r="A1853" s="6" t="s">
        <v>6504</v>
      </c>
      <c r="B1853" s="6" t="s">
        <v>6477</v>
      </c>
      <c r="C1853" s="6" t="s">
        <v>5967</v>
      </c>
      <c r="D1853" s="15" t="s">
        <v>35</v>
      </c>
      <c r="E1853" s="15" t="s">
        <v>256</v>
      </c>
      <c r="F1853" s="16" t="s">
        <v>6505</v>
      </c>
      <c r="G1853" s="6" t="s">
        <v>37</v>
      </c>
      <c r="H1853" s="6" t="s">
        <v>6506</v>
      </c>
    </row>
    <row r="1854" ht="12.75" customHeight="1">
      <c r="A1854" s="6" t="s">
        <v>6507</v>
      </c>
      <c r="B1854" s="6" t="s">
        <v>6477</v>
      </c>
      <c r="C1854" s="6" t="s">
        <v>221</v>
      </c>
      <c r="D1854" s="15" t="s">
        <v>222</v>
      </c>
      <c r="E1854" s="15" t="s">
        <v>35</v>
      </c>
      <c r="F1854" s="16" t="s">
        <v>6508</v>
      </c>
      <c r="G1854" s="6" t="s">
        <v>37</v>
      </c>
      <c r="H1854" s="6" t="s">
        <v>6509</v>
      </c>
    </row>
    <row r="1855" ht="12.75" customHeight="1">
      <c r="A1855" s="6" t="s">
        <v>6510</v>
      </c>
      <c r="B1855" s="6" t="s">
        <v>6477</v>
      </c>
      <c r="C1855" s="6" t="s">
        <v>3381</v>
      </c>
      <c r="D1855" s="15" t="s">
        <v>6053</v>
      </c>
      <c r="E1855" s="15" t="s">
        <v>35</v>
      </c>
      <c r="F1855" s="16" t="s">
        <v>6511</v>
      </c>
      <c r="G1855" s="6" t="s">
        <v>37</v>
      </c>
      <c r="H1855" s="6" t="s">
        <v>6512</v>
      </c>
    </row>
    <row r="1856" ht="12.75" customHeight="1">
      <c r="A1856" s="6" t="s">
        <v>6513</v>
      </c>
      <c r="B1856" s="6" t="s">
        <v>6477</v>
      </c>
      <c r="C1856" s="6" t="s">
        <v>45</v>
      </c>
      <c r="D1856" s="15" t="s">
        <v>119</v>
      </c>
      <c r="E1856" s="15" t="s">
        <v>35</v>
      </c>
      <c r="F1856" s="16" t="s">
        <v>6514</v>
      </c>
      <c r="G1856" s="6" t="s">
        <v>37</v>
      </c>
      <c r="H1856" s="6" t="s">
        <v>6515</v>
      </c>
    </row>
    <row r="1857" ht="12.75" customHeight="1">
      <c r="A1857" s="6" t="s">
        <v>6516</v>
      </c>
      <c r="B1857" s="6" t="s">
        <v>6517</v>
      </c>
      <c r="C1857" s="6" t="s">
        <v>230</v>
      </c>
      <c r="D1857" s="15" t="s">
        <v>50</v>
      </c>
      <c r="E1857" s="15" t="s">
        <v>35</v>
      </c>
      <c r="F1857" s="16" t="s">
        <v>6518</v>
      </c>
      <c r="G1857" s="6" t="s">
        <v>37</v>
      </c>
      <c r="H1857" s="6" t="s">
        <v>6519</v>
      </c>
    </row>
    <row r="1858" ht="12.75" customHeight="1">
      <c r="A1858" s="6" t="s">
        <v>6520</v>
      </c>
      <c r="B1858" s="6" t="s">
        <v>6517</v>
      </c>
      <c r="C1858" s="6" t="s">
        <v>6521</v>
      </c>
      <c r="D1858" s="15" t="s">
        <v>335</v>
      </c>
      <c r="E1858" s="15" t="s">
        <v>35</v>
      </c>
      <c r="F1858" s="16" t="s">
        <v>6522</v>
      </c>
      <c r="G1858" s="6" t="s">
        <v>37</v>
      </c>
      <c r="H1858" s="6" t="s">
        <v>6523</v>
      </c>
    </row>
    <row r="1859" ht="12.75" customHeight="1">
      <c r="A1859" s="6" t="s">
        <v>6524</v>
      </c>
      <c r="B1859" s="6" t="s">
        <v>6517</v>
      </c>
      <c r="C1859" s="6" t="s">
        <v>6525</v>
      </c>
      <c r="D1859" s="15" t="s">
        <v>119</v>
      </c>
      <c r="E1859" s="15" t="s">
        <v>35</v>
      </c>
      <c r="F1859" s="16" t="s">
        <v>6526</v>
      </c>
      <c r="G1859" s="6" t="s">
        <v>37</v>
      </c>
      <c r="H1859" s="6" t="s">
        <v>6527</v>
      </c>
    </row>
    <row r="1860" ht="12.75" customHeight="1">
      <c r="A1860" s="6" t="s">
        <v>6528</v>
      </c>
      <c r="B1860" s="6" t="s">
        <v>6517</v>
      </c>
      <c r="C1860" s="6" t="s">
        <v>2905</v>
      </c>
      <c r="D1860" s="15" t="s">
        <v>971</v>
      </c>
      <c r="E1860" s="15" t="s">
        <v>35</v>
      </c>
      <c r="F1860" s="16" t="s">
        <v>6529</v>
      </c>
      <c r="G1860" s="6" t="s">
        <v>37</v>
      </c>
      <c r="H1860" s="6" t="s">
        <v>6530</v>
      </c>
    </row>
    <row r="1861" ht="12.75" customHeight="1">
      <c r="A1861" s="6" t="s">
        <v>6531</v>
      </c>
      <c r="B1861" s="6" t="s">
        <v>6532</v>
      </c>
      <c r="C1861" s="6" t="s">
        <v>6180</v>
      </c>
      <c r="D1861" s="15" t="s">
        <v>41</v>
      </c>
      <c r="E1861" s="15" t="s">
        <v>35</v>
      </c>
      <c r="F1861" s="16" t="s">
        <v>6533</v>
      </c>
      <c r="G1861" s="6" t="s">
        <v>37</v>
      </c>
      <c r="H1861" s="6" t="s">
        <v>6534</v>
      </c>
    </row>
    <row r="1862" ht="12.75" customHeight="1">
      <c r="A1862" s="6" t="s">
        <v>6535</v>
      </c>
      <c r="B1862" s="6" t="s">
        <v>6532</v>
      </c>
      <c r="C1862" s="6" t="s">
        <v>168</v>
      </c>
      <c r="D1862" s="15" t="s">
        <v>35</v>
      </c>
      <c r="E1862" s="15" t="s">
        <v>264</v>
      </c>
      <c r="F1862" s="16" t="s">
        <v>6536</v>
      </c>
      <c r="G1862" s="6" t="s">
        <v>37</v>
      </c>
      <c r="H1862" s="6" t="s">
        <v>6537</v>
      </c>
    </row>
    <row r="1863" ht="12.75" customHeight="1">
      <c r="A1863" s="6" t="s">
        <v>6538</v>
      </c>
      <c r="B1863" s="6" t="s">
        <v>6532</v>
      </c>
      <c r="C1863" s="6" t="s">
        <v>6539</v>
      </c>
      <c r="D1863" s="15" t="s">
        <v>50</v>
      </c>
      <c r="E1863" s="15" t="s">
        <v>35</v>
      </c>
      <c r="F1863" s="16" t="s">
        <v>6540</v>
      </c>
      <c r="G1863" s="6" t="s">
        <v>37</v>
      </c>
      <c r="H1863" s="6" t="s">
        <v>6541</v>
      </c>
    </row>
    <row r="1864" ht="12.75" customHeight="1">
      <c r="A1864" s="6" t="s">
        <v>6542</v>
      </c>
      <c r="B1864" s="6" t="s">
        <v>6543</v>
      </c>
      <c r="C1864" s="6" t="s">
        <v>6544</v>
      </c>
      <c r="D1864" s="15" t="s">
        <v>34</v>
      </c>
      <c r="E1864" s="15" t="s">
        <v>35</v>
      </c>
      <c r="F1864" s="16" t="s">
        <v>6522</v>
      </c>
      <c r="G1864" s="6" t="s">
        <v>37</v>
      </c>
      <c r="H1864" s="6" t="s">
        <v>6545</v>
      </c>
    </row>
    <row r="1865" ht="12.75" customHeight="1">
      <c r="A1865" s="6" t="s">
        <v>6546</v>
      </c>
      <c r="B1865" s="6" t="s">
        <v>6543</v>
      </c>
      <c r="C1865" s="6" t="s">
        <v>6339</v>
      </c>
      <c r="D1865" s="15" t="s">
        <v>953</v>
      </c>
      <c r="E1865" s="15" t="s">
        <v>35</v>
      </c>
      <c r="F1865" s="16" t="s">
        <v>6547</v>
      </c>
      <c r="G1865" s="6" t="s">
        <v>37</v>
      </c>
      <c r="H1865" s="6" t="s">
        <v>6548</v>
      </c>
    </row>
    <row r="1866" ht="12.75" customHeight="1">
      <c r="A1866" s="6" t="s">
        <v>6549</v>
      </c>
      <c r="B1866" s="6" t="s">
        <v>6543</v>
      </c>
      <c r="C1866" s="6" t="s">
        <v>912</v>
      </c>
      <c r="D1866" s="15" t="s">
        <v>35</v>
      </c>
      <c r="E1866" s="15" t="s">
        <v>97</v>
      </c>
      <c r="F1866" s="16" t="s">
        <v>6550</v>
      </c>
      <c r="G1866" s="6" t="s">
        <v>37</v>
      </c>
      <c r="H1866" s="6" t="s">
        <v>6551</v>
      </c>
    </row>
    <row r="1867" ht="12.75" customHeight="1">
      <c r="A1867" s="6" t="s">
        <v>6552</v>
      </c>
      <c r="B1867" s="6" t="s">
        <v>6543</v>
      </c>
      <c r="C1867" s="6" t="s">
        <v>168</v>
      </c>
      <c r="D1867" s="15" t="s">
        <v>35</v>
      </c>
      <c r="E1867" s="15" t="s">
        <v>97</v>
      </c>
      <c r="F1867" s="16" t="s">
        <v>6553</v>
      </c>
      <c r="G1867" s="6" t="s">
        <v>37</v>
      </c>
      <c r="H1867" s="6" t="s">
        <v>6554</v>
      </c>
    </row>
    <row r="1868" ht="12.75" customHeight="1">
      <c r="A1868" s="6" t="s">
        <v>6555</v>
      </c>
      <c r="B1868" s="6" t="s">
        <v>6543</v>
      </c>
      <c r="C1868" s="6" t="s">
        <v>2905</v>
      </c>
      <c r="D1868" s="15" t="s">
        <v>2563</v>
      </c>
      <c r="E1868" s="15" t="s">
        <v>35</v>
      </c>
      <c r="F1868" s="16" t="s">
        <v>6529</v>
      </c>
      <c r="G1868" s="6" t="s">
        <v>37</v>
      </c>
      <c r="H1868" s="6" t="s">
        <v>6556</v>
      </c>
    </row>
    <row r="1869" ht="12.75" customHeight="1">
      <c r="A1869" s="6" t="s">
        <v>6557</v>
      </c>
      <c r="B1869" s="6" t="s">
        <v>6543</v>
      </c>
      <c r="C1869" s="6" t="s">
        <v>6558</v>
      </c>
      <c r="D1869" s="15" t="s">
        <v>55</v>
      </c>
      <c r="E1869" s="15" t="s">
        <v>35</v>
      </c>
      <c r="F1869" s="16" t="s">
        <v>6559</v>
      </c>
      <c r="G1869" s="6" t="s">
        <v>37</v>
      </c>
      <c r="H1869" s="6" t="s">
        <v>6560</v>
      </c>
    </row>
    <row r="1870" ht="12.75" customHeight="1">
      <c r="A1870" s="6" t="s">
        <v>6561</v>
      </c>
      <c r="B1870" s="6" t="s">
        <v>6543</v>
      </c>
      <c r="C1870" s="6" t="s">
        <v>40</v>
      </c>
      <c r="D1870" s="15" t="s">
        <v>35</v>
      </c>
      <c r="E1870" s="15" t="s">
        <v>123</v>
      </c>
      <c r="F1870" s="16" t="s">
        <v>6562</v>
      </c>
      <c r="G1870" s="6" t="s">
        <v>37</v>
      </c>
      <c r="H1870" s="6" t="s">
        <v>6563</v>
      </c>
    </row>
    <row r="1871" ht="12.75" customHeight="1">
      <c r="A1871" s="6" t="s">
        <v>6564</v>
      </c>
      <c r="B1871" s="6" t="s">
        <v>6565</v>
      </c>
      <c r="C1871" s="6" t="s">
        <v>5789</v>
      </c>
      <c r="D1871" s="15" t="s">
        <v>35</v>
      </c>
      <c r="E1871" s="15" t="s">
        <v>855</v>
      </c>
      <c r="F1871" s="16" t="s">
        <v>6566</v>
      </c>
      <c r="G1871" s="6" t="s">
        <v>37</v>
      </c>
      <c r="H1871" s="6" t="s">
        <v>6567</v>
      </c>
    </row>
    <row r="1872" ht="12.75" customHeight="1">
      <c r="A1872" s="6" t="s">
        <v>6568</v>
      </c>
      <c r="B1872" s="6" t="s">
        <v>6565</v>
      </c>
      <c r="C1872" s="6" t="s">
        <v>6339</v>
      </c>
      <c r="D1872" s="15" t="s">
        <v>515</v>
      </c>
      <c r="E1872" s="15" t="s">
        <v>35</v>
      </c>
      <c r="F1872" s="16" t="s">
        <v>6569</v>
      </c>
      <c r="G1872" s="6" t="s">
        <v>37</v>
      </c>
      <c r="H1872" s="6" t="s">
        <v>6570</v>
      </c>
    </row>
    <row r="1873" ht="12.75" customHeight="1">
      <c r="A1873" s="6" t="s">
        <v>6571</v>
      </c>
      <c r="B1873" s="6" t="s">
        <v>6565</v>
      </c>
      <c r="C1873" s="6" t="s">
        <v>5789</v>
      </c>
      <c r="D1873" s="15" t="s">
        <v>35</v>
      </c>
      <c r="E1873" s="15" t="s">
        <v>41</v>
      </c>
      <c r="F1873" s="16" t="s">
        <v>6572</v>
      </c>
      <c r="G1873" s="6" t="s">
        <v>37</v>
      </c>
      <c r="H1873" s="6" t="s">
        <v>6573</v>
      </c>
    </row>
    <row r="1874" ht="12.75" customHeight="1">
      <c r="A1874" s="6" t="s">
        <v>6574</v>
      </c>
      <c r="B1874" s="6" t="s">
        <v>6565</v>
      </c>
      <c r="C1874" s="6" t="s">
        <v>106</v>
      </c>
      <c r="D1874" s="15" t="s">
        <v>41</v>
      </c>
      <c r="E1874" s="15" t="s">
        <v>35</v>
      </c>
      <c r="F1874" s="16" t="s">
        <v>6569</v>
      </c>
      <c r="G1874" s="6" t="s">
        <v>37</v>
      </c>
      <c r="H1874" s="6" t="s">
        <v>6575</v>
      </c>
    </row>
    <row r="1875" ht="12.75" customHeight="1">
      <c r="A1875" s="6" t="s">
        <v>6576</v>
      </c>
      <c r="B1875" s="6" t="s">
        <v>6565</v>
      </c>
      <c r="C1875" s="6" t="s">
        <v>5789</v>
      </c>
      <c r="D1875" s="15" t="s">
        <v>35</v>
      </c>
      <c r="E1875" s="15" t="s">
        <v>128</v>
      </c>
      <c r="F1875" s="16" t="s">
        <v>6577</v>
      </c>
      <c r="G1875" s="6" t="s">
        <v>37</v>
      </c>
      <c r="H1875" s="6" t="s">
        <v>6578</v>
      </c>
    </row>
    <row r="1876" ht="12.75" customHeight="1">
      <c r="A1876" s="6" t="s">
        <v>6579</v>
      </c>
      <c r="B1876" s="6" t="s">
        <v>6565</v>
      </c>
      <c r="C1876" s="6" t="s">
        <v>5789</v>
      </c>
      <c r="D1876" s="15" t="s">
        <v>35</v>
      </c>
      <c r="E1876" s="15" t="s">
        <v>6580</v>
      </c>
      <c r="F1876" s="16" t="s">
        <v>6581</v>
      </c>
      <c r="G1876" s="6" t="s">
        <v>37</v>
      </c>
      <c r="H1876" s="6" t="s">
        <v>6582</v>
      </c>
    </row>
    <row r="1877" ht="12.75" customHeight="1">
      <c r="A1877" s="6" t="s">
        <v>6583</v>
      </c>
      <c r="B1877" s="6" t="s">
        <v>6565</v>
      </c>
      <c r="C1877" s="6" t="s">
        <v>2585</v>
      </c>
      <c r="D1877" s="15" t="s">
        <v>97</v>
      </c>
      <c r="E1877" s="15" t="s">
        <v>35</v>
      </c>
      <c r="F1877" s="16" t="s">
        <v>6584</v>
      </c>
      <c r="G1877" s="6" t="s">
        <v>37</v>
      </c>
      <c r="H1877" s="6" t="s">
        <v>6585</v>
      </c>
    </row>
    <row r="1878" ht="12.75" customHeight="1">
      <c r="A1878" s="6" t="s">
        <v>6586</v>
      </c>
      <c r="B1878" s="6" t="s">
        <v>6565</v>
      </c>
      <c r="C1878" s="6" t="s">
        <v>2905</v>
      </c>
      <c r="D1878" s="15" t="s">
        <v>926</v>
      </c>
      <c r="E1878" s="15" t="s">
        <v>35</v>
      </c>
      <c r="F1878" s="16" t="s">
        <v>6587</v>
      </c>
      <c r="G1878" s="6" t="s">
        <v>37</v>
      </c>
      <c r="H1878" s="6" t="s">
        <v>6588</v>
      </c>
    </row>
    <row r="1879" ht="12.75" customHeight="1">
      <c r="A1879" s="6" t="s">
        <v>6589</v>
      </c>
      <c r="B1879" s="6" t="s">
        <v>6565</v>
      </c>
      <c r="C1879" s="6" t="s">
        <v>6558</v>
      </c>
      <c r="D1879" s="15" t="s">
        <v>754</v>
      </c>
      <c r="E1879" s="15" t="s">
        <v>35</v>
      </c>
      <c r="F1879" s="16" t="s">
        <v>6590</v>
      </c>
      <c r="G1879" s="6" t="s">
        <v>37</v>
      </c>
      <c r="H1879" s="6" t="s">
        <v>6591</v>
      </c>
    </row>
    <row r="1880" ht="12.75" customHeight="1">
      <c r="A1880" s="6" t="s">
        <v>6592</v>
      </c>
      <c r="B1880" s="6" t="s">
        <v>6593</v>
      </c>
      <c r="C1880" s="6" t="s">
        <v>6594</v>
      </c>
      <c r="D1880" s="15" t="s">
        <v>34</v>
      </c>
      <c r="E1880" s="15" t="s">
        <v>35</v>
      </c>
      <c r="F1880" s="16" t="s">
        <v>6595</v>
      </c>
      <c r="G1880" s="6" t="s">
        <v>37</v>
      </c>
      <c r="H1880" s="6" t="s">
        <v>6596</v>
      </c>
    </row>
    <row r="1881" ht="12.75" customHeight="1">
      <c r="A1881" s="6" t="s">
        <v>6597</v>
      </c>
      <c r="B1881" s="6" t="s">
        <v>6593</v>
      </c>
      <c r="C1881" s="6" t="s">
        <v>5307</v>
      </c>
      <c r="D1881" s="15" t="s">
        <v>855</v>
      </c>
      <c r="E1881" s="15" t="s">
        <v>35</v>
      </c>
      <c r="F1881" s="16" t="s">
        <v>6598</v>
      </c>
      <c r="G1881" s="6" t="s">
        <v>37</v>
      </c>
      <c r="H1881" s="6" t="s">
        <v>6599</v>
      </c>
    </row>
    <row r="1882" ht="12.75" customHeight="1">
      <c r="A1882" s="6" t="s">
        <v>6600</v>
      </c>
      <c r="B1882" s="6" t="s">
        <v>6593</v>
      </c>
      <c r="C1882" s="6" t="s">
        <v>230</v>
      </c>
      <c r="D1882" s="15" t="s">
        <v>251</v>
      </c>
      <c r="E1882" s="15" t="s">
        <v>35</v>
      </c>
      <c r="F1882" s="16" t="s">
        <v>6601</v>
      </c>
      <c r="G1882" s="6" t="s">
        <v>37</v>
      </c>
      <c r="H1882" s="6" t="s">
        <v>6602</v>
      </c>
    </row>
    <row r="1883" ht="12.75" customHeight="1">
      <c r="A1883" s="6" t="s">
        <v>6603</v>
      </c>
      <c r="B1883" s="6" t="s">
        <v>6593</v>
      </c>
      <c r="C1883" s="6" t="s">
        <v>70</v>
      </c>
      <c r="D1883" s="15" t="s">
        <v>34</v>
      </c>
      <c r="E1883" s="15" t="s">
        <v>35</v>
      </c>
      <c r="F1883" s="16" t="s">
        <v>6604</v>
      </c>
      <c r="G1883" s="6" t="s">
        <v>37</v>
      </c>
      <c r="H1883" s="6" t="s">
        <v>6605</v>
      </c>
    </row>
    <row r="1884" ht="12.75" customHeight="1">
      <c r="A1884" s="6" t="s">
        <v>6606</v>
      </c>
      <c r="B1884" s="6" t="s">
        <v>6593</v>
      </c>
      <c r="C1884" s="6" t="s">
        <v>70</v>
      </c>
      <c r="D1884" s="15" t="s">
        <v>50</v>
      </c>
      <c r="E1884" s="15" t="s">
        <v>35</v>
      </c>
      <c r="F1884" s="16" t="s">
        <v>6607</v>
      </c>
      <c r="G1884" s="6" t="s">
        <v>37</v>
      </c>
      <c r="H1884" s="6" t="s">
        <v>6608</v>
      </c>
    </row>
    <row r="1885" ht="12.75" customHeight="1">
      <c r="A1885" s="6" t="s">
        <v>6609</v>
      </c>
      <c r="B1885" s="6" t="s">
        <v>6610</v>
      </c>
      <c r="C1885" s="6" t="s">
        <v>6308</v>
      </c>
      <c r="D1885" s="15" t="s">
        <v>41</v>
      </c>
      <c r="E1885" s="15" t="s">
        <v>35</v>
      </c>
      <c r="F1885" s="16" t="s">
        <v>6611</v>
      </c>
      <c r="G1885" s="6" t="s">
        <v>37</v>
      </c>
      <c r="H1885" s="6" t="s">
        <v>6612</v>
      </c>
    </row>
    <row r="1886" ht="12.75" customHeight="1">
      <c r="A1886" s="6" t="s">
        <v>6613</v>
      </c>
      <c r="B1886" s="6" t="s">
        <v>6610</v>
      </c>
      <c r="C1886" s="6" t="s">
        <v>5361</v>
      </c>
      <c r="D1886" s="15" t="s">
        <v>119</v>
      </c>
      <c r="E1886" s="15" t="s">
        <v>35</v>
      </c>
      <c r="F1886" s="16" t="s">
        <v>6614</v>
      </c>
      <c r="G1886" s="6" t="s">
        <v>37</v>
      </c>
      <c r="H1886" s="6" t="s">
        <v>6615</v>
      </c>
    </row>
    <row r="1887" ht="12.75" customHeight="1">
      <c r="A1887" s="6" t="s">
        <v>6616</v>
      </c>
      <c r="B1887" s="6" t="s">
        <v>6610</v>
      </c>
      <c r="C1887" s="6" t="s">
        <v>230</v>
      </c>
      <c r="D1887" s="15" t="s">
        <v>34</v>
      </c>
      <c r="E1887" s="15" t="s">
        <v>35</v>
      </c>
      <c r="F1887" s="16" t="s">
        <v>6617</v>
      </c>
      <c r="G1887" s="6" t="s">
        <v>37</v>
      </c>
      <c r="H1887" s="6" t="s">
        <v>6618</v>
      </c>
    </row>
    <row r="1888" ht="12.75" customHeight="1">
      <c r="A1888" s="6" t="s">
        <v>6619</v>
      </c>
      <c r="B1888" s="6" t="s">
        <v>6610</v>
      </c>
      <c r="C1888" s="6" t="s">
        <v>40</v>
      </c>
      <c r="D1888" s="15" t="s">
        <v>35</v>
      </c>
      <c r="E1888" s="15" t="s">
        <v>50</v>
      </c>
      <c r="F1888" s="16" t="s">
        <v>6620</v>
      </c>
      <c r="G1888" s="6" t="s">
        <v>37</v>
      </c>
      <c r="H1888" s="6" t="s">
        <v>6621</v>
      </c>
    </row>
    <row r="1889" ht="12.75" customHeight="1">
      <c r="A1889" s="6" t="s">
        <v>6622</v>
      </c>
      <c r="B1889" s="6" t="s">
        <v>6610</v>
      </c>
      <c r="C1889" s="6" t="s">
        <v>6499</v>
      </c>
      <c r="D1889" s="15" t="s">
        <v>50</v>
      </c>
      <c r="E1889" s="15" t="s">
        <v>35</v>
      </c>
      <c r="F1889" s="16" t="s">
        <v>6617</v>
      </c>
      <c r="G1889" s="6" t="s">
        <v>37</v>
      </c>
      <c r="H1889" s="6" t="s">
        <v>6623</v>
      </c>
    </row>
  </sheetData>
  <mergeCells count="1">
    <mergeCell ref="F2:H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0.0"/>
    <col customWidth="1" min="3" max="3" width="30.86"/>
    <col customWidth="1" min="4" max="4" width="18.0"/>
    <col customWidth="1" min="5" max="5" width="14.0"/>
    <col customWidth="1" min="6" max="6" width="15.43"/>
    <col customWidth="1" min="7" max="7" width="19.86"/>
    <col customWidth="1" min="8" max="8" width="21.71"/>
    <col customWidth="1" min="9" max="26" width="14.0"/>
  </cols>
  <sheetData>
    <row r="1" ht="12.75" customHeight="1">
      <c r="A1" s="1" t="s">
        <v>6624</v>
      </c>
      <c r="B1" s="1"/>
      <c r="C1" s="1"/>
      <c r="D1" s="1"/>
      <c r="E1" s="2" t="s">
        <v>1</v>
      </c>
      <c r="F1" s="3" t="s">
        <v>2</v>
      </c>
      <c r="G1" s="1"/>
      <c r="H1" s="4"/>
    </row>
    <row r="2" ht="12.75" customHeight="1">
      <c r="A2" s="2" t="s">
        <v>3</v>
      </c>
      <c r="B2" s="5" t="s">
        <v>4</v>
      </c>
      <c r="C2" s="2" t="s">
        <v>5</v>
      </c>
      <c r="D2" s="6" t="s">
        <v>6</v>
      </c>
      <c r="E2" s="2" t="s">
        <v>7</v>
      </c>
      <c r="F2" s="7" t="s">
        <v>8</v>
      </c>
      <c r="G2" s="8"/>
      <c r="H2" s="9"/>
    </row>
    <row r="3" ht="12.75" customHeight="1">
      <c r="A3" s="2" t="s">
        <v>9</v>
      </c>
      <c r="B3" s="10" t="s">
        <v>6625</v>
      </c>
      <c r="C3" s="2" t="s">
        <v>11</v>
      </c>
      <c r="D3" s="10" t="s">
        <v>12</v>
      </c>
      <c r="E3" s="11"/>
      <c r="F3" s="11"/>
      <c r="G3" s="2"/>
      <c r="H3" s="2"/>
    </row>
    <row r="4" ht="12.75" customHeight="1">
      <c r="A4" s="2" t="s">
        <v>13</v>
      </c>
      <c r="B4" s="12" t="s">
        <v>6626</v>
      </c>
      <c r="C4" s="2" t="s">
        <v>15</v>
      </c>
      <c r="D4" s="10" t="s">
        <v>6627</v>
      </c>
      <c r="E4" s="2" t="s">
        <v>17</v>
      </c>
      <c r="F4" s="13">
        <v>28.0</v>
      </c>
      <c r="G4" s="11"/>
      <c r="H4" s="11"/>
    </row>
    <row r="5" ht="12.75" customHeight="1">
      <c r="A5" s="2" t="s">
        <v>18</v>
      </c>
      <c r="B5" s="12" t="s">
        <v>6626</v>
      </c>
      <c r="C5" s="2" t="s">
        <v>20</v>
      </c>
      <c r="D5" s="10" t="s">
        <v>6627</v>
      </c>
      <c r="E5" s="2" t="s">
        <v>22</v>
      </c>
      <c r="F5" s="13">
        <v>21.0</v>
      </c>
      <c r="G5" s="11"/>
      <c r="H5" s="11"/>
    </row>
    <row r="6" ht="12.75" customHeight="1">
      <c r="A6" s="2"/>
      <c r="B6" s="2"/>
      <c r="C6" s="2"/>
      <c r="D6" s="2"/>
      <c r="E6" s="17"/>
      <c r="F6" s="2"/>
      <c r="G6" s="2"/>
      <c r="H6" s="2"/>
    </row>
    <row r="7" ht="12.75" customHeight="1">
      <c r="A7" s="14" t="s">
        <v>23</v>
      </c>
      <c r="B7" s="14" t="s">
        <v>24</v>
      </c>
      <c r="C7" s="14" t="s">
        <v>25</v>
      </c>
      <c r="D7" s="14" t="s">
        <v>26</v>
      </c>
      <c r="E7" s="14" t="s">
        <v>27</v>
      </c>
      <c r="F7" s="14" t="s">
        <v>28</v>
      </c>
      <c r="G7" s="14" t="s">
        <v>29</v>
      </c>
      <c r="H7" s="14" t="s">
        <v>30</v>
      </c>
    </row>
    <row r="8" ht="12.75" customHeight="1">
      <c r="A8" s="6" t="s">
        <v>6628</v>
      </c>
      <c r="B8" s="6" t="s">
        <v>2961</v>
      </c>
      <c r="C8" s="6" t="s">
        <v>6629</v>
      </c>
      <c r="D8" s="15" t="s">
        <v>35</v>
      </c>
      <c r="E8" s="15" t="s">
        <v>490</v>
      </c>
      <c r="F8" s="16" t="s">
        <v>490</v>
      </c>
      <c r="G8" s="6" t="s">
        <v>37</v>
      </c>
      <c r="H8" s="6" t="s">
        <v>6630</v>
      </c>
    </row>
    <row r="9" ht="12.75" customHeight="1">
      <c r="A9" s="6" t="s">
        <v>2987</v>
      </c>
      <c r="B9" s="6" t="s">
        <v>2982</v>
      </c>
      <c r="C9" s="6" t="s">
        <v>2988</v>
      </c>
      <c r="D9" s="15" t="s">
        <v>97</v>
      </c>
      <c r="E9" s="15" t="s">
        <v>35</v>
      </c>
      <c r="F9" s="16" t="s">
        <v>6631</v>
      </c>
      <c r="G9" s="6" t="s">
        <v>37</v>
      </c>
      <c r="H9" s="6" t="s">
        <v>2990</v>
      </c>
    </row>
    <row r="10" ht="12.75" customHeight="1">
      <c r="A10" s="6" t="s">
        <v>6632</v>
      </c>
      <c r="B10" s="6" t="s">
        <v>3004</v>
      </c>
      <c r="C10" s="6" t="s">
        <v>6633</v>
      </c>
      <c r="D10" s="15" t="s">
        <v>35</v>
      </c>
      <c r="E10" s="15" t="s">
        <v>6634</v>
      </c>
      <c r="F10" s="16" t="s">
        <v>6635</v>
      </c>
      <c r="G10" s="6" t="s">
        <v>37</v>
      </c>
      <c r="H10" s="6" t="s">
        <v>6636</v>
      </c>
    </row>
    <row r="11" ht="12.75" customHeight="1">
      <c r="A11" s="6" t="s">
        <v>3012</v>
      </c>
      <c r="B11" s="6" t="s">
        <v>3004</v>
      </c>
      <c r="C11" s="6" t="s">
        <v>2988</v>
      </c>
      <c r="D11" s="15" t="s">
        <v>568</v>
      </c>
      <c r="E11" s="15" t="s">
        <v>35</v>
      </c>
      <c r="F11" s="16" t="s">
        <v>6637</v>
      </c>
      <c r="G11" s="6" t="s">
        <v>37</v>
      </c>
      <c r="H11" s="6" t="s">
        <v>3014</v>
      </c>
    </row>
    <row r="12" ht="12.75" customHeight="1">
      <c r="A12" s="6" t="s">
        <v>3020</v>
      </c>
      <c r="B12" s="6" t="s">
        <v>3004</v>
      </c>
      <c r="C12" s="6" t="s">
        <v>2988</v>
      </c>
      <c r="D12" s="15" t="s">
        <v>855</v>
      </c>
      <c r="E12" s="15" t="s">
        <v>35</v>
      </c>
      <c r="F12" s="16" t="s">
        <v>6638</v>
      </c>
      <c r="G12" s="6" t="s">
        <v>37</v>
      </c>
      <c r="H12" s="6" t="s">
        <v>3022</v>
      </c>
    </row>
    <row r="13" ht="12.75" customHeight="1">
      <c r="A13" s="6" t="s">
        <v>3026</v>
      </c>
      <c r="B13" s="6" t="s">
        <v>3004</v>
      </c>
      <c r="C13" s="6" t="s">
        <v>2988</v>
      </c>
      <c r="D13" s="15" t="s">
        <v>50</v>
      </c>
      <c r="E13" s="15" t="s">
        <v>35</v>
      </c>
      <c r="F13" s="16" t="s">
        <v>6639</v>
      </c>
      <c r="G13" s="6" t="s">
        <v>37</v>
      </c>
      <c r="H13" s="6" t="s">
        <v>3027</v>
      </c>
    </row>
    <row r="14" ht="12.75" customHeight="1">
      <c r="A14" s="6" t="s">
        <v>3030</v>
      </c>
      <c r="B14" s="6" t="s">
        <v>3004</v>
      </c>
      <c r="C14" s="6" t="s">
        <v>2988</v>
      </c>
      <c r="D14" s="15" t="s">
        <v>71</v>
      </c>
      <c r="E14" s="15" t="s">
        <v>35</v>
      </c>
      <c r="F14" s="16" t="s">
        <v>6640</v>
      </c>
      <c r="G14" s="6" t="s">
        <v>37</v>
      </c>
      <c r="H14" s="6" t="s">
        <v>3032</v>
      </c>
    </row>
    <row r="15" ht="12.75" customHeight="1">
      <c r="A15" s="6" t="s">
        <v>6641</v>
      </c>
      <c r="B15" s="6" t="s">
        <v>3034</v>
      </c>
      <c r="C15" s="6" t="s">
        <v>6633</v>
      </c>
      <c r="D15" s="15" t="s">
        <v>35</v>
      </c>
      <c r="E15" s="15" t="s">
        <v>6642</v>
      </c>
      <c r="F15" s="16" t="s">
        <v>6643</v>
      </c>
      <c r="G15" s="6" t="s">
        <v>37</v>
      </c>
      <c r="H15" s="6" t="s">
        <v>6644</v>
      </c>
    </row>
    <row r="16" ht="12.75" customHeight="1">
      <c r="A16" s="6" t="s">
        <v>6645</v>
      </c>
      <c r="B16" s="6" t="s">
        <v>3077</v>
      </c>
      <c r="C16" s="6" t="s">
        <v>6633</v>
      </c>
      <c r="D16" s="15" t="s">
        <v>35</v>
      </c>
      <c r="E16" s="15" t="s">
        <v>6642</v>
      </c>
      <c r="F16" s="16" t="s">
        <v>6646</v>
      </c>
      <c r="G16" s="6" t="s">
        <v>37</v>
      </c>
      <c r="H16" s="6" t="s">
        <v>6647</v>
      </c>
    </row>
    <row r="17" ht="12.75" customHeight="1">
      <c r="A17" s="6" t="s">
        <v>3086</v>
      </c>
      <c r="B17" s="6" t="s">
        <v>3077</v>
      </c>
      <c r="C17" s="6" t="s">
        <v>2988</v>
      </c>
      <c r="D17" s="15" t="s">
        <v>65</v>
      </c>
      <c r="E17" s="15" t="s">
        <v>35</v>
      </c>
      <c r="F17" s="16" t="s">
        <v>6648</v>
      </c>
      <c r="G17" s="6" t="s">
        <v>37</v>
      </c>
      <c r="H17" s="6" t="s">
        <v>3088</v>
      </c>
    </row>
    <row r="18" ht="12.75" customHeight="1">
      <c r="A18" s="6" t="s">
        <v>6649</v>
      </c>
      <c r="B18" s="6" t="s">
        <v>3077</v>
      </c>
      <c r="C18" s="6" t="s">
        <v>6629</v>
      </c>
      <c r="D18" s="15" t="s">
        <v>35</v>
      </c>
      <c r="E18" s="15" t="s">
        <v>243</v>
      </c>
      <c r="F18" s="16" t="s">
        <v>6650</v>
      </c>
      <c r="G18" s="6" t="s">
        <v>37</v>
      </c>
      <c r="H18" s="6" t="s">
        <v>6651</v>
      </c>
    </row>
    <row r="19" ht="12.75" customHeight="1">
      <c r="A19" s="6" t="s">
        <v>6652</v>
      </c>
      <c r="B19" s="6" t="s">
        <v>3100</v>
      </c>
      <c r="C19" s="6" t="s">
        <v>6633</v>
      </c>
      <c r="D19" s="15" t="s">
        <v>35</v>
      </c>
      <c r="E19" s="15" t="s">
        <v>6653</v>
      </c>
      <c r="F19" s="16" t="s">
        <v>6654</v>
      </c>
      <c r="G19" s="6" t="s">
        <v>37</v>
      </c>
      <c r="H19" s="6" t="s">
        <v>6655</v>
      </c>
    </row>
    <row r="20" ht="12.75" customHeight="1">
      <c r="A20" s="6" t="s">
        <v>6656</v>
      </c>
      <c r="B20" s="6" t="s">
        <v>3122</v>
      </c>
      <c r="C20" s="6" t="s">
        <v>6633</v>
      </c>
      <c r="D20" s="15" t="s">
        <v>35</v>
      </c>
      <c r="E20" s="15" t="s">
        <v>6657</v>
      </c>
      <c r="F20" s="16" t="s">
        <v>6658</v>
      </c>
      <c r="G20" s="6" t="s">
        <v>37</v>
      </c>
      <c r="H20" s="6" t="s">
        <v>6659</v>
      </c>
    </row>
    <row r="21" ht="12.75" customHeight="1">
      <c r="A21" s="6" t="s">
        <v>3131</v>
      </c>
      <c r="B21" s="6" t="s">
        <v>3122</v>
      </c>
      <c r="C21" s="6" t="s">
        <v>2988</v>
      </c>
      <c r="D21" s="15" t="s">
        <v>770</v>
      </c>
      <c r="E21" s="15" t="s">
        <v>35</v>
      </c>
      <c r="F21" s="16" t="s">
        <v>6660</v>
      </c>
      <c r="G21" s="6" t="s">
        <v>37</v>
      </c>
      <c r="H21" s="6" t="s">
        <v>3133</v>
      </c>
    </row>
    <row r="22" ht="12.75" customHeight="1">
      <c r="A22" s="6" t="s">
        <v>6661</v>
      </c>
      <c r="B22" s="6" t="s">
        <v>3152</v>
      </c>
      <c r="C22" s="6" t="s">
        <v>6633</v>
      </c>
      <c r="D22" s="15" t="s">
        <v>35</v>
      </c>
      <c r="E22" s="15" t="s">
        <v>6662</v>
      </c>
      <c r="F22" s="16" t="s">
        <v>6663</v>
      </c>
      <c r="G22" s="6" t="s">
        <v>37</v>
      </c>
      <c r="H22" s="6" t="s">
        <v>6664</v>
      </c>
    </row>
    <row r="23" ht="12.75" customHeight="1">
      <c r="A23" s="6" t="s">
        <v>3154</v>
      </c>
      <c r="B23" s="6" t="s">
        <v>3152</v>
      </c>
      <c r="C23" s="6" t="s">
        <v>2988</v>
      </c>
      <c r="D23" s="15" t="s">
        <v>65</v>
      </c>
      <c r="E23" s="15" t="s">
        <v>35</v>
      </c>
      <c r="F23" s="16" t="s">
        <v>6665</v>
      </c>
      <c r="G23" s="6" t="s">
        <v>37</v>
      </c>
      <c r="H23" s="6" t="s">
        <v>3156</v>
      </c>
    </row>
    <row r="24" ht="12.75" customHeight="1">
      <c r="A24" s="6" t="s">
        <v>6666</v>
      </c>
      <c r="B24" s="6" t="s">
        <v>3187</v>
      </c>
      <c r="C24" s="6" t="s">
        <v>6633</v>
      </c>
      <c r="D24" s="15" t="s">
        <v>35</v>
      </c>
      <c r="E24" s="15" t="s">
        <v>6667</v>
      </c>
      <c r="F24" s="16" t="s">
        <v>6668</v>
      </c>
      <c r="G24" s="6" t="s">
        <v>37</v>
      </c>
      <c r="H24" s="6" t="s">
        <v>6669</v>
      </c>
    </row>
    <row r="25" ht="12.75" customHeight="1">
      <c r="A25" s="6" t="s">
        <v>3190</v>
      </c>
      <c r="B25" s="6" t="s">
        <v>3187</v>
      </c>
      <c r="C25" s="6" t="s">
        <v>2988</v>
      </c>
      <c r="D25" s="15" t="s">
        <v>770</v>
      </c>
      <c r="E25" s="15" t="s">
        <v>35</v>
      </c>
      <c r="F25" s="16" t="s">
        <v>6670</v>
      </c>
      <c r="G25" s="6" t="s">
        <v>37</v>
      </c>
      <c r="H25" s="6" t="s">
        <v>3192</v>
      </c>
    </row>
    <row r="26" ht="12.75" customHeight="1">
      <c r="A26" s="6" t="s">
        <v>3195</v>
      </c>
      <c r="B26" s="6" t="s">
        <v>3187</v>
      </c>
      <c r="C26" s="6" t="s">
        <v>2988</v>
      </c>
      <c r="D26" s="15" t="s">
        <v>256</v>
      </c>
      <c r="E26" s="15" t="s">
        <v>35</v>
      </c>
      <c r="F26" s="16" t="s">
        <v>6671</v>
      </c>
      <c r="G26" s="6" t="s">
        <v>37</v>
      </c>
      <c r="H26" s="6" t="s">
        <v>3197</v>
      </c>
    </row>
    <row r="27" ht="12.75" customHeight="1">
      <c r="A27" s="6" t="s">
        <v>6672</v>
      </c>
      <c r="B27" s="6" t="s">
        <v>3209</v>
      </c>
      <c r="C27" s="6" t="s">
        <v>6633</v>
      </c>
      <c r="D27" s="15" t="s">
        <v>35</v>
      </c>
      <c r="E27" s="15" t="s">
        <v>6673</v>
      </c>
      <c r="F27" s="16" t="s">
        <v>6674</v>
      </c>
      <c r="G27" s="6" t="s">
        <v>37</v>
      </c>
      <c r="H27" s="6" t="s">
        <v>6675</v>
      </c>
    </row>
    <row r="28" ht="12.75" customHeight="1">
      <c r="A28" s="6" t="s">
        <v>6676</v>
      </c>
      <c r="B28" s="6" t="s">
        <v>3224</v>
      </c>
      <c r="C28" s="6" t="s">
        <v>6633</v>
      </c>
      <c r="D28" s="15" t="s">
        <v>35</v>
      </c>
      <c r="E28" s="15" t="s">
        <v>6673</v>
      </c>
      <c r="F28" s="16" t="s">
        <v>6677</v>
      </c>
      <c r="G28" s="6" t="s">
        <v>37</v>
      </c>
      <c r="H28" s="6" t="s">
        <v>6678</v>
      </c>
    </row>
    <row r="29" ht="12.75" customHeight="1">
      <c r="A29" s="6" t="s">
        <v>3264</v>
      </c>
      <c r="B29" s="6" t="s">
        <v>3224</v>
      </c>
      <c r="C29" s="6" t="s">
        <v>2988</v>
      </c>
      <c r="D29" s="15" t="s">
        <v>3265</v>
      </c>
      <c r="E29" s="15" t="s">
        <v>35</v>
      </c>
      <c r="F29" s="16" t="s">
        <v>6679</v>
      </c>
      <c r="G29" s="6" t="s">
        <v>37</v>
      </c>
      <c r="H29" s="6" t="s">
        <v>3266</v>
      </c>
    </row>
    <row r="30" ht="12.75" customHeight="1">
      <c r="A30" s="6" t="s">
        <v>3269</v>
      </c>
      <c r="B30" s="6" t="s">
        <v>3224</v>
      </c>
      <c r="C30" s="6" t="s">
        <v>2988</v>
      </c>
      <c r="D30" s="15" t="s">
        <v>946</v>
      </c>
      <c r="E30" s="15" t="s">
        <v>35</v>
      </c>
      <c r="F30" s="16" t="s">
        <v>6680</v>
      </c>
      <c r="G30" s="6" t="s">
        <v>37</v>
      </c>
      <c r="H30" s="6" t="s">
        <v>3270</v>
      </c>
    </row>
    <row r="31" ht="12.75" customHeight="1">
      <c r="A31" s="6" t="s">
        <v>3274</v>
      </c>
      <c r="B31" s="6" t="s">
        <v>3224</v>
      </c>
      <c r="C31" s="6" t="s">
        <v>2988</v>
      </c>
      <c r="D31" s="15" t="s">
        <v>515</v>
      </c>
      <c r="E31" s="15" t="s">
        <v>35</v>
      </c>
      <c r="F31" s="16" t="s">
        <v>6681</v>
      </c>
      <c r="G31" s="6" t="s">
        <v>37</v>
      </c>
      <c r="H31" s="6" t="s">
        <v>3275</v>
      </c>
    </row>
    <row r="32" ht="12.75" customHeight="1">
      <c r="A32" s="6" t="s">
        <v>3279</v>
      </c>
      <c r="B32" s="6" t="s">
        <v>3224</v>
      </c>
      <c r="C32" s="6" t="s">
        <v>2988</v>
      </c>
      <c r="D32" s="15" t="s">
        <v>71</v>
      </c>
      <c r="E32" s="15" t="s">
        <v>35</v>
      </c>
      <c r="F32" s="16" t="s">
        <v>6682</v>
      </c>
      <c r="G32" s="6" t="s">
        <v>37</v>
      </c>
      <c r="H32" s="6" t="s">
        <v>3280</v>
      </c>
    </row>
    <row r="33" ht="12.75" customHeight="1">
      <c r="A33" s="6" t="s">
        <v>3283</v>
      </c>
      <c r="B33" s="6" t="s">
        <v>3224</v>
      </c>
      <c r="C33" s="6" t="s">
        <v>2988</v>
      </c>
      <c r="D33" s="15" t="s">
        <v>50</v>
      </c>
      <c r="E33" s="15" t="s">
        <v>35</v>
      </c>
      <c r="F33" s="16" t="s">
        <v>6683</v>
      </c>
      <c r="G33" s="6" t="s">
        <v>37</v>
      </c>
      <c r="H33" s="6" t="s">
        <v>3284</v>
      </c>
    </row>
    <row r="34" ht="12.75" customHeight="1">
      <c r="A34" s="6" t="s">
        <v>6684</v>
      </c>
      <c r="B34" s="6" t="s">
        <v>3286</v>
      </c>
      <c r="C34" s="6" t="s">
        <v>6633</v>
      </c>
      <c r="D34" s="15" t="s">
        <v>35</v>
      </c>
      <c r="E34" s="15" t="s">
        <v>6685</v>
      </c>
      <c r="F34" s="16" t="s">
        <v>6686</v>
      </c>
      <c r="G34" s="6" t="s">
        <v>37</v>
      </c>
      <c r="H34" s="6" t="s">
        <v>6687</v>
      </c>
    </row>
    <row r="35" ht="12.75" customHeight="1">
      <c r="A35" s="6" t="s">
        <v>6688</v>
      </c>
      <c r="B35" s="6" t="s">
        <v>3298</v>
      </c>
      <c r="C35" s="6" t="s">
        <v>6633</v>
      </c>
      <c r="D35" s="15" t="s">
        <v>35</v>
      </c>
      <c r="E35" s="15" t="s">
        <v>6685</v>
      </c>
      <c r="F35" s="16" t="s">
        <v>6689</v>
      </c>
      <c r="G35" s="6" t="s">
        <v>37</v>
      </c>
      <c r="H35" s="6" t="s">
        <v>6690</v>
      </c>
    </row>
    <row r="36" ht="12.75" customHeight="1">
      <c r="A36" s="6" t="s">
        <v>3300</v>
      </c>
      <c r="B36" s="6" t="s">
        <v>3298</v>
      </c>
      <c r="C36" s="6" t="s">
        <v>2988</v>
      </c>
      <c r="D36" s="15" t="s">
        <v>953</v>
      </c>
      <c r="E36" s="15" t="s">
        <v>35</v>
      </c>
      <c r="F36" s="16" t="s">
        <v>6691</v>
      </c>
      <c r="G36" s="6" t="s">
        <v>37</v>
      </c>
      <c r="H36" s="6" t="s">
        <v>3301</v>
      </c>
    </row>
    <row r="37" ht="12.75" customHeight="1">
      <c r="A37" s="6" t="s">
        <v>6692</v>
      </c>
      <c r="B37" s="6" t="s">
        <v>3327</v>
      </c>
      <c r="C37" s="6" t="s">
        <v>6633</v>
      </c>
      <c r="D37" s="15" t="s">
        <v>35</v>
      </c>
      <c r="E37" s="15" t="s">
        <v>6693</v>
      </c>
      <c r="F37" s="16" t="s">
        <v>3329</v>
      </c>
      <c r="G37" s="6" t="s">
        <v>37</v>
      </c>
      <c r="H37" s="6" t="s">
        <v>6694</v>
      </c>
    </row>
    <row r="38" ht="12.75" customHeight="1">
      <c r="A38" s="6" t="s">
        <v>3326</v>
      </c>
      <c r="B38" s="6" t="s">
        <v>3327</v>
      </c>
      <c r="C38" s="6" t="s">
        <v>3328</v>
      </c>
      <c r="D38" s="15" t="s">
        <v>3329</v>
      </c>
      <c r="E38" s="15" t="s">
        <v>35</v>
      </c>
      <c r="F38" s="16" t="s">
        <v>3262</v>
      </c>
      <c r="G38" s="6" t="s">
        <v>37</v>
      </c>
      <c r="H38" s="6" t="s">
        <v>3331</v>
      </c>
    </row>
    <row r="39" ht="12.75" customHeight="1">
      <c r="A39" s="6" t="s">
        <v>6695</v>
      </c>
      <c r="B39" s="6" t="s">
        <v>5830</v>
      </c>
      <c r="C39" s="6" t="s">
        <v>6629</v>
      </c>
      <c r="D39" s="15" t="s">
        <v>35</v>
      </c>
      <c r="E39" s="15" t="s">
        <v>335</v>
      </c>
      <c r="F39" s="16" t="s">
        <v>335</v>
      </c>
      <c r="G39" s="6" t="s">
        <v>37</v>
      </c>
      <c r="H39" s="6" t="s">
        <v>6696</v>
      </c>
    </row>
    <row r="40" ht="12.75" customHeight="1">
      <c r="A40" s="6" t="s">
        <v>5834</v>
      </c>
      <c r="B40" s="6" t="s">
        <v>5830</v>
      </c>
      <c r="C40" s="6" t="s">
        <v>3328</v>
      </c>
      <c r="D40" s="15" t="s">
        <v>335</v>
      </c>
      <c r="E40" s="15" t="s">
        <v>35</v>
      </c>
      <c r="F40" s="16" t="s">
        <v>3262</v>
      </c>
      <c r="G40" s="6" t="s">
        <v>37</v>
      </c>
      <c r="H40" s="6" t="s">
        <v>5836</v>
      </c>
    </row>
    <row r="41" ht="12.75" customHeight="1">
      <c r="A41" s="6" t="s">
        <v>6697</v>
      </c>
      <c r="B41" s="6" t="s">
        <v>5830</v>
      </c>
      <c r="C41" s="6" t="s">
        <v>6629</v>
      </c>
      <c r="D41" s="15" t="s">
        <v>35</v>
      </c>
      <c r="E41" s="15" t="s">
        <v>65</v>
      </c>
      <c r="F41" s="16" t="s">
        <v>65</v>
      </c>
      <c r="G41" s="6" t="s">
        <v>37</v>
      </c>
      <c r="H41" s="6" t="s">
        <v>6698</v>
      </c>
    </row>
    <row r="42" ht="12.75" customHeight="1">
      <c r="A42" s="6" t="s">
        <v>5845</v>
      </c>
      <c r="B42" s="6" t="s">
        <v>5830</v>
      </c>
      <c r="C42" s="6" t="s">
        <v>2988</v>
      </c>
      <c r="D42" s="15" t="s">
        <v>5846</v>
      </c>
      <c r="E42" s="15" t="s">
        <v>35</v>
      </c>
      <c r="F42" s="16" t="s">
        <v>6699</v>
      </c>
      <c r="G42" s="6" t="s">
        <v>37</v>
      </c>
      <c r="H42" s="6" t="s">
        <v>5847</v>
      </c>
    </row>
    <row r="43" ht="12.75" customHeight="1">
      <c r="A43" s="6" t="s">
        <v>5850</v>
      </c>
      <c r="B43" s="6" t="s">
        <v>5830</v>
      </c>
      <c r="C43" s="6" t="s">
        <v>2988</v>
      </c>
      <c r="D43" s="15" t="s">
        <v>34</v>
      </c>
      <c r="E43" s="15" t="s">
        <v>35</v>
      </c>
      <c r="F43" s="16" t="s">
        <v>6700</v>
      </c>
      <c r="G43" s="6" t="s">
        <v>37</v>
      </c>
      <c r="H43" s="6" t="s">
        <v>5851</v>
      </c>
    </row>
    <row r="44" ht="12.75" customHeight="1">
      <c r="A44" s="6" t="s">
        <v>5855</v>
      </c>
      <c r="B44" s="6" t="s">
        <v>5830</v>
      </c>
      <c r="C44" s="6" t="s">
        <v>2988</v>
      </c>
      <c r="D44" s="15" t="s">
        <v>719</v>
      </c>
      <c r="E44" s="15" t="s">
        <v>35</v>
      </c>
      <c r="F44" s="16" t="s">
        <v>6701</v>
      </c>
      <c r="G44" s="6" t="s">
        <v>37</v>
      </c>
      <c r="H44" s="6" t="s">
        <v>5856</v>
      </c>
    </row>
    <row r="45" ht="12.75" customHeight="1">
      <c r="A45" s="6" t="s">
        <v>5859</v>
      </c>
      <c r="B45" s="6" t="s">
        <v>5830</v>
      </c>
      <c r="C45" s="6" t="s">
        <v>2988</v>
      </c>
      <c r="D45" s="15" t="s">
        <v>119</v>
      </c>
      <c r="E45" s="15" t="s">
        <v>35</v>
      </c>
      <c r="F45" s="16" t="s">
        <v>6702</v>
      </c>
      <c r="G45" s="6" t="s">
        <v>37</v>
      </c>
      <c r="H45" s="6" t="s">
        <v>5860</v>
      </c>
    </row>
    <row r="46" ht="12.75" customHeight="1">
      <c r="A46" s="6" t="s">
        <v>5863</v>
      </c>
      <c r="B46" s="6" t="s">
        <v>5830</v>
      </c>
      <c r="C46" s="6" t="s">
        <v>2988</v>
      </c>
      <c r="D46" s="15" t="s">
        <v>46</v>
      </c>
      <c r="E46" s="15" t="s">
        <v>35</v>
      </c>
      <c r="F46" s="16" t="s">
        <v>6703</v>
      </c>
      <c r="G46" s="6" t="s">
        <v>37</v>
      </c>
      <c r="H46" s="6" t="s">
        <v>5864</v>
      </c>
    </row>
    <row r="47" ht="12.75" customHeight="1">
      <c r="A47" s="6" t="s">
        <v>5867</v>
      </c>
      <c r="B47" s="6" t="s">
        <v>5830</v>
      </c>
      <c r="C47" s="6" t="s">
        <v>2988</v>
      </c>
      <c r="D47" s="15" t="s">
        <v>119</v>
      </c>
      <c r="E47" s="15" t="s">
        <v>35</v>
      </c>
      <c r="F47" s="16" t="s">
        <v>6704</v>
      </c>
      <c r="G47" s="6" t="s">
        <v>37</v>
      </c>
      <c r="H47" s="6" t="s">
        <v>5868</v>
      </c>
    </row>
    <row r="48" ht="12.75" customHeight="1">
      <c r="A48" s="6" t="s">
        <v>5877</v>
      </c>
      <c r="B48" s="6" t="s">
        <v>5870</v>
      </c>
      <c r="C48" s="6" t="s">
        <v>2988</v>
      </c>
      <c r="D48" s="15" t="s">
        <v>41</v>
      </c>
      <c r="E48" s="15" t="s">
        <v>35</v>
      </c>
      <c r="F48" s="16" t="s">
        <v>6705</v>
      </c>
      <c r="G48" s="6" t="s">
        <v>37</v>
      </c>
      <c r="H48" s="6" t="s">
        <v>5878</v>
      </c>
    </row>
    <row r="49" ht="12.75" customHeight="1">
      <c r="A49" s="6" t="s">
        <v>6706</v>
      </c>
      <c r="B49" s="6" t="s">
        <v>5870</v>
      </c>
      <c r="C49" s="6" t="s">
        <v>6629</v>
      </c>
      <c r="D49" s="15" t="s">
        <v>35</v>
      </c>
      <c r="E49" s="15" t="s">
        <v>251</v>
      </c>
      <c r="F49" s="16" t="s">
        <v>6707</v>
      </c>
      <c r="G49" s="6" t="s">
        <v>37</v>
      </c>
      <c r="H49" s="6" t="s">
        <v>6708</v>
      </c>
    </row>
    <row r="50" ht="12.75" customHeight="1">
      <c r="A50" s="6" t="s">
        <v>6709</v>
      </c>
      <c r="B50" s="6" t="s">
        <v>5888</v>
      </c>
      <c r="C50" s="6" t="s">
        <v>6633</v>
      </c>
      <c r="D50" s="15" t="s">
        <v>35</v>
      </c>
      <c r="E50" s="15" t="s">
        <v>6710</v>
      </c>
      <c r="F50" s="16" t="s">
        <v>6711</v>
      </c>
      <c r="G50" s="6" t="s">
        <v>37</v>
      </c>
      <c r="H50" s="6" t="s">
        <v>6712</v>
      </c>
    </row>
    <row r="51" ht="12.75" customHeight="1">
      <c r="A51" s="6" t="s">
        <v>5891</v>
      </c>
      <c r="B51" s="6" t="s">
        <v>5888</v>
      </c>
      <c r="C51" s="6" t="s">
        <v>2988</v>
      </c>
      <c r="D51" s="15" t="s">
        <v>2563</v>
      </c>
      <c r="E51" s="15" t="s">
        <v>35</v>
      </c>
      <c r="F51" s="16" t="s">
        <v>6713</v>
      </c>
      <c r="G51" s="6" t="s">
        <v>37</v>
      </c>
      <c r="H51" s="6" t="s">
        <v>5892</v>
      </c>
    </row>
    <row r="52" ht="12.75" customHeight="1">
      <c r="A52" s="6" t="s">
        <v>6714</v>
      </c>
      <c r="B52" s="6" t="s">
        <v>5899</v>
      </c>
      <c r="C52" s="6" t="s">
        <v>6633</v>
      </c>
      <c r="D52" s="15" t="s">
        <v>35</v>
      </c>
      <c r="E52" s="15" t="s">
        <v>6715</v>
      </c>
      <c r="F52" s="16" t="s">
        <v>5906</v>
      </c>
      <c r="G52" s="6" t="s">
        <v>37</v>
      </c>
      <c r="H52" s="6" t="s">
        <v>6716</v>
      </c>
    </row>
    <row r="53" ht="12.75" customHeight="1">
      <c r="A53" s="6" t="s">
        <v>5905</v>
      </c>
      <c r="B53" s="6" t="s">
        <v>5899</v>
      </c>
      <c r="C53" s="6" t="s">
        <v>3328</v>
      </c>
      <c r="D53" s="15" t="s">
        <v>5906</v>
      </c>
      <c r="E53" s="15" t="s">
        <v>35</v>
      </c>
      <c r="F53" s="16" t="s">
        <v>3262</v>
      </c>
      <c r="G53" s="6" t="s">
        <v>37</v>
      </c>
      <c r="H53" s="6" t="s">
        <v>5908</v>
      </c>
    </row>
    <row r="54" ht="12.75" customHeight="1">
      <c r="A54" s="6" t="s">
        <v>6717</v>
      </c>
      <c r="B54" s="6" t="s">
        <v>5938</v>
      </c>
      <c r="C54" s="6" t="s">
        <v>6629</v>
      </c>
      <c r="D54" s="15" t="s">
        <v>35</v>
      </c>
      <c r="E54" s="15" t="s">
        <v>65</v>
      </c>
      <c r="F54" s="16" t="s">
        <v>65</v>
      </c>
      <c r="G54" s="6" t="s">
        <v>37</v>
      </c>
      <c r="H54" s="6" t="s">
        <v>6718</v>
      </c>
    </row>
    <row r="55" ht="12.75" customHeight="1">
      <c r="A55" s="6" t="s">
        <v>6719</v>
      </c>
      <c r="B55" s="6" t="s">
        <v>6006</v>
      </c>
      <c r="C55" s="6" t="s">
        <v>6633</v>
      </c>
      <c r="D55" s="15" t="s">
        <v>35</v>
      </c>
      <c r="E55" s="15" t="s">
        <v>6720</v>
      </c>
      <c r="F55" s="16" t="s">
        <v>6007</v>
      </c>
      <c r="G55" s="6" t="s">
        <v>37</v>
      </c>
      <c r="H55" s="6" t="s">
        <v>6721</v>
      </c>
    </row>
    <row r="56" ht="12.75" customHeight="1">
      <c r="A56" s="6" t="s">
        <v>6005</v>
      </c>
      <c r="B56" s="6" t="s">
        <v>6006</v>
      </c>
      <c r="C56" s="6" t="s">
        <v>3328</v>
      </c>
      <c r="D56" s="15" t="s">
        <v>6007</v>
      </c>
      <c r="E56" s="15" t="s">
        <v>35</v>
      </c>
      <c r="F56" s="16" t="s">
        <v>3262</v>
      </c>
      <c r="G56" s="6" t="s">
        <v>37</v>
      </c>
      <c r="H56" s="6" t="s">
        <v>6009</v>
      </c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F2:H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4.43" defaultRowHeight="15.0"/>
  <cols>
    <col customWidth="1" min="1" max="1" width="18.43"/>
    <col customWidth="1" min="4" max="7" width="25.14"/>
  </cols>
  <sheetData>
    <row r="1">
      <c r="A1" s="18" t="s">
        <v>6722</v>
      </c>
      <c r="B1" s="18" t="s">
        <v>6723</v>
      </c>
      <c r="C1" s="18" t="s">
        <v>6724</v>
      </c>
      <c r="D1" s="18" t="s">
        <v>6725</v>
      </c>
      <c r="E1" s="19" t="s">
        <v>6726</v>
      </c>
      <c r="F1" s="18" t="s">
        <v>6727</v>
      </c>
      <c r="G1" s="18" t="s">
        <v>6728</v>
      </c>
      <c r="H1" s="18" t="s">
        <v>6729</v>
      </c>
      <c r="I1" s="18" t="s">
        <v>6730</v>
      </c>
    </row>
    <row r="2">
      <c r="A2" s="12" t="str">
        <f>Raw_Data!A8</f>
        <v>01 Jan 2025 04:07:19</v>
      </c>
      <c r="B2" s="12" t="str">
        <f t="shared" ref="B2:B1883" si="1">TEXT(A2,"MMMM")</f>
        <v>January</v>
      </c>
      <c r="C2" s="12">
        <f t="shared" ref="C2:C1883" si="2">MONTH(A2)
</f>
        <v>1</v>
      </c>
      <c r="D2" s="12" t="str">
        <f>IFERROR(__xludf.DUMMYFUNCTION("IFERROR(IF(REGEXMATCH(LOWER(Raw_Data!C8),""fixed deposit|owealth|savings|target""),""Fixed Deposit"",IF(REGEXMATCH(LOWER(Raw_Data!C8),""airtime""),""Airtime"",IF(REGEXMATCH(LOWER(Raw_Data!C8),""electronic money transfer levy""),""Electronic Money Transfer"&amp;" Levy"",IF(REGEXMATCH(LOWER(Raw_Data!C8),""transfer|trf|send""),""Transfer"",""Other"")))),""Other"")"),"Airtime")</f>
        <v>Airtime</v>
      </c>
      <c r="E2" s="20">
        <v>200.0</v>
      </c>
      <c r="F2" s="20">
        <v>0.0</v>
      </c>
      <c r="G2" s="12" t="str">
        <f t="shared" ref="G2:G1883" si="3">IF(E2 &lt;&gt; 0,"Withdrawal","Deposit")</f>
        <v>Withdrawal</v>
      </c>
      <c r="H2" s="12" t="str">
        <f>TEXT(Raw_Data!A8,"hh:mm:ss")
</f>
        <v>04:07:19</v>
      </c>
      <c r="I2" s="20">
        <f t="shared" ref="I2:I1883" si="4">IF(E2&lt;&gt; 0,E2,F2)</f>
        <v>200</v>
      </c>
    </row>
    <row r="3">
      <c r="A3" s="12" t="str">
        <f>Raw_Data!A9</f>
        <v>01 Jan 2025 13:29:19</v>
      </c>
      <c r="B3" s="12" t="str">
        <f t="shared" si="1"/>
        <v>January</v>
      </c>
      <c r="C3" s="12">
        <f t="shared" si="2"/>
        <v>1</v>
      </c>
      <c r="D3" s="12" t="str">
        <f>IFERROR(__xludf.DUMMYFUNCTION("IFERROR(IF(REGEXMATCH(LOWER(Raw_Data!C9),""fixed deposit|owealth|savings|target""),""Fixed Deposit"",IF(REGEXMATCH(LOWER(Raw_Data!C9),""airtime""),""Airtime"",IF(REGEXMATCH(LOWER(Raw_Data!C9),""electronic money transfer levy""),""Electronic Money Transfer"&amp;" Levy"",IF(REGEXMATCH(LOWER(Raw_Data!C9),""transfer|trf|send""),""Transfer"",""Other"")))),""Other"")"),"Transfer")</f>
        <v>Transfer</v>
      </c>
      <c r="E3" s="20">
        <v>0.0</v>
      </c>
      <c r="F3" s="20">
        <v>300.0</v>
      </c>
      <c r="G3" s="12" t="str">
        <f t="shared" si="3"/>
        <v>Deposit</v>
      </c>
      <c r="H3" s="12" t="str">
        <f>TEXT(Raw_Data!A9,"hh:mm:ss")
</f>
        <v>13:29:19</v>
      </c>
      <c r="I3" s="20">
        <f t="shared" si="4"/>
        <v>300</v>
      </c>
    </row>
    <row r="4">
      <c r="A4" s="12" t="str">
        <f>Raw_Data!A10</f>
        <v>01 Jan 2025 14:00:41</v>
      </c>
      <c r="B4" s="12" t="str">
        <f t="shared" si="1"/>
        <v>January</v>
      </c>
      <c r="C4" s="12">
        <f t="shared" si="2"/>
        <v>1</v>
      </c>
      <c r="D4" s="12" t="str">
        <f>IFERROR(__xludf.DUMMYFUNCTION("IFERROR(IF(REGEXMATCH(LOWER(Raw_Data!C10),""fixed deposit|owealth|savings|target""),""Fixed Deposit"",IF(REGEXMATCH(LOWER(Raw_Data!C10),""airtime""),""Airtime"",IF(REGEXMATCH(LOWER(Raw_Data!C10),""electronic money transfer levy""),""Electronic Money Trans"&amp;"fer Levy"",IF(REGEXMATCH(LOWER(Raw_Data!C10),""transfer|trf|send""),""Transfer"",""Other"")))),""Other"")"),"Transfer")</f>
        <v>Transfer</v>
      </c>
      <c r="E4" s="20">
        <v>700.0</v>
      </c>
      <c r="F4" s="20">
        <v>0.0</v>
      </c>
      <c r="G4" s="12" t="str">
        <f t="shared" si="3"/>
        <v>Withdrawal</v>
      </c>
      <c r="H4" s="12" t="str">
        <f>TEXT(Raw_Data!A10,"hh:mm:ss")
</f>
        <v>14:00:41</v>
      </c>
      <c r="I4" s="20">
        <f t="shared" si="4"/>
        <v>700</v>
      </c>
    </row>
    <row r="5">
      <c r="A5" s="12" t="str">
        <f>Raw_Data!A11</f>
        <v>01 Jan 2025 20:46:58</v>
      </c>
      <c r="B5" s="12" t="str">
        <f t="shared" si="1"/>
        <v>January</v>
      </c>
      <c r="C5" s="12">
        <f t="shared" si="2"/>
        <v>1</v>
      </c>
      <c r="D5" s="12" t="str">
        <f>IFERROR(__xludf.DUMMYFUNCTION("IFERROR(IF(REGEXMATCH(LOWER(Raw_Data!C11),""fixed deposit|owealth|savings|target""),""Fixed Deposit"",IF(REGEXMATCH(LOWER(Raw_Data!C11),""airtime""),""Airtime"",IF(REGEXMATCH(LOWER(Raw_Data!C11),""electronic money transfer levy""),""Electronic Money Trans"&amp;"fer Levy"",IF(REGEXMATCH(LOWER(Raw_Data!C11),""transfer|trf|send""),""Transfer"",""Other"")))),""Other"")"),"Transfer")</f>
        <v>Transfer</v>
      </c>
      <c r="E5" s="20">
        <v>500.0</v>
      </c>
      <c r="F5" s="20">
        <v>0.0</v>
      </c>
      <c r="G5" s="12" t="str">
        <f t="shared" si="3"/>
        <v>Withdrawal</v>
      </c>
      <c r="H5" s="12" t="str">
        <f>TEXT(Raw_Data!A11,"hh:mm:ss")
</f>
        <v>20:46:58</v>
      </c>
      <c r="I5" s="20">
        <f t="shared" si="4"/>
        <v>500</v>
      </c>
    </row>
    <row r="6">
      <c r="A6" s="12" t="str">
        <f>Raw_Data!A12</f>
        <v>01 Jan 2025 20:51:11</v>
      </c>
      <c r="B6" s="12" t="str">
        <f t="shared" si="1"/>
        <v>January</v>
      </c>
      <c r="C6" s="12">
        <f t="shared" si="2"/>
        <v>1</v>
      </c>
      <c r="D6" s="12" t="str">
        <f>IFERROR(__xludf.DUMMYFUNCTION("IFERROR(IF(REGEXMATCH(LOWER(Raw_Data!C12),""fixed deposit|owealth|savings|target""),""Fixed Deposit"",IF(REGEXMATCH(LOWER(Raw_Data!C12),""airtime""),""Airtime"",IF(REGEXMATCH(LOWER(Raw_Data!C12),""electronic money transfer levy""),""Electronic Money Trans"&amp;"fer Levy"",IF(REGEXMATCH(LOWER(Raw_Data!C12),""transfer|trf|send""),""Transfer"",""Other"")))),""Other"")"),"Transfer")</f>
        <v>Transfer</v>
      </c>
      <c r="E6" s="20">
        <v>100.0</v>
      </c>
      <c r="F6" s="20">
        <v>0.0</v>
      </c>
      <c r="G6" s="12" t="str">
        <f t="shared" si="3"/>
        <v>Withdrawal</v>
      </c>
      <c r="H6" s="12" t="str">
        <f>TEXT(Raw_Data!A12,"hh:mm:ss")
</f>
        <v>20:51:11</v>
      </c>
      <c r="I6" s="20">
        <f t="shared" si="4"/>
        <v>100</v>
      </c>
    </row>
    <row r="7">
      <c r="A7" s="12" t="str">
        <f>Raw_Data!A13</f>
        <v>01 Jan 2025 22:10:30</v>
      </c>
      <c r="B7" s="12" t="str">
        <f t="shared" si="1"/>
        <v>January</v>
      </c>
      <c r="C7" s="12">
        <f t="shared" si="2"/>
        <v>1</v>
      </c>
      <c r="D7" s="12" t="str">
        <f>IFERROR(__xludf.DUMMYFUNCTION("IFERROR(IF(REGEXMATCH(LOWER(Raw_Data!C13),""fixed deposit|owealth|savings|target""),""Fixed Deposit"",IF(REGEXMATCH(LOWER(Raw_Data!C13),""airtime""),""Airtime"",IF(REGEXMATCH(LOWER(Raw_Data!C13),""electronic money transfer levy""),""Electronic Money Trans"&amp;"fer Levy"",IF(REGEXMATCH(LOWER(Raw_Data!C13),""transfer|trf|send""),""Transfer"",""Other"")))),""Other"")"),"Transfer")</f>
        <v>Transfer</v>
      </c>
      <c r="E7" s="20">
        <v>0.0</v>
      </c>
      <c r="F7" s="20">
        <v>9900.0</v>
      </c>
      <c r="G7" s="12" t="str">
        <f t="shared" si="3"/>
        <v>Deposit</v>
      </c>
      <c r="H7" s="12" t="str">
        <f>TEXT(Raw_Data!A13,"hh:mm:ss")
</f>
        <v>22:10:30</v>
      </c>
      <c r="I7" s="20">
        <f t="shared" si="4"/>
        <v>9900</v>
      </c>
    </row>
    <row r="8">
      <c r="A8" s="12" t="str">
        <f>Raw_Data!A14</f>
        <v>01 Jan 2025 22:11:06</v>
      </c>
      <c r="B8" s="12" t="str">
        <f t="shared" si="1"/>
        <v>January</v>
      </c>
      <c r="C8" s="12">
        <f t="shared" si="2"/>
        <v>1</v>
      </c>
      <c r="D8" s="12" t="str">
        <f>IFERROR(__xludf.DUMMYFUNCTION("IFERROR(IF(REGEXMATCH(LOWER(Raw_Data!C14),""fixed deposit|owealth|savings|target""),""Fixed Deposit"",IF(REGEXMATCH(LOWER(Raw_Data!C14),""airtime""),""Airtime"",IF(REGEXMATCH(LOWER(Raw_Data!C14),""electronic money transfer levy""),""Electronic Money Trans"&amp;"fer Levy"",IF(REGEXMATCH(LOWER(Raw_Data!C14),""transfer|trf|send""),""Transfer"",""Other"")))),""Other"")"),"Transfer")</f>
        <v>Transfer</v>
      </c>
      <c r="E8" s="20">
        <v>0.0</v>
      </c>
      <c r="F8" s="20">
        <v>5000.0</v>
      </c>
      <c r="G8" s="12" t="str">
        <f t="shared" si="3"/>
        <v>Deposit</v>
      </c>
      <c r="H8" s="12" t="str">
        <f>TEXT(Raw_Data!A14,"hh:mm:ss")
</f>
        <v>22:11:06</v>
      </c>
      <c r="I8" s="20">
        <f t="shared" si="4"/>
        <v>5000</v>
      </c>
    </row>
    <row r="9">
      <c r="A9" s="12" t="str">
        <f>Raw_Data!A15</f>
        <v>02 Jan 2025 07:33:21</v>
      </c>
      <c r="B9" s="12" t="str">
        <f t="shared" si="1"/>
        <v>January</v>
      </c>
      <c r="C9" s="12">
        <f t="shared" si="2"/>
        <v>1</v>
      </c>
      <c r="D9" s="12" t="str">
        <f>IFERROR(__xludf.DUMMYFUNCTION("IFERROR(IF(REGEXMATCH(LOWER(Raw_Data!C15),""fixed deposit|owealth|savings|target""),""Fixed Deposit"",IF(REGEXMATCH(LOWER(Raw_Data!C15),""airtime""),""Airtime"",IF(REGEXMATCH(LOWER(Raw_Data!C15),""electronic money transfer levy""),""Electronic Money Trans"&amp;"fer Levy"",IF(REGEXMATCH(LOWER(Raw_Data!C15),""transfer|trf|send""),""Transfer"",""Other"")))),""Other"")"),"Transfer")</f>
        <v>Transfer</v>
      </c>
      <c r="E9" s="20">
        <v>2000.0</v>
      </c>
      <c r="F9" s="20">
        <v>0.0</v>
      </c>
      <c r="G9" s="12" t="str">
        <f t="shared" si="3"/>
        <v>Withdrawal</v>
      </c>
      <c r="H9" s="12" t="str">
        <f>TEXT(Raw_Data!A15,"hh:mm:ss")
</f>
        <v>07:33:21</v>
      </c>
      <c r="I9" s="20">
        <f t="shared" si="4"/>
        <v>2000</v>
      </c>
    </row>
    <row r="10">
      <c r="A10" s="12" t="str">
        <f>Raw_Data!A16</f>
        <v>02 Jan 2025 07:40:54</v>
      </c>
      <c r="B10" s="12" t="str">
        <f t="shared" si="1"/>
        <v>January</v>
      </c>
      <c r="C10" s="12">
        <f t="shared" si="2"/>
        <v>1</v>
      </c>
      <c r="D10" s="12" t="str">
        <f>IFERROR(__xludf.DUMMYFUNCTION("IFERROR(IF(REGEXMATCH(LOWER(Raw_Data!C16),""fixed deposit|owealth|savings|target""),""Fixed Deposit"",IF(REGEXMATCH(LOWER(Raw_Data!C16),""airtime""),""Airtime"",IF(REGEXMATCH(LOWER(Raw_Data!C16),""electronic money transfer levy""),""Electronic Money Trans"&amp;"fer Levy"",IF(REGEXMATCH(LOWER(Raw_Data!C16),""transfer|trf|send""),""Transfer"",""Other"")))),""Other"")"),"Transfer")</f>
        <v>Transfer</v>
      </c>
      <c r="E10" s="20">
        <v>3300.0</v>
      </c>
      <c r="F10" s="20">
        <v>0.0</v>
      </c>
      <c r="G10" s="12" t="str">
        <f t="shared" si="3"/>
        <v>Withdrawal</v>
      </c>
      <c r="H10" s="12" t="str">
        <f>TEXT(Raw_Data!A16,"hh:mm:ss")
</f>
        <v>07:40:54</v>
      </c>
      <c r="I10" s="20">
        <f t="shared" si="4"/>
        <v>3300</v>
      </c>
    </row>
    <row r="11">
      <c r="A11" s="12" t="str">
        <f>Raw_Data!A17</f>
        <v>02 Jan 2025 07:41:54</v>
      </c>
      <c r="B11" s="12" t="str">
        <f t="shared" si="1"/>
        <v>January</v>
      </c>
      <c r="C11" s="12">
        <f t="shared" si="2"/>
        <v>1</v>
      </c>
      <c r="D11" s="12" t="str">
        <f>IFERROR(__xludf.DUMMYFUNCTION("IFERROR(IF(REGEXMATCH(LOWER(Raw_Data!C17),""fixed deposit|owealth|savings|target""),""Fixed Deposit"",IF(REGEXMATCH(LOWER(Raw_Data!C17),""airtime""),""Airtime"",IF(REGEXMATCH(LOWER(Raw_Data!C17),""electronic money transfer levy""),""Electronic Money Trans"&amp;"fer Levy"",IF(REGEXMATCH(LOWER(Raw_Data!C17),""transfer|trf|send""),""Transfer"",""Other"")))),""Other"")"),"Transfer")</f>
        <v>Transfer</v>
      </c>
      <c r="E11" s="20">
        <v>500.0</v>
      </c>
      <c r="F11" s="20">
        <v>0.0</v>
      </c>
      <c r="G11" s="12" t="str">
        <f t="shared" si="3"/>
        <v>Withdrawal</v>
      </c>
      <c r="H11" s="12" t="str">
        <f>TEXT(Raw_Data!A17,"hh:mm:ss")
</f>
        <v>07:41:54</v>
      </c>
      <c r="I11" s="20">
        <f t="shared" si="4"/>
        <v>500</v>
      </c>
    </row>
    <row r="12">
      <c r="A12" s="12" t="str">
        <f>Raw_Data!A18</f>
        <v>02 Jan 2025 08:03:00</v>
      </c>
      <c r="B12" s="12" t="str">
        <f t="shared" si="1"/>
        <v>January</v>
      </c>
      <c r="C12" s="12">
        <f t="shared" si="2"/>
        <v>1</v>
      </c>
      <c r="D12" s="12" t="str">
        <f>IFERROR(__xludf.DUMMYFUNCTION("IFERROR(IF(REGEXMATCH(LOWER(Raw_Data!C18),""fixed deposit|owealth|savings|target""),""Fixed Deposit"",IF(REGEXMATCH(LOWER(Raw_Data!C18),""airtime""),""Airtime"",IF(REGEXMATCH(LOWER(Raw_Data!C18),""electronic money transfer levy""),""Electronic Money Trans"&amp;"fer Levy"",IF(REGEXMATCH(LOWER(Raw_Data!C18),""transfer|trf|send""),""Transfer"",""Other"")))),""Other"")"),"Transfer")</f>
        <v>Transfer</v>
      </c>
      <c r="E12" s="20">
        <v>100.0</v>
      </c>
      <c r="F12" s="20">
        <v>0.0</v>
      </c>
      <c r="G12" s="12" t="str">
        <f t="shared" si="3"/>
        <v>Withdrawal</v>
      </c>
      <c r="H12" s="12" t="str">
        <f>TEXT(Raw_Data!A18,"hh:mm:ss")
</f>
        <v>08:03:00</v>
      </c>
      <c r="I12" s="20">
        <f t="shared" si="4"/>
        <v>100</v>
      </c>
    </row>
    <row r="13">
      <c r="A13" s="12" t="str">
        <f>Raw_Data!A19</f>
        <v>02 Jan 2025 12:16:34</v>
      </c>
      <c r="B13" s="12" t="str">
        <f t="shared" si="1"/>
        <v>January</v>
      </c>
      <c r="C13" s="12">
        <f t="shared" si="2"/>
        <v>1</v>
      </c>
      <c r="D13" s="12" t="str">
        <f>IFERROR(__xludf.DUMMYFUNCTION("IFERROR(IF(REGEXMATCH(LOWER(Raw_Data!C19),""fixed deposit|owealth|savings|target""),""Fixed Deposit"",IF(REGEXMATCH(LOWER(Raw_Data!C19),""airtime""),""Airtime"",IF(REGEXMATCH(LOWER(Raw_Data!C19),""electronic money transfer levy""),""Electronic Money Trans"&amp;"fer Levy"",IF(REGEXMATCH(LOWER(Raw_Data!C19),""transfer|trf|send""),""Transfer"",""Other"")))),""Other"")"),"Transfer")</f>
        <v>Transfer</v>
      </c>
      <c r="E13" s="20">
        <v>1410.0</v>
      </c>
      <c r="F13" s="20">
        <v>0.0</v>
      </c>
      <c r="G13" s="12" t="str">
        <f t="shared" si="3"/>
        <v>Withdrawal</v>
      </c>
      <c r="H13" s="12" t="str">
        <f>TEXT(Raw_Data!A19,"hh:mm:ss")
</f>
        <v>12:16:34</v>
      </c>
      <c r="I13" s="20">
        <f t="shared" si="4"/>
        <v>1410</v>
      </c>
    </row>
    <row r="14">
      <c r="A14" s="12" t="str">
        <f>Raw_Data!A20</f>
        <v>02 Jan 2025 16:19:54</v>
      </c>
      <c r="B14" s="12" t="str">
        <f t="shared" si="1"/>
        <v>January</v>
      </c>
      <c r="C14" s="12">
        <f t="shared" si="2"/>
        <v>1</v>
      </c>
      <c r="D14" s="12" t="str">
        <f>IFERROR(__xludf.DUMMYFUNCTION("IFERROR(IF(REGEXMATCH(LOWER(Raw_Data!C20),""fixed deposit|owealth|savings|target""),""Fixed Deposit"",IF(REGEXMATCH(LOWER(Raw_Data!C20),""airtime""),""Airtime"",IF(REGEXMATCH(LOWER(Raw_Data!C20),""electronic money transfer levy""),""Electronic Money Trans"&amp;"fer Levy"",IF(REGEXMATCH(LOWER(Raw_Data!C20),""transfer|trf|send""),""Transfer"",""Other"")))),""Other"")"),"Transfer")</f>
        <v>Transfer</v>
      </c>
      <c r="E14" s="20">
        <v>200.0</v>
      </c>
      <c r="F14" s="20">
        <v>0.0</v>
      </c>
      <c r="G14" s="12" t="str">
        <f t="shared" si="3"/>
        <v>Withdrawal</v>
      </c>
      <c r="H14" s="12" t="str">
        <f>TEXT(Raw_Data!A20,"hh:mm:ss")
</f>
        <v>16:19:54</v>
      </c>
      <c r="I14" s="20">
        <f t="shared" si="4"/>
        <v>200</v>
      </c>
    </row>
    <row r="15">
      <c r="A15" s="12" t="str">
        <f>Raw_Data!A21</f>
        <v>02 Jan 2025 20:04:55</v>
      </c>
      <c r="B15" s="12" t="str">
        <f t="shared" si="1"/>
        <v>January</v>
      </c>
      <c r="C15" s="12">
        <f t="shared" si="2"/>
        <v>1</v>
      </c>
      <c r="D15" s="12" t="str">
        <f>IFERROR(__xludf.DUMMYFUNCTION("IFERROR(IF(REGEXMATCH(LOWER(Raw_Data!C21),""fixed deposit|owealth|savings|target""),""Fixed Deposit"",IF(REGEXMATCH(LOWER(Raw_Data!C21),""airtime""),""Airtime"",IF(REGEXMATCH(LOWER(Raw_Data!C21),""electronic money transfer levy""),""Electronic Money Trans"&amp;"fer Levy"",IF(REGEXMATCH(LOWER(Raw_Data!C21),""transfer|trf|send""),""Transfer"",""Other"")))),""Other"")"),"Transfer")</f>
        <v>Transfer</v>
      </c>
      <c r="E15" s="20">
        <v>0.0</v>
      </c>
      <c r="F15" s="20">
        <v>1000.0</v>
      </c>
      <c r="G15" s="12" t="str">
        <f t="shared" si="3"/>
        <v>Deposit</v>
      </c>
      <c r="H15" s="12" t="str">
        <f>TEXT(Raw_Data!A21,"hh:mm:ss")
</f>
        <v>20:04:55</v>
      </c>
      <c r="I15" s="20">
        <f t="shared" si="4"/>
        <v>1000</v>
      </c>
    </row>
    <row r="16">
      <c r="A16" s="12" t="str">
        <f>Raw_Data!A22</f>
        <v>02 Jan 2025 20:17:14</v>
      </c>
      <c r="B16" s="12" t="str">
        <f t="shared" si="1"/>
        <v>January</v>
      </c>
      <c r="C16" s="12">
        <f t="shared" si="2"/>
        <v>1</v>
      </c>
      <c r="D16" s="12" t="str">
        <f>IFERROR(__xludf.DUMMYFUNCTION("IFERROR(IF(REGEXMATCH(LOWER(Raw_Data!C22),""fixed deposit|owealth|savings|target""),""Fixed Deposit"",IF(REGEXMATCH(LOWER(Raw_Data!C22),""airtime""),""Airtime"",IF(REGEXMATCH(LOWER(Raw_Data!C22),""electronic money transfer levy""),""Electronic Money Trans"&amp;"fer Levy"",IF(REGEXMATCH(LOWER(Raw_Data!C22),""transfer|trf|send""),""Transfer"",""Other"")))),""Other"")"),"Transfer")</f>
        <v>Transfer</v>
      </c>
      <c r="E16" s="20">
        <v>2110.0</v>
      </c>
      <c r="F16" s="20">
        <v>0.0</v>
      </c>
      <c r="G16" s="12" t="str">
        <f t="shared" si="3"/>
        <v>Withdrawal</v>
      </c>
      <c r="H16" s="12" t="str">
        <f>TEXT(Raw_Data!A22,"hh:mm:ss")
</f>
        <v>20:17:14</v>
      </c>
      <c r="I16" s="20">
        <f t="shared" si="4"/>
        <v>2110</v>
      </c>
    </row>
    <row r="17">
      <c r="A17" s="12" t="str">
        <f>Raw_Data!A23</f>
        <v>03 Jan 2025 09:44:30</v>
      </c>
      <c r="B17" s="12" t="str">
        <f t="shared" si="1"/>
        <v>January</v>
      </c>
      <c r="C17" s="12">
        <f t="shared" si="2"/>
        <v>1</v>
      </c>
      <c r="D17" s="12" t="str">
        <f>IFERROR(__xludf.DUMMYFUNCTION("IFERROR(IF(REGEXMATCH(LOWER(Raw_Data!C23),""fixed deposit|owealth|savings|target""),""Fixed Deposit"",IF(REGEXMATCH(LOWER(Raw_Data!C23),""airtime""),""Airtime"",IF(REGEXMATCH(LOWER(Raw_Data!C23),""electronic money transfer levy""),""Electronic Money Trans"&amp;"fer Levy"",IF(REGEXMATCH(LOWER(Raw_Data!C23),""transfer|trf|send""),""Transfer"",""Other"")))),""Other"")"),"Transfer")</f>
        <v>Transfer</v>
      </c>
      <c r="E17" s="20">
        <v>1050.0</v>
      </c>
      <c r="F17" s="20">
        <v>0.0</v>
      </c>
      <c r="G17" s="12" t="str">
        <f t="shared" si="3"/>
        <v>Withdrawal</v>
      </c>
      <c r="H17" s="12" t="str">
        <f>TEXT(Raw_Data!A23,"hh:mm:ss")
</f>
        <v>09:44:30</v>
      </c>
      <c r="I17" s="20">
        <f t="shared" si="4"/>
        <v>1050</v>
      </c>
    </row>
    <row r="18">
      <c r="A18" s="12" t="str">
        <f>Raw_Data!A24</f>
        <v>03 Jan 2025 11:02:53</v>
      </c>
      <c r="B18" s="12" t="str">
        <f t="shared" si="1"/>
        <v>January</v>
      </c>
      <c r="C18" s="12">
        <f t="shared" si="2"/>
        <v>1</v>
      </c>
      <c r="D18" s="12" t="str">
        <f>IFERROR(__xludf.DUMMYFUNCTION("IFERROR(IF(REGEXMATCH(LOWER(Raw_Data!C24),""fixed deposit|owealth|savings|target""),""Fixed Deposit"",IF(REGEXMATCH(LOWER(Raw_Data!C24),""airtime""),""Airtime"",IF(REGEXMATCH(LOWER(Raw_Data!C24),""electronic money transfer levy""),""Electronic Money Trans"&amp;"fer Levy"",IF(REGEXMATCH(LOWER(Raw_Data!C24),""transfer|trf|send""),""Transfer"",""Other"")))),""Other"")"),"Airtime")</f>
        <v>Airtime</v>
      </c>
      <c r="E18" s="20">
        <v>200.0</v>
      </c>
      <c r="F18" s="20">
        <v>0.0</v>
      </c>
      <c r="G18" s="12" t="str">
        <f t="shared" si="3"/>
        <v>Withdrawal</v>
      </c>
      <c r="H18" s="12" t="str">
        <f>TEXT(Raw_Data!A24,"hh:mm:ss")
</f>
        <v>11:02:53</v>
      </c>
      <c r="I18" s="20">
        <f t="shared" si="4"/>
        <v>200</v>
      </c>
    </row>
    <row r="19">
      <c r="A19" s="12" t="str">
        <f>Raw_Data!A25</f>
        <v>03 Jan 2025 11:29:36</v>
      </c>
      <c r="B19" s="12" t="str">
        <f t="shared" si="1"/>
        <v>January</v>
      </c>
      <c r="C19" s="12">
        <f t="shared" si="2"/>
        <v>1</v>
      </c>
      <c r="D19" s="12" t="str">
        <f>IFERROR(__xludf.DUMMYFUNCTION("IFERROR(IF(REGEXMATCH(LOWER(Raw_Data!C25),""fixed deposit|owealth|savings|target""),""Fixed Deposit"",IF(REGEXMATCH(LOWER(Raw_Data!C25),""airtime""),""Airtime"",IF(REGEXMATCH(LOWER(Raw_Data!C25),""electronic money transfer levy""),""Electronic Money Trans"&amp;"fer Levy"",IF(REGEXMATCH(LOWER(Raw_Data!C25),""transfer|trf|send""),""Transfer"",""Other"")))),""Other"")"),"Transfer")</f>
        <v>Transfer</v>
      </c>
      <c r="E19" s="20">
        <v>1000.0</v>
      </c>
      <c r="F19" s="20">
        <v>0.0</v>
      </c>
      <c r="G19" s="12" t="str">
        <f t="shared" si="3"/>
        <v>Withdrawal</v>
      </c>
      <c r="H19" s="12" t="str">
        <f>TEXT(Raw_Data!A25,"hh:mm:ss")
</f>
        <v>11:29:36</v>
      </c>
      <c r="I19" s="20">
        <f t="shared" si="4"/>
        <v>1000</v>
      </c>
    </row>
    <row r="20">
      <c r="A20" s="12" t="str">
        <f>Raw_Data!A26</f>
        <v>03 Jan 2025 12:55:56</v>
      </c>
      <c r="B20" s="12" t="str">
        <f t="shared" si="1"/>
        <v>January</v>
      </c>
      <c r="C20" s="12">
        <f t="shared" si="2"/>
        <v>1</v>
      </c>
      <c r="D20" s="12" t="str">
        <f>IFERROR(__xludf.DUMMYFUNCTION("IFERROR(IF(REGEXMATCH(LOWER(Raw_Data!C26),""fixed deposit|owealth|savings|target""),""Fixed Deposit"",IF(REGEXMATCH(LOWER(Raw_Data!C26),""airtime""),""Airtime"",IF(REGEXMATCH(LOWER(Raw_Data!C26),""electronic money transfer levy""),""Electronic Money Trans"&amp;"fer Levy"",IF(REGEXMATCH(LOWER(Raw_Data!C26),""transfer|trf|send""),""Transfer"",""Other"")))),""Other"")"),"Transfer")</f>
        <v>Transfer</v>
      </c>
      <c r="E20" s="20">
        <v>250.0</v>
      </c>
      <c r="F20" s="20">
        <v>0.0</v>
      </c>
      <c r="G20" s="12" t="str">
        <f t="shared" si="3"/>
        <v>Withdrawal</v>
      </c>
      <c r="H20" s="12" t="str">
        <f>TEXT(Raw_Data!A26,"hh:mm:ss")
</f>
        <v>12:55:56</v>
      </c>
      <c r="I20" s="20">
        <f t="shared" si="4"/>
        <v>250</v>
      </c>
    </row>
    <row r="21">
      <c r="A21" s="12" t="str">
        <f>Raw_Data!A27</f>
        <v>03 Jan 2025 16:09:32</v>
      </c>
      <c r="B21" s="12" t="str">
        <f t="shared" si="1"/>
        <v>January</v>
      </c>
      <c r="C21" s="12">
        <f t="shared" si="2"/>
        <v>1</v>
      </c>
      <c r="D21" s="12" t="str">
        <f>IFERROR(__xludf.DUMMYFUNCTION("IFERROR(IF(REGEXMATCH(LOWER(Raw_Data!C27),""fixed deposit|owealth|savings|target""),""Fixed Deposit"",IF(REGEXMATCH(LOWER(Raw_Data!C27),""airtime""),""Airtime"",IF(REGEXMATCH(LOWER(Raw_Data!C27),""electronic money transfer levy""),""Electronic Money Trans"&amp;"fer Levy"",IF(REGEXMATCH(LOWER(Raw_Data!C27),""transfer|trf|send""),""Transfer"",""Other"")))),""Other"")"),"Transfer")</f>
        <v>Transfer</v>
      </c>
      <c r="E21" s="20">
        <v>600.0</v>
      </c>
      <c r="F21" s="20">
        <v>0.0</v>
      </c>
      <c r="G21" s="12" t="str">
        <f t="shared" si="3"/>
        <v>Withdrawal</v>
      </c>
      <c r="H21" s="12" t="str">
        <f>TEXT(Raw_Data!A27,"hh:mm:ss")
</f>
        <v>16:09:32</v>
      </c>
      <c r="I21" s="20">
        <f t="shared" si="4"/>
        <v>600</v>
      </c>
    </row>
    <row r="22">
      <c r="A22" s="12" t="str">
        <f>Raw_Data!A28</f>
        <v>03 Jan 2025 23:32:01</v>
      </c>
      <c r="B22" s="12" t="str">
        <f t="shared" si="1"/>
        <v>January</v>
      </c>
      <c r="C22" s="12">
        <f t="shared" si="2"/>
        <v>1</v>
      </c>
      <c r="D22" s="12" t="str">
        <f>IFERROR(__xludf.DUMMYFUNCTION("IFERROR(IF(REGEXMATCH(LOWER(Raw_Data!C28),""fixed deposit|owealth|savings|target""),""Fixed Deposit"",IF(REGEXMATCH(LOWER(Raw_Data!C28),""airtime""),""Airtime"",IF(REGEXMATCH(LOWER(Raw_Data!C28),""electronic money transfer levy""),""Electronic Money Trans"&amp;"fer Levy"",IF(REGEXMATCH(LOWER(Raw_Data!C28),""transfer|trf|send""),""Transfer"",""Other"")))),""Other"")"),"Transfer")</f>
        <v>Transfer</v>
      </c>
      <c r="E22" s="20">
        <v>0.0</v>
      </c>
      <c r="F22" s="20">
        <v>9999.0</v>
      </c>
      <c r="G22" s="12" t="str">
        <f t="shared" si="3"/>
        <v>Deposit</v>
      </c>
      <c r="H22" s="12" t="str">
        <f>TEXT(Raw_Data!A28,"hh:mm:ss")
</f>
        <v>23:32:01</v>
      </c>
      <c r="I22" s="20">
        <f t="shared" si="4"/>
        <v>9999</v>
      </c>
    </row>
    <row r="23">
      <c r="A23" s="12" t="str">
        <f>Raw_Data!A29</f>
        <v>03 Jan 2025 23:32:22</v>
      </c>
      <c r="B23" s="12" t="str">
        <f t="shared" si="1"/>
        <v>January</v>
      </c>
      <c r="C23" s="12">
        <f t="shared" si="2"/>
        <v>1</v>
      </c>
      <c r="D23" s="12" t="str">
        <f>IFERROR(__xludf.DUMMYFUNCTION("IFERROR(IF(REGEXMATCH(LOWER(Raw_Data!C29),""fixed deposit|owealth|savings|target""),""Fixed Deposit"",IF(REGEXMATCH(LOWER(Raw_Data!C29),""airtime""),""Airtime"",IF(REGEXMATCH(LOWER(Raw_Data!C29),""electronic money transfer levy""),""Electronic Money Trans"&amp;"fer Levy"",IF(REGEXMATCH(LOWER(Raw_Data!C29),""transfer|trf|send""),""Transfer"",""Other"")))),""Other"")"),"Transfer")</f>
        <v>Transfer</v>
      </c>
      <c r="E23" s="20">
        <v>0.0</v>
      </c>
      <c r="F23" s="20">
        <v>5001.0</v>
      </c>
      <c r="G23" s="12" t="str">
        <f t="shared" si="3"/>
        <v>Deposit</v>
      </c>
      <c r="H23" s="12" t="str">
        <f>TEXT(Raw_Data!A29,"hh:mm:ss")
</f>
        <v>23:32:22</v>
      </c>
      <c r="I23" s="20">
        <f t="shared" si="4"/>
        <v>5001</v>
      </c>
    </row>
    <row r="24">
      <c r="A24" s="12" t="str">
        <f>Raw_Data!A30</f>
        <v>03 Jan 2025 23:35:03</v>
      </c>
      <c r="B24" s="12" t="str">
        <f t="shared" si="1"/>
        <v>January</v>
      </c>
      <c r="C24" s="12">
        <f t="shared" si="2"/>
        <v>1</v>
      </c>
      <c r="D24" s="12" t="str">
        <f>IFERROR(__xludf.DUMMYFUNCTION("IFERROR(IF(REGEXMATCH(LOWER(Raw_Data!C30),""fixed deposit|owealth|savings|target""),""Fixed Deposit"",IF(REGEXMATCH(LOWER(Raw_Data!C30),""airtime""),""Airtime"",IF(REGEXMATCH(LOWER(Raw_Data!C30),""electronic money transfer levy""),""Electronic Money Trans"&amp;"fer Levy"",IF(REGEXMATCH(LOWER(Raw_Data!C30),""transfer|trf|send""),""Transfer"",""Other"")))),""Other"")"),"Transfer")</f>
        <v>Transfer</v>
      </c>
      <c r="E24" s="20">
        <v>12000.0</v>
      </c>
      <c r="F24" s="20">
        <v>0.0</v>
      </c>
      <c r="G24" s="12" t="str">
        <f t="shared" si="3"/>
        <v>Withdrawal</v>
      </c>
      <c r="H24" s="12" t="str">
        <f>TEXT(Raw_Data!A30,"hh:mm:ss")
</f>
        <v>23:35:03</v>
      </c>
      <c r="I24" s="20">
        <f t="shared" si="4"/>
        <v>12000</v>
      </c>
    </row>
    <row r="25">
      <c r="A25" s="12" t="str">
        <f>Raw_Data!A31</f>
        <v>04 Jan 2025 08:19:48</v>
      </c>
      <c r="B25" s="12" t="str">
        <f t="shared" si="1"/>
        <v>January</v>
      </c>
      <c r="C25" s="12">
        <f t="shared" si="2"/>
        <v>1</v>
      </c>
      <c r="D25" s="12" t="str">
        <f>IFERROR(__xludf.DUMMYFUNCTION("IFERROR(IF(REGEXMATCH(LOWER(Raw_Data!C31),""fixed deposit|owealth|savings|target""),""Fixed Deposit"",IF(REGEXMATCH(LOWER(Raw_Data!C31),""airtime""),""Airtime"",IF(REGEXMATCH(LOWER(Raw_Data!C31),""electronic money transfer levy""),""Electronic Money Trans"&amp;"fer Levy"",IF(REGEXMATCH(LOWER(Raw_Data!C31),""transfer|trf|send""),""Transfer"",""Other"")))),""Other"")"),"Transfer")</f>
        <v>Transfer</v>
      </c>
      <c r="E25" s="20">
        <v>300.0</v>
      </c>
      <c r="F25" s="20">
        <v>0.0</v>
      </c>
      <c r="G25" s="12" t="str">
        <f t="shared" si="3"/>
        <v>Withdrawal</v>
      </c>
      <c r="H25" s="12" t="str">
        <f>TEXT(Raw_Data!A31,"hh:mm:ss")
</f>
        <v>08:19:48</v>
      </c>
      <c r="I25" s="20">
        <f t="shared" si="4"/>
        <v>300</v>
      </c>
    </row>
    <row r="26">
      <c r="A26" s="12" t="str">
        <f>Raw_Data!A32</f>
        <v>04 Jan 2025 09:16:10</v>
      </c>
      <c r="B26" s="12" t="str">
        <f t="shared" si="1"/>
        <v>January</v>
      </c>
      <c r="C26" s="12">
        <f t="shared" si="2"/>
        <v>1</v>
      </c>
      <c r="D26" s="12" t="str">
        <f>IFERROR(__xludf.DUMMYFUNCTION("IFERROR(IF(REGEXMATCH(LOWER(Raw_Data!C32),""fixed deposit|owealth|savings|target""),""Fixed Deposit"",IF(REGEXMATCH(LOWER(Raw_Data!C32),""airtime""),""Airtime"",IF(REGEXMATCH(LOWER(Raw_Data!C32),""electronic money transfer levy""),""Electronic Money Trans"&amp;"fer Levy"",IF(REGEXMATCH(LOWER(Raw_Data!C32),""transfer|trf|send""),""Transfer"",""Other"")))),""Other"")"),"Transfer")</f>
        <v>Transfer</v>
      </c>
      <c r="E26" s="20">
        <v>0.0</v>
      </c>
      <c r="F26" s="20">
        <v>300.0</v>
      </c>
      <c r="G26" s="12" t="str">
        <f t="shared" si="3"/>
        <v>Deposit</v>
      </c>
      <c r="H26" s="12" t="str">
        <f>TEXT(Raw_Data!A32,"hh:mm:ss")
</f>
        <v>09:16:10</v>
      </c>
      <c r="I26" s="20">
        <f t="shared" si="4"/>
        <v>300</v>
      </c>
    </row>
    <row r="27">
      <c r="A27" s="12" t="str">
        <f>Raw_Data!A33</f>
        <v>04 Jan 2025 09:38:25</v>
      </c>
      <c r="B27" s="12" t="str">
        <f t="shared" si="1"/>
        <v>January</v>
      </c>
      <c r="C27" s="12">
        <f t="shared" si="2"/>
        <v>1</v>
      </c>
      <c r="D27" s="12" t="str">
        <f>IFERROR(__xludf.DUMMYFUNCTION("IFERROR(IF(REGEXMATCH(LOWER(Raw_Data!C33),""fixed deposit|owealth|savings|target""),""Fixed Deposit"",IF(REGEXMATCH(LOWER(Raw_Data!C33),""airtime""),""Airtime"",IF(REGEXMATCH(LOWER(Raw_Data!C33),""electronic money transfer levy""),""Electronic Money Trans"&amp;"fer Levy"",IF(REGEXMATCH(LOWER(Raw_Data!C33),""transfer|trf|send""),""Transfer"",""Other"")))),""Other"")"),"Transfer")</f>
        <v>Transfer</v>
      </c>
      <c r="E27" s="20">
        <v>2150.0</v>
      </c>
      <c r="F27" s="20">
        <v>0.0</v>
      </c>
      <c r="G27" s="12" t="str">
        <f t="shared" si="3"/>
        <v>Withdrawal</v>
      </c>
      <c r="H27" s="12" t="str">
        <f>TEXT(Raw_Data!A33,"hh:mm:ss")
</f>
        <v>09:38:25</v>
      </c>
      <c r="I27" s="20">
        <f t="shared" si="4"/>
        <v>2150</v>
      </c>
    </row>
    <row r="28">
      <c r="A28" s="12" t="str">
        <f>Raw_Data!A34</f>
        <v>04 Jan 2025 09:43:27</v>
      </c>
      <c r="B28" s="12" t="str">
        <f t="shared" si="1"/>
        <v>January</v>
      </c>
      <c r="C28" s="12">
        <f t="shared" si="2"/>
        <v>1</v>
      </c>
      <c r="D28" s="12" t="str">
        <f>IFERROR(__xludf.DUMMYFUNCTION("IFERROR(IF(REGEXMATCH(LOWER(Raw_Data!C34),""fixed deposit|owealth|savings|target""),""Fixed Deposit"",IF(REGEXMATCH(LOWER(Raw_Data!C34),""airtime""),""Airtime"",IF(REGEXMATCH(LOWER(Raw_Data!C34),""electronic money transfer levy""),""Electronic Money Trans"&amp;"fer Levy"",IF(REGEXMATCH(LOWER(Raw_Data!C34),""transfer|trf|send""),""Transfer"",""Other"")))),""Other"")"),"Transfer")</f>
        <v>Transfer</v>
      </c>
      <c r="E28" s="20">
        <v>1820.0</v>
      </c>
      <c r="F28" s="20">
        <v>0.0</v>
      </c>
      <c r="G28" s="12" t="str">
        <f t="shared" si="3"/>
        <v>Withdrawal</v>
      </c>
      <c r="H28" s="12" t="str">
        <f>TEXT(Raw_Data!A34,"hh:mm:ss")
</f>
        <v>09:43:27</v>
      </c>
      <c r="I28" s="20">
        <f t="shared" si="4"/>
        <v>1820</v>
      </c>
    </row>
    <row r="29">
      <c r="A29" s="12" t="str">
        <f>Raw_Data!A35</f>
        <v>04 Jan 2025 11:33:54</v>
      </c>
      <c r="B29" s="12" t="str">
        <f t="shared" si="1"/>
        <v>January</v>
      </c>
      <c r="C29" s="12">
        <f t="shared" si="2"/>
        <v>1</v>
      </c>
      <c r="D29" s="12" t="str">
        <f>IFERROR(__xludf.DUMMYFUNCTION("IFERROR(IF(REGEXMATCH(LOWER(Raw_Data!C35),""fixed deposit|owealth|savings|target""),""Fixed Deposit"",IF(REGEXMATCH(LOWER(Raw_Data!C35),""airtime""),""Airtime"",IF(REGEXMATCH(LOWER(Raw_Data!C35),""electronic money transfer levy""),""Electronic Money Trans"&amp;"fer Levy"",IF(REGEXMATCH(LOWER(Raw_Data!C35),""transfer|trf|send""),""Transfer"",""Other"")))),""Other"")"),"Airtime")</f>
        <v>Airtime</v>
      </c>
      <c r="E29" s="20">
        <v>500.0</v>
      </c>
      <c r="F29" s="20">
        <v>0.0</v>
      </c>
      <c r="G29" s="12" t="str">
        <f t="shared" si="3"/>
        <v>Withdrawal</v>
      </c>
      <c r="H29" s="12" t="str">
        <f>TEXT(Raw_Data!A35,"hh:mm:ss")
</f>
        <v>11:33:54</v>
      </c>
      <c r="I29" s="20">
        <f t="shared" si="4"/>
        <v>500</v>
      </c>
    </row>
    <row r="30">
      <c r="A30" s="12" t="str">
        <f>Raw_Data!A36</f>
        <v>04 Jan 2025 15:28:50</v>
      </c>
      <c r="B30" s="12" t="str">
        <f t="shared" si="1"/>
        <v>January</v>
      </c>
      <c r="C30" s="12">
        <f t="shared" si="2"/>
        <v>1</v>
      </c>
      <c r="D30" s="12" t="str">
        <f>IFERROR(__xludf.DUMMYFUNCTION("IFERROR(IF(REGEXMATCH(LOWER(Raw_Data!C36),""fixed deposit|owealth|savings|target""),""Fixed Deposit"",IF(REGEXMATCH(LOWER(Raw_Data!C36),""airtime""),""Airtime"",IF(REGEXMATCH(LOWER(Raw_Data!C36),""electronic money transfer levy""),""Electronic Money Trans"&amp;"fer Levy"",IF(REGEXMATCH(LOWER(Raw_Data!C36),""transfer|trf|send""),""Transfer"",""Other"")))),""Other"")"),"Transfer")</f>
        <v>Transfer</v>
      </c>
      <c r="E30" s="20">
        <v>300.0</v>
      </c>
      <c r="F30" s="20">
        <v>0.0</v>
      </c>
      <c r="G30" s="12" t="str">
        <f t="shared" si="3"/>
        <v>Withdrawal</v>
      </c>
      <c r="H30" s="12" t="str">
        <f>TEXT(Raw_Data!A36,"hh:mm:ss")
</f>
        <v>15:28:50</v>
      </c>
      <c r="I30" s="20">
        <f t="shared" si="4"/>
        <v>300</v>
      </c>
    </row>
    <row r="31">
      <c r="A31" s="12" t="str">
        <f>Raw_Data!A37</f>
        <v>05 Jan 2025 11:21:19</v>
      </c>
      <c r="B31" s="12" t="str">
        <f t="shared" si="1"/>
        <v>January</v>
      </c>
      <c r="C31" s="12">
        <f t="shared" si="2"/>
        <v>1</v>
      </c>
      <c r="D31" s="12" t="str">
        <f>IFERROR(__xludf.DUMMYFUNCTION("IFERROR(IF(REGEXMATCH(LOWER(Raw_Data!C37),""fixed deposit|owealth|savings|target""),""Fixed Deposit"",IF(REGEXMATCH(LOWER(Raw_Data!C37),""airtime""),""Airtime"",IF(REGEXMATCH(LOWER(Raw_Data!C37),""electronic money transfer levy""),""Electronic Money Trans"&amp;"fer Levy"",IF(REGEXMATCH(LOWER(Raw_Data!C37),""transfer|trf|send""),""Transfer"",""Other"")))),""Other"")"),"Transfer")</f>
        <v>Transfer</v>
      </c>
      <c r="E31" s="20">
        <v>700.0</v>
      </c>
      <c r="F31" s="20">
        <v>0.0</v>
      </c>
      <c r="G31" s="12" t="str">
        <f t="shared" si="3"/>
        <v>Withdrawal</v>
      </c>
      <c r="H31" s="12" t="str">
        <f>TEXT(Raw_Data!A37,"hh:mm:ss")
</f>
        <v>11:21:19</v>
      </c>
      <c r="I31" s="20">
        <f t="shared" si="4"/>
        <v>700</v>
      </c>
    </row>
    <row r="32">
      <c r="A32" s="12" t="str">
        <f>Raw_Data!A38</f>
        <v>05 Jan 2025 18:44:12</v>
      </c>
      <c r="B32" s="12" t="str">
        <f t="shared" si="1"/>
        <v>January</v>
      </c>
      <c r="C32" s="12">
        <f t="shared" si="2"/>
        <v>1</v>
      </c>
      <c r="D32" s="12" t="str">
        <f>IFERROR(__xludf.DUMMYFUNCTION("IFERROR(IF(REGEXMATCH(LOWER(Raw_Data!C38),""fixed deposit|owealth|savings|target""),""Fixed Deposit"",IF(REGEXMATCH(LOWER(Raw_Data!C38),""airtime""),""Airtime"",IF(REGEXMATCH(LOWER(Raw_Data!C38),""electronic money transfer levy""),""Electronic Money Trans"&amp;"fer Levy"",IF(REGEXMATCH(LOWER(Raw_Data!C38),""transfer|trf|send""),""Transfer"",""Other"")))),""Other"")"),"Transfer")</f>
        <v>Transfer</v>
      </c>
      <c r="E32" s="20">
        <v>0.0</v>
      </c>
      <c r="F32" s="20">
        <v>5000.0</v>
      </c>
      <c r="G32" s="12" t="str">
        <f t="shared" si="3"/>
        <v>Deposit</v>
      </c>
      <c r="H32" s="12" t="str">
        <f>TEXT(Raw_Data!A38,"hh:mm:ss")
</f>
        <v>18:44:12</v>
      </c>
      <c r="I32" s="20">
        <f t="shared" si="4"/>
        <v>5000</v>
      </c>
    </row>
    <row r="33">
      <c r="A33" s="12" t="str">
        <f>Raw_Data!A39</f>
        <v>05 Jan 2025 19:02:58</v>
      </c>
      <c r="B33" s="12" t="str">
        <f t="shared" si="1"/>
        <v>January</v>
      </c>
      <c r="C33" s="12">
        <f t="shared" si="2"/>
        <v>1</v>
      </c>
      <c r="D33" s="12" t="str">
        <f>IFERROR(__xludf.DUMMYFUNCTION("IFERROR(IF(REGEXMATCH(LOWER(Raw_Data!C39),""fixed deposit|owealth|savings|target""),""Fixed Deposit"",IF(REGEXMATCH(LOWER(Raw_Data!C39),""airtime""),""Airtime"",IF(REGEXMATCH(LOWER(Raw_Data!C39),""electronic money transfer levy""),""Electronic Money Trans"&amp;"fer Levy"",IF(REGEXMATCH(LOWER(Raw_Data!C39),""transfer|trf|send""),""Transfer"",""Other"")))),""Other"")"),"Transfer")</f>
        <v>Transfer</v>
      </c>
      <c r="E33" s="20">
        <v>200.0</v>
      </c>
      <c r="F33" s="20">
        <v>0.0</v>
      </c>
      <c r="G33" s="12" t="str">
        <f t="shared" si="3"/>
        <v>Withdrawal</v>
      </c>
      <c r="H33" s="12" t="str">
        <f>TEXT(Raw_Data!A39,"hh:mm:ss")
</f>
        <v>19:02:58</v>
      </c>
      <c r="I33" s="20">
        <f t="shared" si="4"/>
        <v>200</v>
      </c>
    </row>
    <row r="34">
      <c r="A34" s="12" t="str">
        <f>Raw_Data!A40</f>
        <v>05 Jan 2025 19:08:44</v>
      </c>
      <c r="B34" s="12" t="str">
        <f t="shared" si="1"/>
        <v>January</v>
      </c>
      <c r="C34" s="12">
        <f t="shared" si="2"/>
        <v>1</v>
      </c>
      <c r="D34" s="12" t="str">
        <f>IFERROR(__xludf.DUMMYFUNCTION("IFERROR(IF(REGEXMATCH(LOWER(Raw_Data!C40),""fixed deposit|owealth|savings|target""),""Fixed Deposit"",IF(REGEXMATCH(LOWER(Raw_Data!C40),""airtime""),""Airtime"",IF(REGEXMATCH(LOWER(Raw_Data!C40),""electronic money transfer levy""),""Electronic Money Trans"&amp;"fer Levy"",IF(REGEXMATCH(LOWER(Raw_Data!C40),""transfer|trf|send""),""Transfer"",""Other"")))),""Other"")"),"Transfer")</f>
        <v>Transfer</v>
      </c>
      <c r="E34" s="20">
        <v>1650.0</v>
      </c>
      <c r="F34" s="20">
        <v>0.0</v>
      </c>
      <c r="G34" s="12" t="str">
        <f t="shared" si="3"/>
        <v>Withdrawal</v>
      </c>
      <c r="H34" s="12" t="str">
        <f>TEXT(Raw_Data!A40,"hh:mm:ss")
</f>
        <v>19:08:44</v>
      </c>
      <c r="I34" s="20">
        <f t="shared" si="4"/>
        <v>1650</v>
      </c>
    </row>
    <row r="35">
      <c r="A35" s="12" t="str">
        <f>Raw_Data!A41</f>
        <v>05 Jan 2025 19:09:46</v>
      </c>
      <c r="B35" s="12" t="str">
        <f t="shared" si="1"/>
        <v>January</v>
      </c>
      <c r="C35" s="12">
        <f t="shared" si="2"/>
        <v>1</v>
      </c>
      <c r="D35" s="12" t="str">
        <f>IFERROR(__xludf.DUMMYFUNCTION("IFERROR(IF(REGEXMATCH(LOWER(Raw_Data!C41),""fixed deposit|owealth|savings|target""),""Fixed Deposit"",IF(REGEXMATCH(LOWER(Raw_Data!C41),""airtime""),""Airtime"",IF(REGEXMATCH(LOWER(Raw_Data!C41),""electronic money transfer levy""),""Electronic Money Trans"&amp;"fer Levy"",IF(REGEXMATCH(LOWER(Raw_Data!C41),""transfer|trf|send""),""Transfer"",""Other"")))),""Other"")"),"Airtime")</f>
        <v>Airtime</v>
      </c>
      <c r="E35" s="20">
        <v>500.0</v>
      </c>
      <c r="F35" s="20">
        <v>0.0</v>
      </c>
      <c r="G35" s="12" t="str">
        <f t="shared" si="3"/>
        <v>Withdrawal</v>
      </c>
      <c r="H35" s="12" t="str">
        <f>TEXT(Raw_Data!A41,"hh:mm:ss")
</f>
        <v>19:09:46</v>
      </c>
      <c r="I35" s="20">
        <f t="shared" si="4"/>
        <v>500</v>
      </c>
    </row>
    <row r="36">
      <c r="A36" s="12" t="str">
        <f>Raw_Data!A42</f>
        <v>05 Jan 2025 20:03:09</v>
      </c>
      <c r="B36" s="12" t="str">
        <f t="shared" si="1"/>
        <v>January</v>
      </c>
      <c r="C36" s="12">
        <f t="shared" si="2"/>
        <v>1</v>
      </c>
      <c r="D36" s="12" t="str">
        <f>IFERROR(__xludf.DUMMYFUNCTION("IFERROR(IF(REGEXMATCH(LOWER(Raw_Data!C42),""fixed deposit|owealth|savings|target""),""Fixed Deposit"",IF(REGEXMATCH(LOWER(Raw_Data!C42),""airtime""),""Airtime"",IF(REGEXMATCH(LOWER(Raw_Data!C42),""electronic money transfer levy""),""Electronic Money Trans"&amp;"fer Levy"",IF(REGEXMATCH(LOWER(Raw_Data!C42),""transfer|trf|send""),""Transfer"",""Other"")))),""Other"")"),"Transfer")</f>
        <v>Transfer</v>
      </c>
      <c r="E36" s="20">
        <v>900.0</v>
      </c>
      <c r="F36" s="20">
        <v>0.0</v>
      </c>
      <c r="G36" s="12" t="str">
        <f t="shared" si="3"/>
        <v>Withdrawal</v>
      </c>
      <c r="H36" s="12" t="str">
        <f>TEXT(Raw_Data!A42,"hh:mm:ss")
</f>
        <v>20:03:09</v>
      </c>
      <c r="I36" s="20">
        <f t="shared" si="4"/>
        <v>900</v>
      </c>
    </row>
    <row r="37">
      <c r="A37" s="12" t="str">
        <f>Raw_Data!A43</f>
        <v>06 Jan 2025 06:28:49</v>
      </c>
      <c r="B37" s="12" t="str">
        <f t="shared" si="1"/>
        <v>January</v>
      </c>
      <c r="C37" s="12">
        <f t="shared" si="2"/>
        <v>1</v>
      </c>
      <c r="D37" s="12" t="str">
        <f>IFERROR(__xludf.DUMMYFUNCTION("IFERROR(IF(REGEXMATCH(LOWER(Raw_Data!C43),""fixed deposit|owealth|savings|target""),""Fixed Deposit"",IF(REGEXMATCH(LOWER(Raw_Data!C43),""airtime""),""Airtime"",IF(REGEXMATCH(LOWER(Raw_Data!C43),""electronic money transfer levy""),""Electronic Money Trans"&amp;"fer Levy"",IF(REGEXMATCH(LOWER(Raw_Data!C43),""transfer|trf|send""),""Transfer"",""Other"")))),""Other"")"),"Transfer")</f>
        <v>Transfer</v>
      </c>
      <c r="E37" s="20">
        <v>0.0</v>
      </c>
      <c r="F37" s="20">
        <v>1500.0</v>
      </c>
      <c r="G37" s="12" t="str">
        <f t="shared" si="3"/>
        <v>Deposit</v>
      </c>
      <c r="H37" s="12" t="str">
        <f>TEXT(Raw_Data!A43,"hh:mm:ss")
</f>
        <v>06:28:49</v>
      </c>
      <c r="I37" s="20">
        <f t="shared" si="4"/>
        <v>1500</v>
      </c>
    </row>
    <row r="38">
      <c r="A38" s="12" t="str">
        <f>Raw_Data!A44</f>
        <v>06 Jan 2025 10:04:58</v>
      </c>
      <c r="B38" s="12" t="str">
        <f t="shared" si="1"/>
        <v>January</v>
      </c>
      <c r="C38" s="12">
        <f t="shared" si="2"/>
        <v>1</v>
      </c>
      <c r="D38" s="12" t="str">
        <f>IFERROR(__xludf.DUMMYFUNCTION("IFERROR(IF(REGEXMATCH(LOWER(Raw_Data!C44),""fixed deposit|owealth|savings|target""),""Fixed Deposit"",IF(REGEXMATCH(LOWER(Raw_Data!C44),""airtime""),""Airtime"",IF(REGEXMATCH(LOWER(Raw_Data!C44),""electronic money transfer levy""),""Electronic Money Trans"&amp;"fer Levy"",IF(REGEXMATCH(LOWER(Raw_Data!C44),""transfer|trf|send""),""Transfer"",""Other"")))),""Other"")"),"Transfer")</f>
        <v>Transfer</v>
      </c>
      <c r="E38" s="20">
        <v>200.0</v>
      </c>
      <c r="F38" s="20">
        <v>0.0</v>
      </c>
      <c r="G38" s="12" t="str">
        <f t="shared" si="3"/>
        <v>Withdrawal</v>
      </c>
      <c r="H38" s="12" t="str">
        <f>TEXT(Raw_Data!A44,"hh:mm:ss")
</f>
        <v>10:04:58</v>
      </c>
      <c r="I38" s="20">
        <f t="shared" si="4"/>
        <v>200</v>
      </c>
    </row>
    <row r="39">
      <c r="A39" s="12" t="str">
        <f>Raw_Data!A45</f>
        <v>06 Jan 2025 10:47:07</v>
      </c>
      <c r="B39" s="12" t="str">
        <f t="shared" si="1"/>
        <v>January</v>
      </c>
      <c r="C39" s="12">
        <f t="shared" si="2"/>
        <v>1</v>
      </c>
      <c r="D39" s="12" t="str">
        <f>IFERROR(__xludf.DUMMYFUNCTION("IFERROR(IF(REGEXMATCH(LOWER(Raw_Data!C45),""fixed deposit|owealth|savings|target""),""Fixed Deposit"",IF(REGEXMATCH(LOWER(Raw_Data!C45),""airtime""),""Airtime"",IF(REGEXMATCH(LOWER(Raw_Data!C45),""electronic money transfer levy""),""Electronic Money Trans"&amp;"fer Levy"",IF(REGEXMATCH(LOWER(Raw_Data!C45),""transfer|trf|send""),""Transfer"",""Other"")))),""Other"")"),"Transfer")</f>
        <v>Transfer</v>
      </c>
      <c r="E39" s="20">
        <v>2000.0</v>
      </c>
      <c r="F39" s="20">
        <v>0.0</v>
      </c>
      <c r="G39" s="12" t="str">
        <f t="shared" si="3"/>
        <v>Withdrawal</v>
      </c>
      <c r="H39" s="12" t="str">
        <f>TEXT(Raw_Data!A45,"hh:mm:ss")
</f>
        <v>10:47:07</v>
      </c>
      <c r="I39" s="20">
        <f t="shared" si="4"/>
        <v>2000</v>
      </c>
    </row>
    <row r="40">
      <c r="A40" s="12" t="str">
        <f>Raw_Data!A46</f>
        <v>06 Jan 2025 12:31:34</v>
      </c>
      <c r="B40" s="12" t="str">
        <f t="shared" si="1"/>
        <v>January</v>
      </c>
      <c r="C40" s="12">
        <f t="shared" si="2"/>
        <v>1</v>
      </c>
      <c r="D40" s="12" t="str">
        <f>IFERROR(__xludf.DUMMYFUNCTION("IFERROR(IF(REGEXMATCH(LOWER(Raw_Data!C46),""fixed deposit|owealth|savings|target""),""Fixed Deposit"",IF(REGEXMATCH(LOWER(Raw_Data!C46),""airtime""),""Airtime"",IF(REGEXMATCH(LOWER(Raw_Data!C46),""electronic money transfer levy""),""Electronic Money Trans"&amp;"fer Levy"",IF(REGEXMATCH(LOWER(Raw_Data!C46),""transfer|trf|send""),""Transfer"",""Other"")))),""Other"")"),"Transfer")</f>
        <v>Transfer</v>
      </c>
      <c r="E40" s="20">
        <v>200.0</v>
      </c>
      <c r="F40" s="20">
        <v>0.0</v>
      </c>
      <c r="G40" s="12" t="str">
        <f t="shared" si="3"/>
        <v>Withdrawal</v>
      </c>
      <c r="H40" s="12" t="str">
        <f>TEXT(Raw_Data!A46,"hh:mm:ss")
</f>
        <v>12:31:34</v>
      </c>
      <c r="I40" s="20">
        <f t="shared" si="4"/>
        <v>200</v>
      </c>
    </row>
    <row r="41">
      <c r="A41" s="12" t="str">
        <f>Raw_Data!A47</f>
        <v>06 Jan 2025 13:56:52</v>
      </c>
      <c r="B41" s="12" t="str">
        <f t="shared" si="1"/>
        <v>January</v>
      </c>
      <c r="C41" s="12">
        <f t="shared" si="2"/>
        <v>1</v>
      </c>
      <c r="D41" s="12" t="str">
        <f>IFERROR(__xludf.DUMMYFUNCTION("IFERROR(IF(REGEXMATCH(LOWER(Raw_Data!C47),""fixed deposit|owealth|savings|target""),""Fixed Deposit"",IF(REGEXMATCH(LOWER(Raw_Data!C47),""airtime""),""Airtime"",IF(REGEXMATCH(LOWER(Raw_Data!C47),""electronic money transfer levy""),""Electronic Money Trans"&amp;"fer Levy"",IF(REGEXMATCH(LOWER(Raw_Data!C47),""transfer|trf|send""),""Transfer"",""Other"")))),""Other"")"),"Transfer")</f>
        <v>Transfer</v>
      </c>
      <c r="E41" s="20">
        <v>1000.0</v>
      </c>
      <c r="F41" s="20">
        <v>0.0</v>
      </c>
      <c r="G41" s="12" t="str">
        <f t="shared" si="3"/>
        <v>Withdrawal</v>
      </c>
      <c r="H41" s="12" t="str">
        <f>TEXT(Raw_Data!A47,"hh:mm:ss")
</f>
        <v>13:56:52</v>
      </c>
      <c r="I41" s="20">
        <f t="shared" si="4"/>
        <v>1000</v>
      </c>
    </row>
    <row r="42">
      <c r="A42" s="12" t="str">
        <f>Raw_Data!A48</f>
        <v>06 Jan 2025 18:18:37</v>
      </c>
      <c r="B42" s="12" t="str">
        <f t="shared" si="1"/>
        <v>January</v>
      </c>
      <c r="C42" s="12">
        <f t="shared" si="2"/>
        <v>1</v>
      </c>
      <c r="D42" s="12" t="str">
        <f>IFERROR(__xludf.DUMMYFUNCTION("IFERROR(IF(REGEXMATCH(LOWER(Raw_Data!C48),""fixed deposit|owealth|savings|target""),""Fixed Deposit"",IF(REGEXMATCH(LOWER(Raw_Data!C48),""airtime""),""Airtime"",IF(REGEXMATCH(LOWER(Raw_Data!C48),""electronic money transfer levy""),""Electronic Money Trans"&amp;"fer Levy"",IF(REGEXMATCH(LOWER(Raw_Data!C48),""transfer|trf|send""),""Transfer"",""Other"")))),""Other"")"),"Transfer")</f>
        <v>Transfer</v>
      </c>
      <c r="E42" s="20">
        <v>0.0</v>
      </c>
      <c r="F42" s="20">
        <v>1000.0</v>
      </c>
      <c r="G42" s="12" t="str">
        <f t="shared" si="3"/>
        <v>Deposit</v>
      </c>
      <c r="H42" s="12" t="str">
        <f>TEXT(Raw_Data!A48,"hh:mm:ss")
</f>
        <v>18:18:37</v>
      </c>
      <c r="I42" s="20">
        <f t="shared" si="4"/>
        <v>1000</v>
      </c>
    </row>
    <row r="43">
      <c r="A43" s="12" t="str">
        <f>Raw_Data!A49</f>
        <v>06 Jan 2025 22:01:57</v>
      </c>
      <c r="B43" s="12" t="str">
        <f t="shared" si="1"/>
        <v>January</v>
      </c>
      <c r="C43" s="12">
        <f t="shared" si="2"/>
        <v>1</v>
      </c>
      <c r="D43" s="12" t="str">
        <f>IFERROR(__xludf.DUMMYFUNCTION("IFERROR(IF(REGEXMATCH(LOWER(Raw_Data!C49),""fixed deposit|owealth|savings|target""),""Fixed Deposit"",IF(REGEXMATCH(LOWER(Raw_Data!C49),""airtime""),""Airtime"",IF(REGEXMATCH(LOWER(Raw_Data!C49),""electronic money transfer levy""),""Electronic Money Trans"&amp;"fer Levy"",IF(REGEXMATCH(LOWER(Raw_Data!C49),""transfer|trf|send""),""Transfer"",""Other"")))),""Other"")"),"Transfer")</f>
        <v>Transfer</v>
      </c>
      <c r="E43" s="20">
        <v>1300.0</v>
      </c>
      <c r="F43" s="20">
        <v>0.0</v>
      </c>
      <c r="G43" s="12" t="str">
        <f t="shared" si="3"/>
        <v>Withdrawal</v>
      </c>
      <c r="H43" s="12" t="str">
        <f>TEXT(Raw_Data!A49,"hh:mm:ss")
</f>
        <v>22:01:57</v>
      </c>
      <c r="I43" s="20">
        <f t="shared" si="4"/>
        <v>1300</v>
      </c>
    </row>
    <row r="44">
      <c r="A44" s="12" t="str">
        <f>Raw_Data!A50</f>
        <v>07 Jan 2025 04:35:11</v>
      </c>
      <c r="B44" s="12" t="str">
        <f t="shared" si="1"/>
        <v>January</v>
      </c>
      <c r="C44" s="12">
        <f t="shared" si="2"/>
        <v>1</v>
      </c>
      <c r="D44" s="12" t="str">
        <f>IFERROR(__xludf.DUMMYFUNCTION("IFERROR(IF(REGEXMATCH(LOWER(Raw_Data!C50),""fixed deposit|owealth|savings|target""),""Fixed Deposit"",IF(REGEXMATCH(LOWER(Raw_Data!C50),""airtime""),""Airtime"",IF(REGEXMATCH(LOWER(Raw_Data!C50),""electronic money transfer levy""),""Electronic Money Trans"&amp;"fer Levy"",IF(REGEXMATCH(LOWER(Raw_Data!C50),""transfer|trf|send""),""Transfer"",""Other"")))),""Other"")"),"Transfer")</f>
        <v>Transfer</v>
      </c>
      <c r="E44" s="20">
        <v>0.0</v>
      </c>
      <c r="F44" s="20">
        <v>410520.0</v>
      </c>
      <c r="G44" s="12" t="str">
        <f t="shared" si="3"/>
        <v>Deposit</v>
      </c>
      <c r="H44" s="12" t="str">
        <f>TEXT(Raw_Data!A50,"hh:mm:ss")
</f>
        <v>04:35:11</v>
      </c>
      <c r="I44" s="20">
        <f t="shared" si="4"/>
        <v>410520</v>
      </c>
    </row>
    <row r="45">
      <c r="A45" s="12" t="str">
        <f>Raw_Data!A51</f>
        <v>07 Jan 2025 04:35:17</v>
      </c>
      <c r="B45" s="12" t="str">
        <f t="shared" si="1"/>
        <v>January</v>
      </c>
      <c r="C45" s="12">
        <f t="shared" si="2"/>
        <v>1</v>
      </c>
      <c r="D45" s="12" t="str">
        <f>IFERROR(__xludf.DUMMYFUNCTION("IFERROR(IF(REGEXMATCH(LOWER(Raw_Data!C51),""fixed deposit|owealth|savings|target""),""Fixed Deposit"",IF(REGEXMATCH(LOWER(Raw_Data!C51),""airtime""),""Airtime"",IF(REGEXMATCH(LOWER(Raw_Data!C51),""electronic money transfer levy""),""Electronic Money Trans"&amp;"fer Levy"",IF(REGEXMATCH(LOWER(Raw_Data!C51),""transfer|trf|send""),""Transfer"",""Other"")))),""Other"")"),"Electronic Money Transfer Levy")</f>
        <v>Electronic Money Transfer Levy</v>
      </c>
      <c r="E45" s="20">
        <v>50.0</v>
      </c>
      <c r="F45" s="20">
        <v>0.0</v>
      </c>
      <c r="G45" s="12" t="str">
        <f t="shared" si="3"/>
        <v>Withdrawal</v>
      </c>
      <c r="H45" s="12" t="str">
        <f>TEXT(Raw_Data!A51,"hh:mm:ss")
</f>
        <v>04:35:17</v>
      </c>
      <c r="I45" s="20">
        <f t="shared" si="4"/>
        <v>50</v>
      </c>
    </row>
    <row r="46">
      <c r="A46" s="12" t="str">
        <f>Raw_Data!A52</f>
        <v>07 Jan 2025 04:37:09</v>
      </c>
      <c r="B46" s="12" t="str">
        <f t="shared" si="1"/>
        <v>January</v>
      </c>
      <c r="C46" s="12">
        <f t="shared" si="2"/>
        <v>1</v>
      </c>
      <c r="D46" s="12" t="str">
        <f>IFERROR(__xludf.DUMMYFUNCTION("IFERROR(IF(REGEXMATCH(LOWER(Raw_Data!C52),""fixed deposit|owealth|savings|target""),""Fixed Deposit"",IF(REGEXMATCH(LOWER(Raw_Data!C52),""airtime""),""Airtime"",IF(REGEXMATCH(LOWER(Raw_Data!C52),""electronic money transfer levy""),""Electronic Money Trans"&amp;"fer Levy"",IF(REGEXMATCH(LOWER(Raw_Data!C52),""transfer|trf|send""),""Transfer"",""Other"")))),""Other"")"),"Transfer")</f>
        <v>Transfer</v>
      </c>
      <c r="E46" s="20">
        <v>100000.0</v>
      </c>
      <c r="F46" s="20">
        <v>0.0</v>
      </c>
      <c r="G46" s="12" t="str">
        <f t="shared" si="3"/>
        <v>Withdrawal</v>
      </c>
      <c r="H46" s="12" t="str">
        <f>TEXT(Raw_Data!A52,"hh:mm:ss")
</f>
        <v>04:37:09</v>
      </c>
      <c r="I46" s="20">
        <f t="shared" si="4"/>
        <v>100000</v>
      </c>
    </row>
    <row r="47">
      <c r="A47" s="12" t="str">
        <f>Raw_Data!A53</f>
        <v>07 Jan 2025 04:38:28</v>
      </c>
      <c r="B47" s="12" t="str">
        <f t="shared" si="1"/>
        <v>January</v>
      </c>
      <c r="C47" s="12">
        <f t="shared" si="2"/>
        <v>1</v>
      </c>
      <c r="D47" s="12" t="str">
        <f>IFERROR(__xludf.DUMMYFUNCTION("IFERROR(IF(REGEXMATCH(LOWER(Raw_Data!C53),""fixed deposit|owealth|savings|target""),""Fixed Deposit"",IF(REGEXMATCH(LOWER(Raw_Data!C53),""airtime""),""Airtime"",IF(REGEXMATCH(LOWER(Raw_Data!C53),""electronic money transfer levy""),""Electronic Money Trans"&amp;"fer Levy"",IF(REGEXMATCH(LOWER(Raw_Data!C53),""transfer|trf|send""),""Transfer"",""Other"")))),""Other"")"),"Transfer")</f>
        <v>Transfer</v>
      </c>
      <c r="E47" s="20">
        <v>95000.0</v>
      </c>
      <c r="F47" s="20">
        <v>0.0</v>
      </c>
      <c r="G47" s="12" t="str">
        <f t="shared" si="3"/>
        <v>Withdrawal</v>
      </c>
      <c r="H47" s="12" t="str">
        <f>TEXT(Raw_Data!A53,"hh:mm:ss")
</f>
        <v>04:38:28</v>
      </c>
      <c r="I47" s="20">
        <f t="shared" si="4"/>
        <v>95000</v>
      </c>
    </row>
    <row r="48">
      <c r="A48" s="12" t="str">
        <f>Raw_Data!A54</f>
        <v>07 Jan 2025 04:41:12</v>
      </c>
      <c r="B48" s="12" t="str">
        <f t="shared" si="1"/>
        <v>January</v>
      </c>
      <c r="C48" s="12">
        <f t="shared" si="2"/>
        <v>1</v>
      </c>
      <c r="D48" s="12" t="str">
        <f>IFERROR(__xludf.DUMMYFUNCTION("IFERROR(IF(REGEXMATCH(LOWER(Raw_Data!C54),""fixed deposit|owealth|savings|target""),""Fixed Deposit"",IF(REGEXMATCH(LOWER(Raw_Data!C54),""airtime""),""Airtime"",IF(REGEXMATCH(LOWER(Raw_Data!C54),""electronic money transfer levy""),""Electronic Money Trans"&amp;"fer Levy"",IF(REGEXMATCH(LOWER(Raw_Data!C54),""transfer|trf|send""),""Transfer"",""Other"")))),""Other"")"),"Airtime")</f>
        <v>Airtime</v>
      </c>
      <c r="E48" s="20">
        <v>12500.0</v>
      </c>
      <c r="F48" s="20">
        <v>0.0</v>
      </c>
      <c r="G48" s="12" t="str">
        <f t="shared" si="3"/>
        <v>Withdrawal</v>
      </c>
      <c r="H48" s="12" t="str">
        <f>TEXT(Raw_Data!A54,"hh:mm:ss")
</f>
        <v>04:41:12</v>
      </c>
      <c r="I48" s="20">
        <f t="shared" si="4"/>
        <v>12500</v>
      </c>
    </row>
    <row r="49">
      <c r="A49" s="12" t="str">
        <f>Raw_Data!A55</f>
        <v>07 Jan 2025 04:44:28</v>
      </c>
      <c r="B49" s="12" t="str">
        <f t="shared" si="1"/>
        <v>January</v>
      </c>
      <c r="C49" s="12">
        <f t="shared" si="2"/>
        <v>1</v>
      </c>
      <c r="D49" s="12" t="str">
        <f>IFERROR(__xludf.DUMMYFUNCTION("IFERROR(IF(REGEXMATCH(LOWER(Raw_Data!C55),""fixed deposit|owealth|savings|target""),""Fixed Deposit"",IF(REGEXMATCH(LOWER(Raw_Data!C55),""airtime""),""Airtime"",IF(REGEXMATCH(LOWER(Raw_Data!C55),""electronic money transfer levy""),""Electronic Money Trans"&amp;"fer Levy"",IF(REGEXMATCH(LOWER(Raw_Data!C55),""transfer|trf|send""),""Transfer"",""Other"")))),""Other"")"),"Transfer")</f>
        <v>Transfer</v>
      </c>
      <c r="E49" s="20">
        <v>50000.0</v>
      </c>
      <c r="F49" s="20">
        <v>0.0</v>
      </c>
      <c r="G49" s="12" t="str">
        <f t="shared" si="3"/>
        <v>Withdrawal</v>
      </c>
      <c r="H49" s="12" t="str">
        <f>TEXT(Raw_Data!A55,"hh:mm:ss")
</f>
        <v>04:44:28</v>
      </c>
      <c r="I49" s="20">
        <f t="shared" si="4"/>
        <v>50000</v>
      </c>
    </row>
    <row r="50">
      <c r="A50" s="12" t="str">
        <f>Raw_Data!A56</f>
        <v>07 Jan 2025 04:45:33</v>
      </c>
      <c r="B50" s="12" t="str">
        <f t="shared" si="1"/>
        <v>January</v>
      </c>
      <c r="C50" s="12">
        <f t="shared" si="2"/>
        <v>1</v>
      </c>
      <c r="D50" s="12" t="str">
        <f>IFERROR(__xludf.DUMMYFUNCTION("IFERROR(IF(REGEXMATCH(LOWER(Raw_Data!C56),""fixed deposit|owealth|savings|target""),""Fixed Deposit"",IF(REGEXMATCH(LOWER(Raw_Data!C56),""airtime""),""Airtime"",IF(REGEXMATCH(LOWER(Raw_Data!C56),""electronic money transfer levy""),""Electronic Money Trans"&amp;"fer Levy"",IF(REGEXMATCH(LOWER(Raw_Data!C56),""transfer|trf|send""),""Transfer"",""Other"")))),""Other"")"),"Transfer")</f>
        <v>Transfer</v>
      </c>
      <c r="E50" s="20">
        <v>0.0</v>
      </c>
      <c r="F50" s="20">
        <v>30000.0</v>
      </c>
      <c r="G50" s="12" t="str">
        <f t="shared" si="3"/>
        <v>Deposit</v>
      </c>
      <c r="H50" s="12" t="str">
        <f>TEXT(Raw_Data!A56,"hh:mm:ss")
</f>
        <v>04:45:33</v>
      </c>
      <c r="I50" s="20">
        <f t="shared" si="4"/>
        <v>30000</v>
      </c>
    </row>
    <row r="51">
      <c r="A51" s="12" t="str">
        <f>Raw_Data!A57</f>
        <v>07 Jan 2025 04:45:41</v>
      </c>
      <c r="B51" s="12" t="str">
        <f t="shared" si="1"/>
        <v>January</v>
      </c>
      <c r="C51" s="12">
        <f t="shared" si="2"/>
        <v>1</v>
      </c>
      <c r="D51" s="12" t="str">
        <f>IFERROR(__xludf.DUMMYFUNCTION("IFERROR(IF(REGEXMATCH(LOWER(Raw_Data!C57),""fixed deposit|owealth|savings|target""),""Fixed Deposit"",IF(REGEXMATCH(LOWER(Raw_Data!C57),""airtime""),""Airtime"",IF(REGEXMATCH(LOWER(Raw_Data!C57),""electronic money transfer levy""),""Electronic Money Trans"&amp;"fer Levy"",IF(REGEXMATCH(LOWER(Raw_Data!C57),""transfer|trf|send""),""Transfer"",""Other"")))),""Other"")"),"Electronic Money Transfer Levy")</f>
        <v>Electronic Money Transfer Levy</v>
      </c>
      <c r="E51" s="20">
        <v>50.0</v>
      </c>
      <c r="F51" s="20">
        <v>0.0</v>
      </c>
      <c r="G51" s="12" t="str">
        <f t="shared" si="3"/>
        <v>Withdrawal</v>
      </c>
      <c r="H51" s="12" t="str">
        <f>TEXT(Raw_Data!A57,"hh:mm:ss")
</f>
        <v>04:45:41</v>
      </c>
      <c r="I51" s="20">
        <f t="shared" si="4"/>
        <v>50</v>
      </c>
    </row>
    <row r="52">
      <c r="A52" s="12" t="str">
        <f>Raw_Data!A58</f>
        <v>07 Jan 2025 04:47:16</v>
      </c>
      <c r="B52" s="12" t="str">
        <f t="shared" si="1"/>
        <v>January</v>
      </c>
      <c r="C52" s="12">
        <f t="shared" si="2"/>
        <v>1</v>
      </c>
      <c r="D52" s="12" t="str">
        <f>IFERROR(__xludf.DUMMYFUNCTION("IFERROR(IF(REGEXMATCH(LOWER(Raw_Data!C58),""fixed deposit|owealth|savings|target""),""Fixed Deposit"",IF(REGEXMATCH(LOWER(Raw_Data!C58),""airtime""),""Airtime"",IF(REGEXMATCH(LOWER(Raw_Data!C58),""electronic money transfer levy""),""Electronic Money Trans"&amp;"fer Levy"",IF(REGEXMATCH(LOWER(Raw_Data!C58),""transfer|trf|send""),""Transfer"",""Other"")))),""Other"")"),"Transfer")</f>
        <v>Transfer</v>
      </c>
      <c r="E52" s="20">
        <v>4000.0</v>
      </c>
      <c r="F52" s="20">
        <v>0.0</v>
      </c>
      <c r="G52" s="12" t="str">
        <f t="shared" si="3"/>
        <v>Withdrawal</v>
      </c>
      <c r="H52" s="12" t="str">
        <f>TEXT(Raw_Data!A58,"hh:mm:ss")
</f>
        <v>04:47:16</v>
      </c>
      <c r="I52" s="20">
        <f t="shared" si="4"/>
        <v>4000</v>
      </c>
    </row>
    <row r="53">
      <c r="A53" s="12" t="str">
        <f>Raw_Data!A59</f>
        <v>07 Jan 2025 05:28:25</v>
      </c>
      <c r="B53" s="12" t="str">
        <f t="shared" si="1"/>
        <v>January</v>
      </c>
      <c r="C53" s="12">
        <f t="shared" si="2"/>
        <v>1</v>
      </c>
      <c r="D53" s="12" t="str">
        <f>IFERROR(__xludf.DUMMYFUNCTION("IFERROR(IF(REGEXMATCH(LOWER(Raw_Data!C59),""fixed deposit|owealth|savings|target""),""Fixed Deposit"",IF(REGEXMATCH(LOWER(Raw_Data!C59),""airtime""),""Airtime"",IF(REGEXMATCH(LOWER(Raw_Data!C59),""electronic money transfer levy""),""Electronic Money Trans"&amp;"fer Levy"",IF(REGEXMATCH(LOWER(Raw_Data!C59),""transfer|trf|send""),""Transfer"",""Other"")))),""Other"")"),"Transfer")</f>
        <v>Transfer</v>
      </c>
      <c r="E53" s="20">
        <v>10000.0</v>
      </c>
      <c r="F53" s="20">
        <v>0.0</v>
      </c>
      <c r="G53" s="12" t="str">
        <f t="shared" si="3"/>
        <v>Withdrawal</v>
      </c>
      <c r="H53" s="12" t="str">
        <f>TEXT(Raw_Data!A59,"hh:mm:ss")
</f>
        <v>05:28:25</v>
      </c>
      <c r="I53" s="20">
        <f t="shared" si="4"/>
        <v>10000</v>
      </c>
    </row>
    <row r="54">
      <c r="A54" s="12" t="str">
        <f>Raw_Data!A60</f>
        <v>07 Jan 2025 07:16:45</v>
      </c>
      <c r="B54" s="12" t="str">
        <f t="shared" si="1"/>
        <v>January</v>
      </c>
      <c r="C54" s="12">
        <f t="shared" si="2"/>
        <v>1</v>
      </c>
      <c r="D54" s="12" t="str">
        <f>IFERROR(__xludf.DUMMYFUNCTION("IFERROR(IF(REGEXMATCH(LOWER(Raw_Data!C60),""fixed deposit|owealth|savings|target""),""Fixed Deposit"",IF(REGEXMATCH(LOWER(Raw_Data!C60),""airtime""),""Airtime"",IF(REGEXMATCH(LOWER(Raw_Data!C60),""electronic money transfer levy""),""Electronic Money Trans"&amp;"fer Levy"",IF(REGEXMATCH(LOWER(Raw_Data!C60),""transfer|trf|send""),""Transfer"",""Other"")))),""Other"")"),"Transfer")</f>
        <v>Transfer</v>
      </c>
      <c r="E54" s="20">
        <v>300.0</v>
      </c>
      <c r="F54" s="20">
        <v>0.0</v>
      </c>
      <c r="G54" s="12" t="str">
        <f t="shared" si="3"/>
        <v>Withdrawal</v>
      </c>
      <c r="H54" s="12" t="str">
        <f>TEXT(Raw_Data!A60,"hh:mm:ss")
</f>
        <v>07:16:45</v>
      </c>
      <c r="I54" s="20">
        <f t="shared" si="4"/>
        <v>300</v>
      </c>
    </row>
    <row r="55">
      <c r="A55" s="12" t="str">
        <f>Raw_Data!A61</f>
        <v>07 Jan 2025 08:34:23</v>
      </c>
      <c r="B55" s="12" t="str">
        <f t="shared" si="1"/>
        <v>January</v>
      </c>
      <c r="C55" s="12">
        <f t="shared" si="2"/>
        <v>1</v>
      </c>
      <c r="D55" s="12" t="str">
        <f>IFERROR(__xludf.DUMMYFUNCTION("IFERROR(IF(REGEXMATCH(LOWER(Raw_Data!C61),""fixed deposit|owealth|savings|target""),""Fixed Deposit"",IF(REGEXMATCH(LOWER(Raw_Data!C61),""airtime""),""Airtime"",IF(REGEXMATCH(LOWER(Raw_Data!C61),""electronic money transfer levy""),""Electronic Money Trans"&amp;"fer Levy"",IF(REGEXMATCH(LOWER(Raw_Data!C61),""transfer|trf|send""),""Transfer"",""Other"")))),""Other"")"),"Transfer")</f>
        <v>Transfer</v>
      </c>
      <c r="E55" s="20">
        <v>1700.0</v>
      </c>
      <c r="F55" s="20">
        <v>0.0</v>
      </c>
      <c r="G55" s="12" t="str">
        <f t="shared" si="3"/>
        <v>Withdrawal</v>
      </c>
      <c r="H55" s="12" t="str">
        <f>TEXT(Raw_Data!A61,"hh:mm:ss")
</f>
        <v>08:34:23</v>
      </c>
      <c r="I55" s="20">
        <f t="shared" si="4"/>
        <v>1700</v>
      </c>
    </row>
    <row r="56">
      <c r="A56" s="12" t="str">
        <f>Raw_Data!A62</f>
        <v>07 Jan 2025 08:36:16</v>
      </c>
      <c r="B56" s="12" t="str">
        <f t="shared" si="1"/>
        <v>January</v>
      </c>
      <c r="C56" s="12">
        <f t="shared" si="2"/>
        <v>1</v>
      </c>
      <c r="D56" s="12" t="str">
        <f>IFERROR(__xludf.DUMMYFUNCTION("IFERROR(IF(REGEXMATCH(LOWER(Raw_Data!C62),""fixed deposit|owealth|savings|target""),""Fixed Deposit"",IF(REGEXMATCH(LOWER(Raw_Data!C62),""airtime""),""Airtime"",IF(REGEXMATCH(LOWER(Raw_Data!C62),""electronic money transfer levy""),""Electronic Money Trans"&amp;"fer Levy"",IF(REGEXMATCH(LOWER(Raw_Data!C62),""transfer|trf|send""),""Transfer"",""Other"")))),""Other"")"),"Transfer")</f>
        <v>Transfer</v>
      </c>
      <c r="E56" s="20">
        <v>200.0</v>
      </c>
      <c r="F56" s="20">
        <v>0.0</v>
      </c>
      <c r="G56" s="12" t="str">
        <f t="shared" si="3"/>
        <v>Withdrawal</v>
      </c>
      <c r="H56" s="12" t="str">
        <f>TEXT(Raw_Data!A62,"hh:mm:ss")
</f>
        <v>08:36:16</v>
      </c>
      <c r="I56" s="20">
        <f t="shared" si="4"/>
        <v>200</v>
      </c>
    </row>
    <row r="57">
      <c r="A57" s="12" t="str">
        <f>Raw_Data!A63</f>
        <v>07 Jan 2025 08:48:54</v>
      </c>
      <c r="B57" s="12" t="str">
        <f t="shared" si="1"/>
        <v>January</v>
      </c>
      <c r="C57" s="12">
        <f t="shared" si="2"/>
        <v>1</v>
      </c>
      <c r="D57" s="12" t="str">
        <f>IFERROR(__xludf.DUMMYFUNCTION("IFERROR(IF(REGEXMATCH(LOWER(Raw_Data!C63),""fixed deposit|owealth|savings|target""),""Fixed Deposit"",IF(REGEXMATCH(LOWER(Raw_Data!C63),""airtime""),""Airtime"",IF(REGEXMATCH(LOWER(Raw_Data!C63),""electronic money transfer levy""),""Electronic Money Trans"&amp;"fer Levy"",IF(REGEXMATCH(LOWER(Raw_Data!C63),""transfer|trf|send""),""Transfer"",""Other"")))),""Other"")"),"Transfer")</f>
        <v>Transfer</v>
      </c>
      <c r="E57" s="20">
        <v>0.0</v>
      </c>
      <c r="F57" s="20">
        <v>82051.0</v>
      </c>
      <c r="G57" s="12" t="str">
        <f t="shared" si="3"/>
        <v>Deposit</v>
      </c>
      <c r="H57" s="12" t="str">
        <f>TEXT(Raw_Data!A63,"hh:mm:ss")
</f>
        <v>08:48:54</v>
      </c>
      <c r="I57" s="20">
        <f t="shared" si="4"/>
        <v>82051</v>
      </c>
    </row>
    <row r="58">
      <c r="A58" s="12" t="str">
        <f>Raw_Data!A64</f>
        <v>07 Jan 2025 08:49:00</v>
      </c>
      <c r="B58" s="12" t="str">
        <f t="shared" si="1"/>
        <v>January</v>
      </c>
      <c r="C58" s="12">
        <f t="shared" si="2"/>
        <v>1</v>
      </c>
      <c r="D58" s="12" t="str">
        <f>IFERROR(__xludf.DUMMYFUNCTION("IFERROR(IF(REGEXMATCH(LOWER(Raw_Data!C64),""fixed deposit|owealth|savings|target""),""Fixed Deposit"",IF(REGEXMATCH(LOWER(Raw_Data!C64),""airtime""),""Airtime"",IF(REGEXMATCH(LOWER(Raw_Data!C64),""electronic money transfer levy""),""Electronic Money Trans"&amp;"fer Levy"",IF(REGEXMATCH(LOWER(Raw_Data!C64),""transfer|trf|send""),""Transfer"",""Other"")))),""Other"")"),"Electronic Money Transfer Levy")</f>
        <v>Electronic Money Transfer Levy</v>
      </c>
      <c r="E58" s="20">
        <v>50.0</v>
      </c>
      <c r="F58" s="20">
        <v>0.0</v>
      </c>
      <c r="G58" s="12" t="str">
        <f t="shared" si="3"/>
        <v>Withdrawal</v>
      </c>
      <c r="H58" s="12" t="str">
        <f>TEXT(Raw_Data!A64,"hh:mm:ss")
</f>
        <v>08:49:00</v>
      </c>
      <c r="I58" s="20">
        <f t="shared" si="4"/>
        <v>50</v>
      </c>
    </row>
    <row r="59">
      <c r="A59" s="12" t="str">
        <f>Raw_Data!A65</f>
        <v>07 Jan 2025 10:04:28</v>
      </c>
      <c r="B59" s="12" t="str">
        <f t="shared" si="1"/>
        <v>January</v>
      </c>
      <c r="C59" s="12">
        <f t="shared" si="2"/>
        <v>1</v>
      </c>
      <c r="D59" s="12" t="str">
        <f>IFERROR(__xludf.DUMMYFUNCTION("IFERROR(IF(REGEXMATCH(LOWER(Raw_Data!C65),""fixed deposit|owealth|savings|target""),""Fixed Deposit"",IF(REGEXMATCH(LOWER(Raw_Data!C65),""airtime""),""Airtime"",IF(REGEXMATCH(LOWER(Raw_Data!C65),""electronic money transfer levy""),""Electronic Money Trans"&amp;"fer Levy"",IF(REGEXMATCH(LOWER(Raw_Data!C65),""transfer|trf|send""),""Transfer"",""Other"")))),""Other"")"),"Transfer")</f>
        <v>Transfer</v>
      </c>
      <c r="E59" s="20">
        <v>3210.0</v>
      </c>
      <c r="F59" s="20">
        <v>0.0</v>
      </c>
      <c r="G59" s="12" t="str">
        <f t="shared" si="3"/>
        <v>Withdrawal</v>
      </c>
      <c r="H59" s="12" t="str">
        <f>TEXT(Raw_Data!A65,"hh:mm:ss")
</f>
        <v>10:04:28</v>
      </c>
      <c r="I59" s="20">
        <f t="shared" si="4"/>
        <v>3210</v>
      </c>
    </row>
    <row r="60">
      <c r="A60" s="12" t="str">
        <f>Raw_Data!A66</f>
        <v>07 Jan 2025 10:09:52</v>
      </c>
      <c r="B60" s="12" t="str">
        <f t="shared" si="1"/>
        <v>January</v>
      </c>
      <c r="C60" s="12">
        <f t="shared" si="2"/>
        <v>1</v>
      </c>
      <c r="D60" s="12" t="str">
        <f>IFERROR(__xludf.DUMMYFUNCTION("IFERROR(IF(REGEXMATCH(LOWER(Raw_Data!C66),""fixed deposit|owealth|savings|target""),""Fixed Deposit"",IF(REGEXMATCH(LOWER(Raw_Data!C66),""airtime""),""Airtime"",IF(REGEXMATCH(LOWER(Raw_Data!C66),""electronic money transfer levy""),""Electronic Money Trans"&amp;"fer Levy"",IF(REGEXMATCH(LOWER(Raw_Data!C66),""transfer|trf|send""),""Transfer"",""Other"")))),""Other"")"),"Transfer")</f>
        <v>Transfer</v>
      </c>
      <c r="E60" s="20">
        <v>2860.0</v>
      </c>
      <c r="F60" s="20">
        <v>0.0</v>
      </c>
      <c r="G60" s="12" t="str">
        <f t="shared" si="3"/>
        <v>Withdrawal</v>
      </c>
      <c r="H60" s="12" t="str">
        <f>TEXT(Raw_Data!A66,"hh:mm:ss")
</f>
        <v>10:09:52</v>
      </c>
      <c r="I60" s="20">
        <f t="shared" si="4"/>
        <v>2860</v>
      </c>
    </row>
    <row r="61">
      <c r="A61" s="12" t="str">
        <f>Raw_Data!A67</f>
        <v>07 Jan 2025 10:10:38</v>
      </c>
      <c r="B61" s="12" t="str">
        <f t="shared" si="1"/>
        <v>January</v>
      </c>
      <c r="C61" s="12">
        <f t="shared" si="2"/>
        <v>1</v>
      </c>
      <c r="D61" s="12" t="str">
        <f>IFERROR(__xludf.DUMMYFUNCTION("IFERROR(IF(REGEXMATCH(LOWER(Raw_Data!C67),""fixed deposit|owealth|savings|target""),""Fixed Deposit"",IF(REGEXMATCH(LOWER(Raw_Data!C67),""airtime""),""Airtime"",IF(REGEXMATCH(LOWER(Raw_Data!C67),""electronic money transfer levy""),""Electronic Money Trans"&amp;"fer Levy"",IF(REGEXMATCH(LOWER(Raw_Data!C67),""transfer|trf|send""),""Transfer"",""Other"")))),""Other"")"),"Transfer")</f>
        <v>Transfer</v>
      </c>
      <c r="E61" s="20">
        <v>3500.0</v>
      </c>
      <c r="F61" s="20">
        <v>0.0</v>
      </c>
      <c r="G61" s="12" t="str">
        <f t="shared" si="3"/>
        <v>Withdrawal</v>
      </c>
      <c r="H61" s="12" t="str">
        <f>TEXT(Raw_Data!A67,"hh:mm:ss")
</f>
        <v>10:10:38</v>
      </c>
      <c r="I61" s="20">
        <f t="shared" si="4"/>
        <v>3500</v>
      </c>
    </row>
    <row r="62">
      <c r="A62" s="12" t="str">
        <f>Raw_Data!A68</f>
        <v>07 Jan 2025 10:23:24</v>
      </c>
      <c r="B62" s="12" t="str">
        <f t="shared" si="1"/>
        <v>January</v>
      </c>
      <c r="C62" s="12">
        <f t="shared" si="2"/>
        <v>1</v>
      </c>
      <c r="D62" s="12" t="str">
        <f>IFERROR(__xludf.DUMMYFUNCTION("IFERROR(IF(REGEXMATCH(LOWER(Raw_Data!C68),""fixed deposit|owealth|savings|target""),""Fixed Deposit"",IF(REGEXMATCH(LOWER(Raw_Data!C68),""airtime""),""Airtime"",IF(REGEXMATCH(LOWER(Raw_Data!C68),""electronic money transfer levy""),""Electronic Money Trans"&amp;"fer Levy"",IF(REGEXMATCH(LOWER(Raw_Data!C68),""transfer|trf|send""),""Transfer"",""Other"")))),""Other"")"),"Transfer")</f>
        <v>Transfer</v>
      </c>
      <c r="E62" s="20">
        <v>6500.0</v>
      </c>
      <c r="F62" s="20">
        <v>0.0</v>
      </c>
      <c r="G62" s="12" t="str">
        <f t="shared" si="3"/>
        <v>Withdrawal</v>
      </c>
      <c r="H62" s="12" t="str">
        <f>TEXT(Raw_Data!A68,"hh:mm:ss")
</f>
        <v>10:23:24</v>
      </c>
      <c r="I62" s="20">
        <f t="shared" si="4"/>
        <v>6500</v>
      </c>
    </row>
    <row r="63">
      <c r="A63" s="12" t="str">
        <f>Raw_Data!A69</f>
        <v>07 Jan 2025 10:27:53</v>
      </c>
      <c r="B63" s="12" t="str">
        <f t="shared" si="1"/>
        <v>January</v>
      </c>
      <c r="C63" s="12">
        <f t="shared" si="2"/>
        <v>1</v>
      </c>
      <c r="D63" s="12" t="str">
        <f>IFERROR(__xludf.DUMMYFUNCTION("IFERROR(IF(REGEXMATCH(LOWER(Raw_Data!C69),""fixed deposit|owealth|savings|target""),""Fixed Deposit"",IF(REGEXMATCH(LOWER(Raw_Data!C69),""airtime""),""Airtime"",IF(REGEXMATCH(LOWER(Raw_Data!C69),""electronic money transfer levy""),""Electronic Money Trans"&amp;"fer Levy"",IF(REGEXMATCH(LOWER(Raw_Data!C69),""transfer|trf|send""),""Transfer"",""Other"")))),""Other"")"),"Transfer")</f>
        <v>Transfer</v>
      </c>
      <c r="E63" s="20">
        <v>510.0</v>
      </c>
      <c r="F63" s="20">
        <v>0.0</v>
      </c>
      <c r="G63" s="12" t="str">
        <f t="shared" si="3"/>
        <v>Withdrawal</v>
      </c>
      <c r="H63" s="12" t="str">
        <f>TEXT(Raw_Data!A69,"hh:mm:ss")
</f>
        <v>10:27:53</v>
      </c>
      <c r="I63" s="20">
        <f t="shared" si="4"/>
        <v>510</v>
      </c>
    </row>
    <row r="64">
      <c r="A64" s="12" t="str">
        <f>Raw_Data!A70</f>
        <v>07 Jan 2025 10:29:50</v>
      </c>
      <c r="B64" s="12" t="str">
        <f t="shared" si="1"/>
        <v>January</v>
      </c>
      <c r="C64" s="12">
        <f t="shared" si="2"/>
        <v>1</v>
      </c>
      <c r="D64" s="12" t="str">
        <f>IFERROR(__xludf.DUMMYFUNCTION("IFERROR(IF(REGEXMATCH(LOWER(Raw_Data!C70),""fixed deposit|owealth|savings|target""),""Fixed Deposit"",IF(REGEXMATCH(LOWER(Raw_Data!C70),""airtime""),""Airtime"",IF(REGEXMATCH(LOWER(Raw_Data!C70),""electronic money transfer levy""),""Electronic Money Trans"&amp;"fer Levy"",IF(REGEXMATCH(LOWER(Raw_Data!C70),""transfer|trf|send""),""Transfer"",""Other"")))),""Other"")"),"Transfer")</f>
        <v>Transfer</v>
      </c>
      <c r="E64" s="20">
        <v>1500.0</v>
      </c>
      <c r="F64" s="20">
        <v>0.0</v>
      </c>
      <c r="G64" s="12" t="str">
        <f t="shared" si="3"/>
        <v>Withdrawal</v>
      </c>
      <c r="H64" s="12" t="str">
        <f>TEXT(Raw_Data!A70,"hh:mm:ss")
</f>
        <v>10:29:50</v>
      </c>
      <c r="I64" s="20">
        <f t="shared" si="4"/>
        <v>1500</v>
      </c>
    </row>
    <row r="65">
      <c r="A65" s="12" t="str">
        <f>Raw_Data!A71</f>
        <v>07 Jan 2025 12:51:33</v>
      </c>
      <c r="B65" s="12" t="str">
        <f t="shared" si="1"/>
        <v>January</v>
      </c>
      <c r="C65" s="12">
        <f t="shared" si="2"/>
        <v>1</v>
      </c>
      <c r="D65" s="12" t="str">
        <f>IFERROR(__xludf.DUMMYFUNCTION("IFERROR(IF(REGEXMATCH(LOWER(Raw_Data!C71),""fixed deposit|owealth|savings|target""),""Fixed Deposit"",IF(REGEXMATCH(LOWER(Raw_Data!C71),""airtime""),""Airtime"",IF(REGEXMATCH(LOWER(Raw_Data!C71),""electronic money transfer levy""),""Electronic Money Trans"&amp;"fer Levy"",IF(REGEXMATCH(LOWER(Raw_Data!C71),""transfer|trf|send""),""Transfer"",""Other"")))),""Other"")"),"Transfer")</f>
        <v>Transfer</v>
      </c>
      <c r="E65" s="20">
        <v>4810.0</v>
      </c>
      <c r="F65" s="20">
        <v>0.0</v>
      </c>
      <c r="G65" s="12" t="str">
        <f t="shared" si="3"/>
        <v>Withdrawal</v>
      </c>
      <c r="H65" s="12" t="str">
        <f>TEXT(Raw_Data!A71,"hh:mm:ss")
</f>
        <v>12:51:33</v>
      </c>
      <c r="I65" s="20">
        <f t="shared" si="4"/>
        <v>4810</v>
      </c>
    </row>
    <row r="66">
      <c r="A66" s="12" t="str">
        <f>Raw_Data!A72</f>
        <v>07 Jan 2025 14:25:06</v>
      </c>
      <c r="B66" s="12" t="str">
        <f t="shared" si="1"/>
        <v>January</v>
      </c>
      <c r="C66" s="12">
        <f t="shared" si="2"/>
        <v>1</v>
      </c>
      <c r="D66" s="12" t="str">
        <f>IFERROR(__xludf.DUMMYFUNCTION("IFERROR(IF(REGEXMATCH(LOWER(Raw_Data!C72),""fixed deposit|owealth|savings|target""),""Fixed Deposit"",IF(REGEXMATCH(LOWER(Raw_Data!C72),""airtime""),""Airtime"",IF(REGEXMATCH(LOWER(Raw_Data!C72),""electronic money transfer levy""),""Electronic Money Trans"&amp;"fer Levy"",IF(REGEXMATCH(LOWER(Raw_Data!C72),""transfer|trf|send""),""Transfer"",""Other"")))),""Other"")"),"Transfer")</f>
        <v>Transfer</v>
      </c>
      <c r="E66" s="20">
        <v>47000.0</v>
      </c>
      <c r="F66" s="20">
        <v>0.0</v>
      </c>
      <c r="G66" s="12" t="str">
        <f t="shared" si="3"/>
        <v>Withdrawal</v>
      </c>
      <c r="H66" s="12" t="str">
        <f>TEXT(Raw_Data!A72,"hh:mm:ss")
</f>
        <v>14:25:06</v>
      </c>
      <c r="I66" s="20">
        <f t="shared" si="4"/>
        <v>47000</v>
      </c>
    </row>
    <row r="67">
      <c r="A67" s="12" t="str">
        <f>Raw_Data!A73</f>
        <v>07 Jan 2025 14:54:44</v>
      </c>
      <c r="B67" s="12" t="str">
        <f t="shared" si="1"/>
        <v>January</v>
      </c>
      <c r="C67" s="12">
        <f t="shared" si="2"/>
        <v>1</v>
      </c>
      <c r="D67" s="12" t="str">
        <f>IFERROR(__xludf.DUMMYFUNCTION("IFERROR(IF(REGEXMATCH(LOWER(Raw_Data!C73),""fixed deposit|owealth|savings|target""),""Fixed Deposit"",IF(REGEXMATCH(LOWER(Raw_Data!C73),""airtime""),""Airtime"",IF(REGEXMATCH(LOWER(Raw_Data!C73),""electronic money transfer levy""),""Electronic Money Trans"&amp;"fer Levy"",IF(REGEXMATCH(LOWER(Raw_Data!C73),""transfer|trf|send""),""Transfer"",""Other"")))),""Other"")"),"Transfer")</f>
        <v>Transfer</v>
      </c>
      <c r="E67" s="20">
        <v>13000.0</v>
      </c>
      <c r="F67" s="20">
        <v>0.0</v>
      </c>
      <c r="G67" s="12" t="str">
        <f t="shared" si="3"/>
        <v>Withdrawal</v>
      </c>
      <c r="H67" s="12" t="str">
        <f>TEXT(Raw_Data!A73,"hh:mm:ss")
</f>
        <v>14:54:44</v>
      </c>
      <c r="I67" s="20">
        <f t="shared" si="4"/>
        <v>13000</v>
      </c>
    </row>
    <row r="68">
      <c r="A68" s="12" t="str">
        <f>Raw_Data!A74</f>
        <v>07 Jan 2025 15:39:32</v>
      </c>
      <c r="B68" s="12" t="str">
        <f t="shared" si="1"/>
        <v>January</v>
      </c>
      <c r="C68" s="12">
        <f t="shared" si="2"/>
        <v>1</v>
      </c>
      <c r="D68" s="12" t="str">
        <f>IFERROR(__xludf.DUMMYFUNCTION("IFERROR(IF(REGEXMATCH(LOWER(Raw_Data!C74),""fixed deposit|owealth|savings|target""),""Fixed Deposit"",IF(REGEXMATCH(LOWER(Raw_Data!C74),""airtime""),""Airtime"",IF(REGEXMATCH(LOWER(Raw_Data!C74),""electronic money transfer levy""),""Electronic Money Trans"&amp;"fer Levy"",IF(REGEXMATCH(LOWER(Raw_Data!C74),""transfer|trf|send""),""Transfer"",""Other"")))),""Other"")"),"Transfer")</f>
        <v>Transfer</v>
      </c>
      <c r="E68" s="20">
        <v>2000.0</v>
      </c>
      <c r="F68" s="20">
        <v>0.0</v>
      </c>
      <c r="G68" s="12" t="str">
        <f t="shared" si="3"/>
        <v>Withdrawal</v>
      </c>
      <c r="H68" s="12" t="str">
        <f>TEXT(Raw_Data!A74,"hh:mm:ss")
</f>
        <v>15:39:32</v>
      </c>
      <c r="I68" s="20">
        <f t="shared" si="4"/>
        <v>2000</v>
      </c>
    </row>
    <row r="69">
      <c r="A69" s="12" t="str">
        <f>Raw_Data!A75</f>
        <v>07 Jan 2025 15:41:20</v>
      </c>
      <c r="B69" s="12" t="str">
        <f t="shared" si="1"/>
        <v>January</v>
      </c>
      <c r="C69" s="12">
        <f t="shared" si="2"/>
        <v>1</v>
      </c>
      <c r="D69" s="12" t="str">
        <f>IFERROR(__xludf.DUMMYFUNCTION("IFERROR(IF(REGEXMATCH(LOWER(Raw_Data!C75),""fixed deposit|owealth|savings|target""),""Fixed Deposit"",IF(REGEXMATCH(LOWER(Raw_Data!C75),""airtime""),""Airtime"",IF(REGEXMATCH(LOWER(Raw_Data!C75),""electronic money transfer levy""),""Electronic Money Trans"&amp;"fer Levy"",IF(REGEXMATCH(LOWER(Raw_Data!C75),""transfer|trf|send""),""Transfer"",""Other"")))),""Other"")"),"Transfer")</f>
        <v>Transfer</v>
      </c>
      <c r="E69" s="20">
        <v>2000.0</v>
      </c>
      <c r="F69" s="20">
        <v>0.0</v>
      </c>
      <c r="G69" s="12" t="str">
        <f t="shared" si="3"/>
        <v>Withdrawal</v>
      </c>
      <c r="H69" s="12" t="str">
        <f>TEXT(Raw_Data!A75,"hh:mm:ss")
</f>
        <v>15:41:20</v>
      </c>
      <c r="I69" s="20">
        <f t="shared" si="4"/>
        <v>2000</v>
      </c>
    </row>
    <row r="70">
      <c r="A70" s="12" t="str">
        <f>Raw_Data!A76</f>
        <v>07 Jan 2025 17:22:34</v>
      </c>
      <c r="B70" s="12" t="str">
        <f t="shared" si="1"/>
        <v>January</v>
      </c>
      <c r="C70" s="12">
        <f t="shared" si="2"/>
        <v>1</v>
      </c>
      <c r="D70" s="12" t="str">
        <f>IFERROR(__xludf.DUMMYFUNCTION("IFERROR(IF(REGEXMATCH(LOWER(Raw_Data!C76),""fixed deposit|owealth|savings|target""),""Fixed Deposit"",IF(REGEXMATCH(LOWER(Raw_Data!C76),""airtime""),""Airtime"",IF(REGEXMATCH(LOWER(Raw_Data!C76),""electronic money transfer levy""),""Electronic Money Trans"&amp;"fer Levy"",IF(REGEXMATCH(LOWER(Raw_Data!C76),""transfer|trf|send""),""Transfer"",""Other"")))),""Other"")"),"Transfer")</f>
        <v>Transfer</v>
      </c>
      <c r="E70" s="20">
        <v>3500.0</v>
      </c>
      <c r="F70" s="20">
        <v>0.0</v>
      </c>
      <c r="G70" s="12" t="str">
        <f t="shared" si="3"/>
        <v>Withdrawal</v>
      </c>
      <c r="H70" s="12" t="str">
        <f>TEXT(Raw_Data!A76,"hh:mm:ss")
</f>
        <v>17:22:34</v>
      </c>
      <c r="I70" s="20">
        <f t="shared" si="4"/>
        <v>3500</v>
      </c>
    </row>
    <row r="71">
      <c r="A71" s="12" t="str">
        <f>Raw_Data!A77</f>
        <v>07 Jan 2025 17:29:30</v>
      </c>
      <c r="B71" s="12" t="str">
        <f t="shared" si="1"/>
        <v>January</v>
      </c>
      <c r="C71" s="12">
        <f t="shared" si="2"/>
        <v>1</v>
      </c>
      <c r="D71" s="12" t="str">
        <f>IFERROR(__xludf.DUMMYFUNCTION("IFERROR(IF(REGEXMATCH(LOWER(Raw_Data!C77),""fixed deposit|owealth|savings|target""),""Fixed Deposit"",IF(REGEXMATCH(LOWER(Raw_Data!C77),""airtime""),""Airtime"",IF(REGEXMATCH(LOWER(Raw_Data!C77),""electronic money transfer levy""),""Electronic Money Trans"&amp;"fer Levy"",IF(REGEXMATCH(LOWER(Raw_Data!C77),""transfer|trf|send""),""Transfer"",""Other"")))),""Other"")"),"Transfer")</f>
        <v>Transfer</v>
      </c>
      <c r="E71" s="20">
        <v>3000.0</v>
      </c>
      <c r="F71" s="20">
        <v>0.0</v>
      </c>
      <c r="G71" s="12" t="str">
        <f t="shared" si="3"/>
        <v>Withdrawal</v>
      </c>
      <c r="H71" s="12" t="str">
        <f>TEXT(Raw_Data!A77,"hh:mm:ss")
</f>
        <v>17:29:30</v>
      </c>
      <c r="I71" s="20">
        <f t="shared" si="4"/>
        <v>3000</v>
      </c>
    </row>
    <row r="72">
      <c r="A72" s="12" t="str">
        <f>Raw_Data!A78</f>
        <v>07 Jan 2025 18:46:09</v>
      </c>
      <c r="B72" s="12" t="str">
        <f t="shared" si="1"/>
        <v>January</v>
      </c>
      <c r="C72" s="12">
        <f t="shared" si="2"/>
        <v>1</v>
      </c>
      <c r="D72" s="12" t="str">
        <f>IFERROR(__xludf.DUMMYFUNCTION("IFERROR(IF(REGEXMATCH(LOWER(Raw_Data!C78),""fixed deposit|owealth|savings|target""),""Fixed Deposit"",IF(REGEXMATCH(LOWER(Raw_Data!C78),""airtime""),""Airtime"",IF(REGEXMATCH(LOWER(Raw_Data!C78),""electronic money transfer levy""),""Electronic Money Trans"&amp;"fer Levy"",IF(REGEXMATCH(LOWER(Raw_Data!C78),""transfer|trf|send""),""Transfer"",""Other"")))),""Other"")"),"Transfer")</f>
        <v>Transfer</v>
      </c>
      <c r="E72" s="20">
        <v>1050.0</v>
      </c>
      <c r="F72" s="20">
        <v>0.0</v>
      </c>
      <c r="G72" s="12" t="str">
        <f t="shared" si="3"/>
        <v>Withdrawal</v>
      </c>
      <c r="H72" s="12" t="str">
        <f>TEXT(Raw_Data!A78,"hh:mm:ss")
</f>
        <v>18:46:09</v>
      </c>
      <c r="I72" s="20">
        <f t="shared" si="4"/>
        <v>1050</v>
      </c>
    </row>
    <row r="73">
      <c r="A73" s="12" t="str">
        <f>Raw_Data!A79</f>
        <v>07 Jan 2025 19:11:04</v>
      </c>
      <c r="B73" s="12" t="str">
        <f t="shared" si="1"/>
        <v>January</v>
      </c>
      <c r="C73" s="12">
        <f t="shared" si="2"/>
        <v>1</v>
      </c>
      <c r="D73" s="12" t="str">
        <f>IFERROR(__xludf.DUMMYFUNCTION("IFERROR(IF(REGEXMATCH(LOWER(Raw_Data!C79),""fixed deposit|owealth|savings|target""),""Fixed Deposit"",IF(REGEXMATCH(LOWER(Raw_Data!C79),""airtime""),""Airtime"",IF(REGEXMATCH(LOWER(Raw_Data!C79),""electronic money transfer levy""),""Electronic Money Trans"&amp;"fer Levy"",IF(REGEXMATCH(LOWER(Raw_Data!C79),""transfer|trf|send""),""Transfer"",""Other"")))),""Other"")"),"Transfer")</f>
        <v>Transfer</v>
      </c>
      <c r="E73" s="20">
        <v>5010.0</v>
      </c>
      <c r="F73" s="20">
        <v>0.0</v>
      </c>
      <c r="G73" s="12" t="str">
        <f t="shared" si="3"/>
        <v>Withdrawal</v>
      </c>
      <c r="H73" s="12" t="str">
        <f>TEXT(Raw_Data!A79,"hh:mm:ss")
</f>
        <v>19:11:04</v>
      </c>
      <c r="I73" s="20">
        <f t="shared" si="4"/>
        <v>5010</v>
      </c>
    </row>
    <row r="74">
      <c r="A74" s="12" t="str">
        <f>Raw_Data!A80</f>
        <v>07 Jan 2025 20:38:51</v>
      </c>
      <c r="B74" s="12" t="str">
        <f t="shared" si="1"/>
        <v>January</v>
      </c>
      <c r="C74" s="12">
        <f t="shared" si="2"/>
        <v>1</v>
      </c>
      <c r="D74" s="12" t="str">
        <f>IFERROR(__xludf.DUMMYFUNCTION("IFERROR(IF(REGEXMATCH(LOWER(Raw_Data!C80),""fixed deposit|owealth|savings|target""),""Fixed Deposit"",IF(REGEXMATCH(LOWER(Raw_Data!C80),""airtime""),""Airtime"",IF(REGEXMATCH(LOWER(Raw_Data!C80),""electronic money transfer levy""),""Electronic Money Trans"&amp;"fer Levy"",IF(REGEXMATCH(LOWER(Raw_Data!C80),""transfer|trf|send""),""Transfer"",""Other"")))),""Other"")"),"Transfer")</f>
        <v>Transfer</v>
      </c>
      <c r="E74" s="20">
        <v>0.0</v>
      </c>
      <c r="F74" s="20">
        <v>900.0</v>
      </c>
      <c r="G74" s="12" t="str">
        <f t="shared" si="3"/>
        <v>Deposit</v>
      </c>
      <c r="H74" s="12" t="str">
        <f>TEXT(Raw_Data!A80,"hh:mm:ss")
</f>
        <v>20:38:51</v>
      </c>
      <c r="I74" s="20">
        <f t="shared" si="4"/>
        <v>900</v>
      </c>
    </row>
    <row r="75">
      <c r="A75" s="12" t="str">
        <f>Raw_Data!A81</f>
        <v>07 Jan 2025 20:40:50</v>
      </c>
      <c r="B75" s="12" t="str">
        <f t="shared" si="1"/>
        <v>January</v>
      </c>
      <c r="C75" s="12">
        <f t="shared" si="2"/>
        <v>1</v>
      </c>
      <c r="D75" s="12" t="str">
        <f>IFERROR(__xludf.DUMMYFUNCTION("IFERROR(IF(REGEXMATCH(LOWER(Raw_Data!C81),""fixed deposit|owealth|savings|target""),""Fixed Deposit"",IF(REGEXMATCH(LOWER(Raw_Data!C81),""airtime""),""Airtime"",IF(REGEXMATCH(LOWER(Raw_Data!C81),""electronic money transfer levy""),""Electronic Money Trans"&amp;"fer Levy"",IF(REGEXMATCH(LOWER(Raw_Data!C81),""transfer|trf|send""),""Transfer"",""Other"")))),""Other"")"),"Transfer")</f>
        <v>Transfer</v>
      </c>
      <c r="E75" s="20">
        <v>1510.0</v>
      </c>
      <c r="F75" s="20">
        <v>0.0</v>
      </c>
      <c r="G75" s="12" t="str">
        <f t="shared" si="3"/>
        <v>Withdrawal</v>
      </c>
      <c r="H75" s="12" t="str">
        <f>TEXT(Raw_Data!A81,"hh:mm:ss")
</f>
        <v>20:40:50</v>
      </c>
      <c r="I75" s="20">
        <f t="shared" si="4"/>
        <v>1510</v>
      </c>
    </row>
    <row r="76">
      <c r="A76" s="12" t="str">
        <f>Raw_Data!A82</f>
        <v>08 Jan 2025 07:11:30</v>
      </c>
      <c r="B76" s="12" t="str">
        <f t="shared" si="1"/>
        <v>January</v>
      </c>
      <c r="C76" s="12">
        <f t="shared" si="2"/>
        <v>1</v>
      </c>
      <c r="D76" s="12" t="str">
        <f>IFERROR(__xludf.DUMMYFUNCTION("IFERROR(IF(REGEXMATCH(LOWER(Raw_Data!C82),""fixed deposit|owealth|savings|target""),""Fixed Deposit"",IF(REGEXMATCH(LOWER(Raw_Data!C82),""airtime""),""Airtime"",IF(REGEXMATCH(LOWER(Raw_Data!C82),""electronic money transfer levy""),""Electronic Money Trans"&amp;"fer Levy"",IF(REGEXMATCH(LOWER(Raw_Data!C82),""transfer|trf|send""),""Transfer"",""Other"")))),""Other"")"),"Transfer")</f>
        <v>Transfer</v>
      </c>
      <c r="E76" s="20">
        <v>200.0</v>
      </c>
      <c r="F76" s="20">
        <v>0.0</v>
      </c>
      <c r="G76" s="12" t="str">
        <f t="shared" si="3"/>
        <v>Withdrawal</v>
      </c>
      <c r="H76" s="12" t="str">
        <f>TEXT(Raw_Data!A82,"hh:mm:ss")
</f>
        <v>07:11:30</v>
      </c>
      <c r="I76" s="20">
        <f t="shared" si="4"/>
        <v>200</v>
      </c>
    </row>
    <row r="77">
      <c r="A77" s="12" t="str">
        <f>Raw_Data!A83</f>
        <v>08 Jan 2025 07:30:35</v>
      </c>
      <c r="B77" s="12" t="str">
        <f t="shared" si="1"/>
        <v>January</v>
      </c>
      <c r="C77" s="12">
        <f t="shared" si="2"/>
        <v>1</v>
      </c>
      <c r="D77" s="12" t="str">
        <f>IFERROR(__xludf.DUMMYFUNCTION("IFERROR(IF(REGEXMATCH(LOWER(Raw_Data!C83),""fixed deposit|owealth|savings|target""),""Fixed Deposit"",IF(REGEXMATCH(LOWER(Raw_Data!C83),""airtime""),""Airtime"",IF(REGEXMATCH(LOWER(Raw_Data!C83),""electronic money transfer levy""),""Electronic Money Trans"&amp;"fer Levy"",IF(REGEXMATCH(LOWER(Raw_Data!C83),""transfer|trf|send""),""Transfer"",""Other"")))),""Other"")"),"Airtime")</f>
        <v>Airtime</v>
      </c>
      <c r="E77" s="20">
        <v>500.0</v>
      </c>
      <c r="F77" s="20">
        <v>0.0</v>
      </c>
      <c r="G77" s="12" t="str">
        <f t="shared" si="3"/>
        <v>Withdrawal</v>
      </c>
      <c r="H77" s="12" t="str">
        <f>TEXT(Raw_Data!A83,"hh:mm:ss")
</f>
        <v>07:30:35</v>
      </c>
      <c r="I77" s="20">
        <f t="shared" si="4"/>
        <v>500</v>
      </c>
    </row>
    <row r="78">
      <c r="A78" s="12" t="str">
        <f>Raw_Data!A84</f>
        <v>08 Jan 2025 07:51:42</v>
      </c>
      <c r="B78" s="12" t="str">
        <f t="shared" si="1"/>
        <v>January</v>
      </c>
      <c r="C78" s="12">
        <f t="shared" si="2"/>
        <v>1</v>
      </c>
      <c r="D78" s="12" t="str">
        <f>IFERROR(__xludf.DUMMYFUNCTION("IFERROR(IF(REGEXMATCH(LOWER(Raw_Data!C84),""fixed deposit|owealth|savings|target""),""Fixed Deposit"",IF(REGEXMATCH(LOWER(Raw_Data!C84),""airtime""),""Airtime"",IF(REGEXMATCH(LOWER(Raw_Data!C84),""electronic money transfer levy""),""Electronic Money Trans"&amp;"fer Levy"",IF(REGEXMATCH(LOWER(Raw_Data!C84),""transfer|trf|send""),""Transfer"",""Other"")))),""Other"")"),"Transfer")</f>
        <v>Transfer</v>
      </c>
      <c r="E78" s="20">
        <v>0.0</v>
      </c>
      <c r="F78" s="20">
        <v>33600.0</v>
      </c>
      <c r="G78" s="12" t="str">
        <f t="shared" si="3"/>
        <v>Deposit</v>
      </c>
      <c r="H78" s="12" t="str">
        <f>TEXT(Raw_Data!A84,"hh:mm:ss")
</f>
        <v>07:51:42</v>
      </c>
      <c r="I78" s="20">
        <f t="shared" si="4"/>
        <v>33600</v>
      </c>
    </row>
    <row r="79">
      <c r="A79" s="12" t="str">
        <f>Raw_Data!A85</f>
        <v>08 Jan 2025 07:51:54</v>
      </c>
      <c r="B79" s="12" t="str">
        <f t="shared" si="1"/>
        <v>January</v>
      </c>
      <c r="C79" s="12">
        <f t="shared" si="2"/>
        <v>1</v>
      </c>
      <c r="D79" s="12" t="str">
        <f>IFERROR(__xludf.DUMMYFUNCTION("IFERROR(IF(REGEXMATCH(LOWER(Raw_Data!C85),""fixed deposit|owealth|savings|target""),""Fixed Deposit"",IF(REGEXMATCH(LOWER(Raw_Data!C85),""airtime""),""Airtime"",IF(REGEXMATCH(LOWER(Raw_Data!C85),""electronic money transfer levy""),""Electronic Money Trans"&amp;"fer Levy"",IF(REGEXMATCH(LOWER(Raw_Data!C85),""transfer|trf|send""),""Transfer"",""Other"")))),""Other"")"),"Electronic Money Transfer Levy")</f>
        <v>Electronic Money Transfer Levy</v>
      </c>
      <c r="E79" s="20">
        <v>50.0</v>
      </c>
      <c r="F79" s="20">
        <v>0.0</v>
      </c>
      <c r="G79" s="12" t="str">
        <f t="shared" si="3"/>
        <v>Withdrawal</v>
      </c>
      <c r="H79" s="12" t="str">
        <f>TEXT(Raw_Data!A85,"hh:mm:ss")
</f>
        <v>07:51:54</v>
      </c>
      <c r="I79" s="20">
        <f t="shared" si="4"/>
        <v>50</v>
      </c>
    </row>
    <row r="80">
      <c r="A80" s="12" t="str">
        <f>Raw_Data!A86</f>
        <v>08 Jan 2025 08:06:13</v>
      </c>
      <c r="B80" s="12" t="str">
        <f t="shared" si="1"/>
        <v>January</v>
      </c>
      <c r="C80" s="12">
        <f t="shared" si="2"/>
        <v>1</v>
      </c>
      <c r="D80" s="12" t="str">
        <f>IFERROR(__xludf.DUMMYFUNCTION("IFERROR(IF(REGEXMATCH(LOWER(Raw_Data!C86),""fixed deposit|owealth|savings|target""),""Fixed Deposit"",IF(REGEXMATCH(LOWER(Raw_Data!C86),""airtime""),""Airtime"",IF(REGEXMATCH(LOWER(Raw_Data!C86),""electronic money transfer levy""),""Electronic Money Trans"&amp;"fer Levy"",IF(REGEXMATCH(LOWER(Raw_Data!C86),""transfer|trf|send""),""Transfer"",""Other"")))),""Other"")"),"Transfer")</f>
        <v>Transfer</v>
      </c>
      <c r="E80" s="20">
        <v>33600.0</v>
      </c>
      <c r="F80" s="20">
        <v>0.0</v>
      </c>
      <c r="G80" s="12" t="str">
        <f t="shared" si="3"/>
        <v>Withdrawal</v>
      </c>
      <c r="H80" s="12" t="str">
        <f>TEXT(Raw_Data!A86,"hh:mm:ss")
</f>
        <v>08:06:13</v>
      </c>
      <c r="I80" s="20">
        <f t="shared" si="4"/>
        <v>33600</v>
      </c>
    </row>
    <row r="81">
      <c r="A81" s="12" t="str">
        <f>Raw_Data!A87</f>
        <v>08 Jan 2025 09:21:23</v>
      </c>
      <c r="B81" s="12" t="str">
        <f t="shared" si="1"/>
        <v>January</v>
      </c>
      <c r="C81" s="12">
        <f t="shared" si="2"/>
        <v>1</v>
      </c>
      <c r="D81" s="12" t="str">
        <f>IFERROR(__xludf.DUMMYFUNCTION("IFERROR(IF(REGEXMATCH(LOWER(Raw_Data!C87),""fixed deposit|owealth|savings|target""),""Fixed Deposit"",IF(REGEXMATCH(LOWER(Raw_Data!C87),""airtime""),""Airtime"",IF(REGEXMATCH(LOWER(Raw_Data!C87),""electronic money transfer levy""),""Electronic Money Trans"&amp;"fer Levy"",IF(REGEXMATCH(LOWER(Raw_Data!C87),""transfer|trf|send""),""Transfer"",""Other"")))),""Other"")"),"Transfer")</f>
        <v>Transfer</v>
      </c>
      <c r="E81" s="20">
        <v>40000.0</v>
      </c>
      <c r="F81" s="20">
        <v>0.0</v>
      </c>
      <c r="G81" s="12" t="str">
        <f t="shared" si="3"/>
        <v>Withdrawal</v>
      </c>
      <c r="H81" s="12" t="str">
        <f>TEXT(Raw_Data!A87,"hh:mm:ss")
</f>
        <v>09:21:23</v>
      </c>
      <c r="I81" s="20">
        <f t="shared" si="4"/>
        <v>40000</v>
      </c>
    </row>
    <row r="82">
      <c r="A82" s="12" t="str">
        <f>Raw_Data!A88</f>
        <v>08 Jan 2025 10:24:40</v>
      </c>
      <c r="B82" s="12" t="str">
        <f t="shared" si="1"/>
        <v>January</v>
      </c>
      <c r="C82" s="12">
        <f t="shared" si="2"/>
        <v>1</v>
      </c>
      <c r="D82" s="12" t="str">
        <f>IFERROR(__xludf.DUMMYFUNCTION("IFERROR(IF(REGEXMATCH(LOWER(Raw_Data!C88),""fixed deposit|owealth|savings|target""),""Fixed Deposit"",IF(REGEXMATCH(LOWER(Raw_Data!C88),""airtime""),""Airtime"",IF(REGEXMATCH(LOWER(Raw_Data!C88),""electronic money transfer levy""),""Electronic Money Trans"&amp;"fer Levy"",IF(REGEXMATCH(LOWER(Raw_Data!C88),""transfer|trf|send""),""Transfer"",""Other"")))),""Other"")"),"Transfer")</f>
        <v>Transfer</v>
      </c>
      <c r="E82" s="20">
        <v>3000.0</v>
      </c>
      <c r="F82" s="20">
        <v>0.0</v>
      </c>
      <c r="G82" s="12" t="str">
        <f t="shared" si="3"/>
        <v>Withdrawal</v>
      </c>
      <c r="H82" s="12" t="str">
        <f>TEXT(Raw_Data!A88,"hh:mm:ss")
</f>
        <v>10:24:40</v>
      </c>
      <c r="I82" s="20">
        <f t="shared" si="4"/>
        <v>3000</v>
      </c>
    </row>
    <row r="83">
      <c r="A83" s="12" t="str">
        <f>Raw_Data!A89</f>
        <v>08 Jan 2025 12:29:10</v>
      </c>
      <c r="B83" s="12" t="str">
        <f t="shared" si="1"/>
        <v>January</v>
      </c>
      <c r="C83" s="12">
        <f t="shared" si="2"/>
        <v>1</v>
      </c>
      <c r="D83" s="12" t="str">
        <f>IFERROR(__xludf.DUMMYFUNCTION("IFERROR(IF(REGEXMATCH(LOWER(Raw_Data!C89),""fixed deposit|owealth|savings|target""),""Fixed Deposit"",IF(REGEXMATCH(LOWER(Raw_Data!C89),""airtime""),""Airtime"",IF(REGEXMATCH(LOWER(Raw_Data!C89),""electronic money transfer levy""),""Electronic Money Trans"&amp;"fer Levy"",IF(REGEXMATCH(LOWER(Raw_Data!C89),""transfer|trf|send""),""Transfer"",""Other"")))),""Other"")"),"Transfer")</f>
        <v>Transfer</v>
      </c>
      <c r="E83" s="20">
        <v>2000.0</v>
      </c>
      <c r="F83" s="20">
        <v>0.0</v>
      </c>
      <c r="G83" s="12" t="str">
        <f t="shared" si="3"/>
        <v>Withdrawal</v>
      </c>
      <c r="H83" s="12" t="str">
        <f>TEXT(Raw_Data!A89,"hh:mm:ss")
</f>
        <v>12:29:10</v>
      </c>
      <c r="I83" s="20">
        <f t="shared" si="4"/>
        <v>2000</v>
      </c>
    </row>
    <row r="84">
      <c r="A84" s="12" t="str">
        <f>Raw_Data!A90</f>
        <v>08 Jan 2025 12:56:11</v>
      </c>
      <c r="B84" s="12" t="str">
        <f t="shared" si="1"/>
        <v>January</v>
      </c>
      <c r="C84" s="12">
        <f t="shared" si="2"/>
        <v>1</v>
      </c>
      <c r="D84" s="12" t="str">
        <f>IFERROR(__xludf.DUMMYFUNCTION("IFERROR(IF(REGEXMATCH(LOWER(Raw_Data!C90),""fixed deposit|owealth|savings|target""),""Fixed Deposit"",IF(REGEXMATCH(LOWER(Raw_Data!C90),""airtime""),""Airtime"",IF(REGEXMATCH(LOWER(Raw_Data!C90),""electronic money transfer levy""),""Electronic Money Trans"&amp;"fer Levy"",IF(REGEXMATCH(LOWER(Raw_Data!C90),""transfer|trf|send""),""Transfer"",""Other"")))),""Other"")"),"Transfer")</f>
        <v>Transfer</v>
      </c>
      <c r="E84" s="20">
        <v>1500.0</v>
      </c>
      <c r="F84" s="20">
        <v>0.0</v>
      </c>
      <c r="G84" s="12" t="str">
        <f t="shared" si="3"/>
        <v>Withdrawal</v>
      </c>
      <c r="H84" s="12" t="str">
        <f>TEXT(Raw_Data!A90,"hh:mm:ss")
</f>
        <v>12:56:11</v>
      </c>
      <c r="I84" s="20">
        <f t="shared" si="4"/>
        <v>1500</v>
      </c>
    </row>
    <row r="85">
      <c r="A85" s="12" t="str">
        <f>Raw_Data!A91</f>
        <v>08 Jan 2025 13:16:57</v>
      </c>
      <c r="B85" s="12" t="str">
        <f t="shared" si="1"/>
        <v>January</v>
      </c>
      <c r="C85" s="12">
        <f t="shared" si="2"/>
        <v>1</v>
      </c>
      <c r="D85" s="12" t="str">
        <f>IFERROR(__xludf.DUMMYFUNCTION("IFERROR(IF(REGEXMATCH(LOWER(Raw_Data!C91),""fixed deposit|owealth|savings|target""),""Fixed Deposit"",IF(REGEXMATCH(LOWER(Raw_Data!C91),""airtime""),""Airtime"",IF(REGEXMATCH(LOWER(Raw_Data!C91),""electronic money transfer levy""),""Electronic Money Trans"&amp;"fer Levy"",IF(REGEXMATCH(LOWER(Raw_Data!C91),""transfer|trf|send""),""Transfer"",""Other"")))),""Other"")"),"Transfer")</f>
        <v>Transfer</v>
      </c>
      <c r="E85" s="20">
        <v>17000.0</v>
      </c>
      <c r="F85" s="20">
        <v>0.0</v>
      </c>
      <c r="G85" s="12" t="str">
        <f t="shared" si="3"/>
        <v>Withdrawal</v>
      </c>
      <c r="H85" s="12" t="str">
        <f>TEXT(Raw_Data!A91,"hh:mm:ss")
</f>
        <v>13:16:57</v>
      </c>
      <c r="I85" s="20">
        <f t="shared" si="4"/>
        <v>17000</v>
      </c>
    </row>
    <row r="86">
      <c r="A86" s="12" t="str">
        <f>Raw_Data!A92</f>
        <v>08 Jan 2025 13:33:57</v>
      </c>
      <c r="B86" s="12" t="str">
        <f t="shared" si="1"/>
        <v>January</v>
      </c>
      <c r="C86" s="12">
        <f t="shared" si="2"/>
        <v>1</v>
      </c>
      <c r="D86" s="12" t="str">
        <f>IFERROR(__xludf.DUMMYFUNCTION("IFERROR(IF(REGEXMATCH(LOWER(Raw_Data!C92),""fixed deposit|owealth|savings|target""),""Fixed Deposit"",IF(REGEXMATCH(LOWER(Raw_Data!C92),""airtime""),""Airtime"",IF(REGEXMATCH(LOWER(Raw_Data!C92),""electronic money transfer levy""),""Electronic Money Trans"&amp;"fer Levy"",IF(REGEXMATCH(LOWER(Raw_Data!C92),""transfer|trf|send""),""Transfer"",""Other"")))),""Other"")"),"Transfer")</f>
        <v>Transfer</v>
      </c>
      <c r="E86" s="20">
        <v>2000.0</v>
      </c>
      <c r="F86" s="20">
        <v>0.0</v>
      </c>
      <c r="G86" s="12" t="str">
        <f t="shared" si="3"/>
        <v>Withdrawal</v>
      </c>
      <c r="H86" s="12" t="str">
        <f>TEXT(Raw_Data!A92,"hh:mm:ss")
</f>
        <v>13:33:57</v>
      </c>
      <c r="I86" s="20">
        <f t="shared" si="4"/>
        <v>2000</v>
      </c>
    </row>
    <row r="87">
      <c r="A87" s="12" t="str">
        <f>Raw_Data!A93</f>
        <v>08 Jan 2025 14:39:28</v>
      </c>
      <c r="B87" s="12" t="str">
        <f t="shared" si="1"/>
        <v>January</v>
      </c>
      <c r="C87" s="12">
        <f t="shared" si="2"/>
        <v>1</v>
      </c>
      <c r="D87" s="12" t="str">
        <f>IFERROR(__xludf.DUMMYFUNCTION("IFERROR(IF(REGEXMATCH(LOWER(Raw_Data!C93),""fixed deposit|owealth|savings|target""),""Fixed Deposit"",IF(REGEXMATCH(LOWER(Raw_Data!C93),""airtime""),""Airtime"",IF(REGEXMATCH(LOWER(Raw_Data!C93),""electronic money transfer levy""),""Electronic Money Trans"&amp;"fer Levy"",IF(REGEXMATCH(LOWER(Raw_Data!C93),""transfer|trf|send""),""Transfer"",""Other"")))),""Other"")"),"Transfer")</f>
        <v>Transfer</v>
      </c>
      <c r="E87" s="20">
        <v>6000.0</v>
      </c>
      <c r="F87" s="20">
        <v>0.0</v>
      </c>
      <c r="G87" s="12" t="str">
        <f t="shared" si="3"/>
        <v>Withdrawal</v>
      </c>
      <c r="H87" s="12" t="str">
        <f>TEXT(Raw_Data!A93,"hh:mm:ss")
</f>
        <v>14:39:28</v>
      </c>
      <c r="I87" s="20">
        <f t="shared" si="4"/>
        <v>6000</v>
      </c>
    </row>
    <row r="88">
      <c r="A88" s="12" t="str">
        <f>Raw_Data!A94</f>
        <v>08 Jan 2025 17:16:59</v>
      </c>
      <c r="B88" s="12" t="str">
        <f t="shared" si="1"/>
        <v>January</v>
      </c>
      <c r="C88" s="12">
        <f t="shared" si="2"/>
        <v>1</v>
      </c>
      <c r="D88" s="12" t="str">
        <f>IFERROR(__xludf.DUMMYFUNCTION("IFERROR(IF(REGEXMATCH(LOWER(Raw_Data!C94),""fixed deposit|owealth|savings|target""),""Fixed Deposit"",IF(REGEXMATCH(LOWER(Raw_Data!C94),""airtime""),""Airtime"",IF(REGEXMATCH(LOWER(Raw_Data!C94),""electronic money transfer levy""),""Electronic Money Trans"&amp;"fer Levy"",IF(REGEXMATCH(LOWER(Raw_Data!C94),""transfer|trf|send""),""Transfer"",""Other"")))),""Other"")"),"Transfer")</f>
        <v>Transfer</v>
      </c>
      <c r="E88" s="20">
        <v>5000.0</v>
      </c>
      <c r="F88" s="20">
        <v>0.0</v>
      </c>
      <c r="G88" s="12" t="str">
        <f t="shared" si="3"/>
        <v>Withdrawal</v>
      </c>
      <c r="H88" s="12" t="str">
        <f>TEXT(Raw_Data!A94,"hh:mm:ss")
</f>
        <v>17:16:59</v>
      </c>
      <c r="I88" s="20">
        <f t="shared" si="4"/>
        <v>5000</v>
      </c>
    </row>
    <row r="89">
      <c r="A89" s="12" t="str">
        <f>Raw_Data!A95</f>
        <v>08 Jan 2025 18:05:38</v>
      </c>
      <c r="B89" s="12" t="str">
        <f t="shared" si="1"/>
        <v>January</v>
      </c>
      <c r="C89" s="12">
        <f t="shared" si="2"/>
        <v>1</v>
      </c>
      <c r="D89" s="12" t="str">
        <f>IFERROR(__xludf.DUMMYFUNCTION("IFERROR(IF(REGEXMATCH(LOWER(Raw_Data!C95),""fixed deposit|owealth|savings|target""),""Fixed Deposit"",IF(REGEXMATCH(LOWER(Raw_Data!C95),""airtime""),""Airtime"",IF(REGEXMATCH(LOWER(Raw_Data!C95),""electronic money transfer levy""),""Electronic Money Trans"&amp;"fer Levy"",IF(REGEXMATCH(LOWER(Raw_Data!C95),""transfer|trf|send""),""Transfer"",""Other"")))),""Other"")"),"Transfer")</f>
        <v>Transfer</v>
      </c>
      <c r="E89" s="20">
        <v>0.0</v>
      </c>
      <c r="F89" s="20">
        <v>74160.0</v>
      </c>
      <c r="G89" s="12" t="str">
        <f t="shared" si="3"/>
        <v>Deposit</v>
      </c>
      <c r="H89" s="12" t="str">
        <f>TEXT(Raw_Data!A95,"hh:mm:ss")
</f>
        <v>18:05:38</v>
      </c>
      <c r="I89" s="20">
        <f t="shared" si="4"/>
        <v>74160</v>
      </c>
    </row>
    <row r="90">
      <c r="A90" s="12" t="str">
        <f>Raw_Data!A96</f>
        <v>08 Jan 2025 18:05:44</v>
      </c>
      <c r="B90" s="12" t="str">
        <f t="shared" si="1"/>
        <v>January</v>
      </c>
      <c r="C90" s="12">
        <f t="shared" si="2"/>
        <v>1</v>
      </c>
      <c r="D90" s="12" t="str">
        <f>IFERROR(__xludf.DUMMYFUNCTION("IFERROR(IF(REGEXMATCH(LOWER(Raw_Data!C96),""fixed deposit|owealth|savings|target""),""Fixed Deposit"",IF(REGEXMATCH(LOWER(Raw_Data!C96),""airtime""),""Airtime"",IF(REGEXMATCH(LOWER(Raw_Data!C96),""electronic money transfer levy""),""Electronic Money Trans"&amp;"fer Levy"",IF(REGEXMATCH(LOWER(Raw_Data!C96),""transfer|trf|send""),""Transfer"",""Other"")))),""Other"")"),"Electronic Money Transfer Levy")</f>
        <v>Electronic Money Transfer Levy</v>
      </c>
      <c r="E90" s="20">
        <v>50.0</v>
      </c>
      <c r="F90" s="20">
        <v>0.0</v>
      </c>
      <c r="G90" s="12" t="str">
        <f t="shared" si="3"/>
        <v>Withdrawal</v>
      </c>
      <c r="H90" s="12" t="str">
        <f>TEXT(Raw_Data!A96,"hh:mm:ss")
</f>
        <v>18:05:44</v>
      </c>
      <c r="I90" s="20">
        <f t="shared" si="4"/>
        <v>50</v>
      </c>
    </row>
    <row r="91">
      <c r="A91" s="12" t="str">
        <f>Raw_Data!A97</f>
        <v>08 Jan 2025 18:06:26</v>
      </c>
      <c r="B91" s="12" t="str">
        <f t="shared" si="1"/>
        <v>January</v>
      </c>
      <c r="C91" s="12">
        <f t="shared" si="2"/>
        <v>1</v>
      </c>
      <c r="D91" s="12" t="str">
        <f>IFERROR(__xludf.DUMMYFUNCTION("IFERROR(IF(REGEXMATCH(LOWER(Raw_Data!C97),""fixed deposit|owealth|savings|target""),""Fixed Deposit"",IF(REGEXMATCH(LOWER(Raw_Data!C97),""airtime""),""Airtime"",IF(REGEXMATCH(LOWER(Raw_Data!C97),""electronic money transfer levy""),""Electronic Money Trans"&amp;"fer Levy"",IF(REGEXMATCH(LOWER(Raw_Data!C97),""transfer|trf|send""),""Transfer"",""Other"")))),""Other"")"),"Transfer")</f>
        <v>Transfer</v>
      </c>
      <c r="E91" s="20">
        <v>10000.0</v>
      </c>
      <c r="F91" s="20">
        <v>0.0</v>
      </c>
      <c r="G91" s="12" t="str">
        <f t="shared" si="3"/>
        <v>Withdrawal</v>
      </c>
      <c r="H91" s="12" t="str">
        <f>TEXT(Raw_Data!A97,"hh:mm:ss")
</f>
        <v>18:06:26</v>
      </c>
      <c r="I91" s="20">
        <f t="shared" si="4"/>
        <v>10000</v>
      </c>
    </row>
    <row r="92">
      <c r="A92" s="12" t="str">
        <f>Raw_Data!A98</f>
        <v>08 Jan 2025 18:06:53</v>
      </c>
      <c r="B92" s="12" t="str">
        <f t="shared" si="1"/>
        <v>January</v>
      </c>
      <c r="C92" s="12">
        <f t="shared" si="2"/>
        <v>1</v>
      </c>
      <c r="D92" s="12" t="str">
        <f>IFERROR(__xludf.DUMMYFUNCTION("IFERROR(IF(REGEXMATCH(LOWER(Raw_Data!C98),""fixed deposit|owealth|savings|target""),""Fixed Deposit"",IF(REGEXMATCH(LOWER(Raw_Data!C98),""airtime""),""Airtime"",IF(REGEXMATCH(LOWER(Raw_Data!C98),""electronic money transfer levy""),""Electronic Money Trans"&amp;"fer Levy"",IF(REGEXMATCH(LOWER(Raw_Data!C98),""transfer|trf|send""),""Transfer"",""Other"")))),""Other"")"),"Transfer")</f>
        <v>Transfer</v>
      </c>
      <c r="E92" s="20">
        <v>64000.0</v>
      </c>
      <c r="F92" s="20">
        <v>0.0</v>
      </c>
      <c r="G92" s="12" t="str">
        <f t="shared" si="3"/>
        <v>Withdrawal</v>
      </c>
      <c r="H92" s="12" t="str">
        <f>TEXT(Raw_Data!A98,"hh:mm:ss")
</f>
        <v>18:06:53</v>
      </c>
      <c r="I92" s="20">
        <f t="shared" si="4"/>
        <v>64000</v>
      </c>
    </row>
    <row r="93">
      <c r="A93" s="12" t="str">
        <f>Raw_Data!A99</f>
        <v>08 Jan 2025 19:07:31</v>
      </c>
      <c r="B93" s="12" t="str">
        <f t="shared" si="1"/>
        <v>January</v>
      </c>
      <c r="C93" s="12">
        <f t="shared" si="2"/>
        <v>1</v>
      </c>
      <c r="D93" s="12" t="str">
        <f>IFERROR(__xludf.DUMMYFUNCTION("IFERROR(IF(REGEXMATCH(LOWER(Raw_Data!C99),""fixed deposit|owealth|savings|target""),""Fixed Deposit"",IF(REGEXMATCH(LOWER(Raw_Data!C99),""airtime""),""Airtime"",IF(REGEXMATCH(LOWER(Raw_Data!C99),""electronic money transfer levy""),""Electronic Money Trans"&amp;"fer Levy"",IF(REGEXMATCH(LOWER(Raw_Data!C99),""transfer|trf|send""),""Transfer"",""Other"")))),""Other"")"),"Transfer")</f>
        <v>Transfer</v>
      </c>
      <c r="E93" s="20">
        <v>3010.0</v>
      </c>
      <c r="F93" s="20">
        <v>0.0</v>
      </c>
      <c r="G93" s="12" t="str">
        <f t="shared" si="3"/>
        <v>Withdrawal</v>
      </c>
      <c r="H93" s="12" t="str">
        <f>TEXT(Raw_Data!A99,"hh:mm:ss")
</f>
        <v>19:07:31</v>
      </c>
      <c r="I93" s="20">
        <f t="shared" si="4"/>
        <v>3010</v>
      </c>
    </row>
    <row r="94">
      <c r="A94" s="12" t="str">
        <f>Raw_Data!A100</f>
        <v>08 Jan 2025 19:24:31</v>
      </c>
      <c r="B94" s="12" t="str">
        <f t="shared" si="1"/>
        <v>January</v>
      </c>
      <c r="C94" s="12">
        <f t="shared" si="2"/>
        <v>1</v>
      </c>
      <c r="D94" s="12" t="str">
        <f>IFERROR(__xludf.DUMMYFUNCTION("IFERROR(IF(REGEXMATCH(LOWER(Raw_Data!C100),""fixed deposit|owealth|savings|target""),""Fixed Deposit"",IF(REGEXMATCH(LOWER(Raw_Data!C100),""airtime""),""Airtime"",IF(REGEXMATCH(LOWER(Raw_Data!C100),""electronic money transfer levy""),""Electronic Money Tr"&amp;"ansfer Levy"",IF(REGEXMATCH(LOWER(Raw_Data!C100),""transfer|trf|send""),""Transfer"",""Other"")))),""Other"")"),"Transfer")</f>
        <v>Transfer</v>
      </c>
      <c r="E94" s="20">
        <v>5000.0</v>
      </c>
      <c r="F94" s="20">
        <v>0.0</v>
      </c>
      <c r="G94" s="12" t="str">
        <f t="shared" si="3"/>
        <v>Withdrawal</v>
      </c>
      <c r="H94" s="12" t="str">
        <f>TEXT(Raw_Data!A100,"hh:mm:ss")
</f>
        <v>19:24:31</v>
      </c>
      <c r="I94" s="20">
        <f t="shared" si="4"/>
        <v>5000</v>
      </c>
    </row>
    <row r="95">
      <c r="A95" s="12" t="str">
        <f>Raw_Data!A101</f>
        <v>08 Jan 2025 19:26:10</v>
      </c>
      <c r="B95" s="12" t="str">
        <f t="shared" si="1"/>
        <v>January</v>
      </c>
      <c r="C95" s="12">
        <f t="shared" si="2"/>
        <v>1</v>
      </c>
      <c r="D95" s="12" t="str">
        <f>IFERROR(__xludf.DUMMYFUNCTION("IFERROR(IF(REGEXMATCH(LOWER(Raw_Data!C101),""fixed deposit|owealth|savings|target""),""Fixed Deposit"",IF(REGEXMATCH(LOWER(Raw_Data!C101),""airtime""),""Airtime"",IF(REGEXMATCH(LOWER(Raw_Data!C101),""electronic money transfer levy""),""Electronic Money Tr"&amp;"ansfer Levy"",IF(REGEXMATCH(LOWER(Raw_Data!C101),""transfer|trf|send""),""Transfer"",""Other"")))),""Other"")"),"Transfer")</f>
        <v>Transfer</v>
      </c>
      <c r="E95" s="20">
        <v>1000.0</v>
      </c>
      <c r="F95" s="20">
        <v>0.0</v>
      </c>
      <c r="G95" s="12" t="str">
        <f t="shared" si="3"/>
        <v>Withdrawal</v>
      </c>
      <c r="H95" s="12" t="str">
        <f>TEXT(Raw_Data!A101,"hh:mm:ss")
</f>
        <v>19:26:10</v>
      </c>
      <c r="I95" s="20">
        <f t="shared" si="4"/>
        <v>1000</v>
      </c>
    </row>
    <row r="96">
      <c r="A96" s="12" t="str">
        <f>Raw_Data!A102</f>
        <v>09 Jan 2025 07:56:44</v>
      </c>
      <c r="B96" s="12" t="str">
        <f t="shared" si="1"/>
        <v>January</v>
      </c>
      <c r="C96" s="12">
        <f t="shared" si="2"/>
        <v>1</v>
      </c>
      <c r="D96" s="12" t="str">
        <f>IFERROR(__xludf.DUMMYFUNCTION("IFERROR(IF(REGEXMATCH(LOWER(Raw_Data!C102),""fixed deposit|owealth|savings|target""),""Fixed Deposit"",IF(REGEXMATCH(LOWER(Raw_Data!C102),""airtime""),""Airtime"",IF(REGEXMATCH(LOWER(Raw_Data!C102),""electronic money transfer levy""),""Electronic Money Tr"&amp;"ansfer Levy"",IF(REGEXMATCH(LOWER(Raw_Data!C102),""transfer|trf|send""),""Transfer"",""Other"")))),""Other"")"),"Transfer")</f>
        <v>Transfer</v>
      </c>
      <c r="E96" s="20">
        <v>2000.0</v>
      </c>
      <c r="F96" s="20">
        <v>0.0</v>
      </c>
      <c r="G96" s="12" t="str">
        <f t="shared" si="3"/>
        <v>Withdrawal</v>
      </c>
      <c r="H96" s="12" t="str">
        <f>TEXT(Raw_Data!A102,"hh:mm:ss")
</f>
        <v>07:56:44</v>
      </c>
      <c r="I96" s="20">
        <f t="shared" si="4"/>
        <v>2000</v>
      </c>
    </row>
    <row r="97">
      <c r="A97" s="12" t="str">
        <f>Raw_Data!A103</f>
        <v>09 Jan 2025 08:05:09</v>
      </c>
      <c r="B97" s="12" t="str">
        <f t="shared" si="1"/>
        <v>January</v>
      </c>
      <c r="C97" s="12">
        <f t="shared" si="2"/>
        <v>1</v>
      </c>
      <c r="D97" s="12" t="str">
        <f>IFERROR(__xludf.DUMMYFUNCTION("IFERROR(IF(REGEXMATCH(LOWER(Raw_Data!C103),""fixed deposit|owealth|savings|target""),""Fixed Deposit"",IF(REGEXMATCH(LOWER(Raw_Data!C103),""airtime""),""Airtime"",IF(REGEXMATCH(LOWER(Raw_Data!C103),""electronic money transfer levy""),""Electronic Money Tr"&amp;"ansfer Levy"",IF(REGEXMATCH(LOWER(Raw_Data!C103),""transfer|trf|send""),""Transfer"",""Other"")))),""Other"")"),"Transfer")</f>
        <v>Transfer</v>
      </c>
      <c r="E97" s="20">
        <v>1050.0</v>
      </c>
      <c r="F97" s="20">
        <v>0.0</v>
      </c>
      <c r="G97" s="12" t="str">
        <f t="shared" si="3"/>
        <v>Withdrawal</v>
      </c>
      <c r="H97" s="12" t="str">
        <f>TEXT(Raw_Data!A103,"hh:mm:ss")
</f>
        <v>08:05:09</v>
      </c>
      <c r="I97" s="20">
        <f t="shared" si="4"/>
        <v>1050</v>
      </c>
    </row>
    <row r="98">
      <c r="A98" s="12" t="str">
        <f>Raw_Data!A104</f>
        <v>09 Jan 2025 09:47:00</v>
      </c>
      <c r="B98" s="12" t="str">
        <f t="shared" si="1"/>
        <v>January</v>
      </c>
      <c r="C98" s="12">
        <f t="shared" si="2"/>
        <v>1</v>
      </c>
      <c r="D98" s="12" t="str">
        <f>IFERROR(__xludf.DUMMYFUNCTION("IFERROR(IF(REGEXMATCH(LOWER(Raw_Data!C104),""fixed deposit|owealth|savings|target""),""Fixed Deposit"",IF(REGEXMATCH(LOWER(Raw_Data!C104),""airtime""),""Airtime"",IF(REGEXMATCH(LOWER(Raw_Data!C104),""electronic money transfer levy""),""Electronic Money Tr"&amp;"ansfer Levy"",IF(REGEXMATCH(LOWER(Raw_Data!C104),""transfer|trf|send""),""Transfer"",""Other"")))),""Other"")"),"Transfer")</f>
        <v>Transfer</v>
      </c>
      <c r="E98" s="20">
        <v>400.0</v>
      </c>
      <c r="F98" s="20">
        <v>0.0</v>
      </c>
      <c r="G98" s="12" t="str">
        <f t="shared" si="3"/>
        <v>Withdrawal</v>
      </c>
      <c r="H98" s="12" t="str">
        <f>TEXT(Raw_Data!A104,"hh:mm:ss")
</f>
        <v>09:47:00</v>
      </c>
      <c r="I98" s="20">
        <f t="shared" si="4"/>
        <v>400</v>
      </c>
    </row>
    <row r="99">
      <c r="A99" s="12" t="str">
        <f>Raw_Data!A105</f>
        <v>09 Jan 2025 11:16:57</v>
      </c>
      <c r="B99" s="12" t="str">
        <f t="shared" si="1"/>
        <v>January</v>
      </c>
      <c r="C99" s="12">
        <f t="shared" si="2"/>
        <v>1</v>
      </c>
      <c r="D99" s="12" t="str">
        <f>IFERROR(__xludf.DUMMYFUNCTION("IFERROR(IF(REGEXMATCH(LOWER(Raw_Data!C105),""fixed deposit|owealth|savings|target""),""Fixed Deposit"",IF(REGEXMATCH(LOWER(Raw_Data!C105),""airtime""),""Airtime"",IF(REGEXMATCH(LOWER(Raw_Data!C105),""electronic money transfer levy""),""Electronic Money Tr"&amp;"ansfer Levy"",IF(REGEXMATCH(LOWER(Raw_Data!C105),""transfer|trf|send""),""Transfer"",""Other"")))),""Other"")"),"Transfer")</f>
        <v>Transfer</v>
      </c>
      <c r="E99" s="20">
        <v>3000.0</v>
      </c>
      <c r="F99" s="20">
        <v>0.0</v>
      </c>
      <c r="G99" s="12" t="str">
        <f t="shared" si="3"/>
        <v>Withdrawal</v>
      </c>
      <c r="H99" s="12" t="str">
        <f>TEXT(Raw_Data!A105,"hh:mm:ss")
</f>
        <v>11:16:57</v>
      </c>
      <c r="I99" s="20">
        <f t="shared" si="4"/>
        <v>3000</v>
      </c>
    </row>
    <row r="100">
      <c r="A100" s="12" t="str">
        <f>Raw_Data!A106</f>
        <v>09 Jan 2025 12:07:10</v>
      </c>
      <c r="B100" s="12" t="str">
        <f t="shared" si="1"/>
        <v>January</v>
      </c>
      <c r="C100" s="12">
        <f t="shared" si="2"/>
        <v>1</v>
      </c>
      <c r="D100" s="12" t="str">
        <f>IFERROR(__xludf.DUMMYFUNCTION("IFERROR(IF(REGEXMATCH(LOWER(Raw_Data!C106),""fixed deposit|owealth|savings|target""),""Fixed Deposit"",IF(REGEXMATCH(LOWER(Raw_Data!C106),""airtime""),""Airtime"",IF(REGEXMATCH(LOWER(Raw_Data!C106),""electronic money transfer levy""),""Electronic Money Tr"&amp;"ansfer Levy"",IF(REGEXMATCH(LOWER(Raw_Data!C106),""transfer|trf|send""),""Transfer"",""Other"")))),""Other"")"),"Transfer")</f>
        <v>Transfer</v>
      </c>
      <c r="E100" s="20">
        <v>300.0</v>
      </c>
      <c r="F100" s="20">
        <v>0.0</v>
      </c>
      <c r="G100" s="12" t="str">
        <f t="shared" si="3"/>
        <v>Withdrawal</v>
      </c>
      <c r="H100" s="12" t="str">
        <f>TEXT(Raw_Data!A106,"hh:mm:ss")
</f>
        <v>12:07:10</v>
      </c>
      <c r="I100" s="20">
        <f t="shared" si="4"/>
        <v>300</v>
      </c>
    </row>
    <row r="101">
      <c r="A101" s="12" t="str">
        <f>Raw_Data!A107</f>
        <v>09 Jan 2025 16:08:18</v>
      </c>
      <c r="B101" s="12" t="str">
        <f t="shared" si="1"/>
        <v>January</v>
      </c>
      <c r="C101" s="12">
        <f t="shared" si="2"/>
        <v>1</v>
      </c>
      <c r="D101" s="12" t="str">
        <f>IFERROR(__xludf.DUMMYFUNCTION("IFERROR(IF(REGEXMATCH(LOWER(Raw_Data!C107),""fixed deposit|owealth|savings|target""),""Fixed Deposit"",IF(REGEXMATCH(LOWER(Raw_Data!C107),""airtime""),""Airtime"",IF(REGEXMATCH(LOWER(Raw_Data!C107),""electronic money transfer levy""),""Electronic Money Tr"&amp;"ansfer Levy"",IF(REGEXMATCH(LOWER(Raw_Data!C107),""transfer|trf|send""),""Transfer"",""Other"")))),""Other"")"),"Transfer")</f>
        <v>Transfer</v>
      </c>
      <c r="E101" s="20">
        <v>40000.0</v>
      </c>
      <c r="F101" s="20">
        <v>0.0</v>
      </c>
      <c r="G101" s="12" t="str">
        <f t="shared" si="3"/>
        <v>Withdrawal</v>
      </c>
      <c r="H101" s="12" t="str">
        <f>TEXT(Raw_Data!A107,"hh:mm:ss")
</f>
        <v>16:08:18</v>
      </c>
      <c r="I101" s="20">
        <f t="shared" si="4"/>
        <v>40000</v>
      </c>
    </row>
    <row r="102">
      <c r="A102" s="12" t="str">
        <f>Raw_Data!A108</f>
        <v>09 Jan 2025 17:03:54</v>
      </c>
      <c r="B102" s="12" t="str">
        <f t="shared" si="1"/>
        <v>January</v>
      </c>
      <c r="C102" s="12">
        <f t="shared" si="2"/>
        <v>1</v>
      </c>
      <c r="D102" s="12" t="str">
        <f>IFERROR(__xludf.DUMMYFUNCTION("IFERROR(IF(REGEXMATCH(LOWER(Raw_Data!C108),""fixed deposit|owealth|savings|target""),""Fixed Deposit"",IF(REGEXMATCH(LOWER(Raw_Data!C108),""airtime""),""Airtime"",IF(REGEXMATCH(LOWER(Raw_Data!C108),""electronic money transfer levy""),""Electronic Money Tr"&amp;"ansfer Levy"",IF(REGEXMATCH(LOWER(Raw_Data!C108),""transfer|trf|send""),""Transfer"",""Other"")))),""Other"")"),"Transfer")</f>
        <v>Transfer</v>
      </c>
      <c r="E102" s="20">
        <v>500.0</v>
      </c>
      <c r="F102" s="20">
        <v>0.0</v>
      </c>
      <c r="G102" s="12" t="str">
        <f t="shared" si="3"/>
        <v>Withdrawal</v>
      </c>
      <c r="H102" s="12" t="str">
        <f>TEXT(Raw_Data!A108,"hh:mm:ss")
</f>
        <v>17:03:54</v>
      </c>
      <c r="I102" s="20">
        <f t="shared" si="4"/>
        <v>500</v>
      </c>
    </row>
    <row r="103">
      <c r="A103" s="12" t="str">
        <f>Raw_Data!A109</f>
        <v>09 Jan 2025 17:10:43</v>
      </c>
      <c r="B103" s="12" t="str">
        <f t="shared" si="1"/>
        <v>January</v>
      </c>
      <c r="C103" s="12">
        <f t="shared" si="2"/>
        <v>1</v>
      </c>
      <c r="D103" s="12" t="str">
        <f>IFERROR(__xludf.DUMMYFUNCTION("IFERROR(IF(REGEXMATCH(LOWER(Raw_Data!C109),""fixed deposit|owealth|savings|target""),""Fixed Deposit"",IF(REGEXMATCH(LOWER(Raw_Data!C109),""airtime""),""Airtime"",IF(REGEXMATCH(LOWER(Raw_Data!C109),""electronic money transfer levy""),""Electronic Money Tr"&amp;"ansfer Levy"",IF(REGEXMATCH(LOWER(Raw_Data!C109),""transfer|trf|send""),""Transfer"",""Other"")))),""Other"")"),"Transfer")</f>
        <v>Transfer</v>
      </c>
      <c r="E103" s="20">
        <v>710.0</v>
      </c>
      <c r="F103" s="20">
        <v>0.0</v>
      </c>
      <c r="G103" s="12" t="str">
        <f t="shared" si="3"/>
        <v>Withdrawal</v>
      </c>
      <c r="H103" s="12" t="str">
        <f>TEXT(Raw_Data!A109,"hh:mm:ss")
</f>
        <v>17:10:43</v>
      </c>
      <c r="I103" s="20">
        <f t="shared" si="4"/>
        <v>710</v>
      </c>
    </row>
    <row r="104">
      <c r="A104" s="12" t="str">
        <f>Raw_Data!A110</f>
        <v>09 Jan 2025 19:56:44</v>
      </c>
      <c r="B104" s="12" t="str">
        <f t="shared" si="1"/>
        <v>January</v>
      </c>
      <c r="C104" s="12">
        <f t="shared" si="2"/>
        <v>1</v>
      </c>
      <c r="D104" s="12" t="str">
        <f>IFERROR(__xludf.DUMMYFUNCTION("IFERROR(IF(REGEXMATCH(LOWER(Raw_Data!C110),""fixed deposit|owealth|savings|target""),""Fixed Deposit"",IF(REGEXMATCH(LOWER(Raw_Data!C110),""airtime""),""Airtime"",IF(REGEXMATCH(LOWER(Raw_Data!C110),""electronic money transfer levy""),""Electronic Money Tr"&amp;"ansfer Levy"",IF(REGEXMATCH(LOWER(Raw_Data!C110),""transfer|trf|send""),""Transfer"",""Other"")))),""Other"")"),"Transfer")</f>
        <v>Transfer</v>
      </c>
      <c r="E104" s="20">
        <v>0.0</v>
      </c>
      <c r="F104" s="20">
        <v>40000.0</v>
      </c>
      <c r="G104" s="12" t="str">
        <f t="shared" si="3"/>
        <v>Deposit</v>
      </c>
      <c r="H104" s="12" t="str">
        <f>TEXT(Raw_Data!A110,"hh:mm:ss")
</f>
        <v>19:56:44</v>
      </c>
      <c r="I104" s="20">
        <f t="shared" si="4"/>
        <v>40000</v>
      </c>
    </row>
    <row r="105">
      <c r="A105" s="12" t="str">
        <f>Raw_Data!A111</f>
        <v>09 Jan 2025 19:56:50</v>
      </c>
      <c r="B105" s="12" t="str">
        <f t="shared" si="1"/>
        <v>January</v>
      </c>
      <c r="C105" s="12">
        <f t="shared" si="2"/>
        <v>1</v>
      </c>
      <c r="D105" s="12" t="str">
        <f>IFERROR(__xludf.DUMMYFUNCTION("IFERROR(IF(REGEXMATCH(LOWER(Raw_Data!C111),""fixed deposit|owealth|savings|target""),""Fixed Deposit"",IF(REGEXMATCH(LOWER(Raw_Data!C111),""airtime""),""Airtime"",IF(REGEXMATCH(LOWER(Raw_Data!C111),""electronic money transfer levy""),""Electronic Money Tr"&amp;"ansfer Levy"",IF(REGEXMATCH(LOWER(Raw_Data!C111),""transfer|trf|send""),""Transfer"",""Other"")))),""Other"")"),"Electronic Money Transfer Levy")</f>
        <v>Electronic Money Transfer Levy</v>
      </c>
      <c r="E105" s="20">
        <v>50.0</v>
      </c>
      <c r="F105" s="20">
        <v>0.0</v>
      </c>
      <c r="G105" s="12" t="str">
        <f t="shared" si="3"/>
        <v>Withdrawal</v>
      </c>
      <c r="H105" s="12" t="str">
        <f>TEXT(Raw_Data!A111,"hh:mm:ss")
</f>
        <v>19:56:50</v>
      </c>
      <c r="I105" s="20">
        <f t="shared" si="4"/>
        <v>50</v>
      </c>
    </row>
    <row r="106">
      <c r="A106" s="12" t="str">
        <f>Raw_Data!A112</f>
        <v>09 Jan 2025 20:45:30</v>
      </c>
      <c r="B106" s="12" t="str">
        <f t="shared" si="1"/>
        <v>January</v>
      </c>
      <c r="C106" s="12">
        <f t="shared" si="2"/>
        <v>1</v>
      </c>
      <c r="D106" s="12" t="str">
        <f>IFERROR(__xludf.DUMMYFUNCTION("IFERROR(IF(REGEXMATCH(LOWER(Raw_Data!C112),""fixed deposit|owealth|savings|target""),""Fixed Deposit"",IF(REGEXMATCH(LOWER(Raw_Data!C112),""airtime""),""Airtime"",IF(REGEXMATCH(LOWER(Raw_Data!C112),""electronic money transfer levy""),""Electronic Money Tr"&amp;"ansfer Levy"",IF(REGEXMATCH(LOWER(Raw_Data!C112),""transfer|trf|send""),""Transfer"",""Other"")))),""Other"")"),"Transfer")</f>
        <v>Transfer</v>
      </c>
      <c r="E106" s="20">
        <v>13010.0</v>
      </c>
      <c r="F106" s="20">
        <v>0.0</v>
      </c>
      <c r="G106" s="12" t="str">
        <f t="shared" si="3"/>
        <v>Withdrawal</v>
      </c>
      <c r="H106" s="12" t="str">
        <f>TEXT(Raw_Data!A112,"hh:mm:ss")
</f>
        <v>20:45:30</v>
      </c>
      <c r="I106" s="20">
        <f t="shared" si="4"/>
        <v>13010</v>
      </c>
    </row>
    <row r="107">
      <c r="A107" s="12" t="str">
        <f>Raw_Data!A113</f>
        <v>10 Jan 2025 09:20:56</v>
      </c>
      <c r="B107" s="12" t="str">
        <f t="shared" si="1"/>
        <v>January</v>
      </c>
      <c r="C107" s="12">
        <f t="shared" si="2"/>
        <v>1</v>
      </c>
      <c r="D107" s="12" t="str">
        <f>IFERROR(__xludf.DUMMYFUNCTION("IFERROR(IF(REGEXMATCH(LOWER(Raw_Data!C113),""fixed deposit|owealth|savings|target""),""Fixed Deposit"",IF(REGEXMATCH(LOWER(Raw_Data!C113),""airtime""),""Airtime"",IF(REGEXMATCH(LOWER(Raw_Data!C113),""electronic money transfer levy""),""Electronic Money Tr"&amp;"ansfer Levy"",IF(REGEXMATCH(LOWER(Raw_Data!C113),""transfer|trf|send""),""Transfer"",""Other"")))),""Other"")"),"Transfer")</f>
        <v>Transfer</v>
      </c>
      <c r="E107" s="20">
        <v>0.0</v>
      </c>
      <c r="F107" s="20">
        <v>3500.0</v>
      </c>
      <c r="G107" s="12" t="str">
        <f t="shared" si="3"/>
        <v>Deposit</v>
      </c>
      <c r="H107" s="12" t="str">
        <f>TEXT(Raw_Data!A113,"hh:mm:ss")
</f>
        <v>09:20:56</v>
      </c>
      <c r="I107" s="20">
        <f t="shared" si="4"/>
        <v>3500</v>
      </c>
    </row>
    <row r="108">
      <c r="A108" s="12" t="str">
        <f>Raw_Data!A114</f>
        <v>10 Jan 2025 10:58:02</v>
      </c>
      <c r="B108" s="12" t="str">
        <f t="shared" si="1"/>
        <v>January</v>
      </c>
      <c r="C108" s="12">
        <f t="shared" si="2"/>
        <v>1</v>
      </c>
      <c r="D108" s="12" t="str">
        <f>IFERROR(__xludf.DUMMYFUNCTION("IFERROR(IF(REGEXMATCH(LOWER(Raw_Data!C114),""fixed deposit|owealth|savings|target""),""Fixed Deposit"",IF(REGEXMATCH(LOWER(Raw_Data!C114),""airtime""),""Airtime"",IF(REGEXMATCH(LOWER(Raw_Data!C114),""electronic money transfer levy""),""Electronic Money Tr"&amp;"ansfer Levy"",IF(REGEXMATCH(LOWER(Raw_Data!C114),""transfer|trf|send""),""Transfer"",""Other"")))),""Other"")"),"Transfer")</f>
        <v>Transfer</v>
      </c>
      <c r="E108" s="20">
        <v>1050.0</v>
      </c>
      <c r="F108" s="20">
        <v>0.0</v>
      </c>
      <c r="G108" s="12" t="str">
        <f t="shared" si="3"/>
        <v>Withdrawal</v>
      </c>
      <c r="H108" s="12" t="str">
        <f>TEXT(Raw_Data!A114,"hh:mm:ss")
</f>
        <v>10:58:02</v>
      </c>
      <c r="I108" s="20">
        <f t="shared" si="4"/>
        <v>1050</v>
      </c>
    </row>
    <row r="109">
      <c r="A109" s="12" t="str">
        <f>Raw_Data!A115</f>
        <v>10 Jan 2025 16:29:14</v>
      </c>
      <c r="B109" s="12" t="str">
        <f t="shared" si="1"/>
        <v>January</v>
      </c>
      <c r="C109" s="12">
        <f t="shared" si="2"/>
        <v>1</v>
      </c>
      <c r="D109" s="12" t="str">
        <f>IFERROR(__xludf.DUMMYFUNCTION("IFERROR(IF(REGEXMATCH(LOWER(Raw_Data!C115),""fixed deposit|owealth|savings|target""),""Fixed Deposit"",IF(REGEXMATCH(LOWER(Raw_Data!C115),""airtime""),""Airtime"",IF(REGEXMATCH(LOWER(Raw_Data!C115),""electronic money transfer levy""),""Electronic Money Tr"&amp;"ansfer Levy"",IF(REGEXMATCH(LOWER(Raw_Data!C115),""transfer|trf|send""),""Transfer"",""Other"")))),""Other"")"),"Transfer")</f>
        <v>Transfer</v>
      </c>
      <c r="E109" s="20">
        <v>3500.0</v>
      </c>
      <c r="F109" s="20">
        <v>0.0</v>
      </c>
      <c r="G109" s="12" t="str">
        <f t="shared" si="3"/>
        <v>Withdrawal</v>
      </c>
      <c r="H109" s="12" t="str">
        <f>TEXT(Raw_Data!A115,"hh:mm:ss")
</f>
        <v>16:29:14</v>
      </c>
      <c r="I109" s="20">
        <f t="shared" si="4"/>
        <v>3500</v>
      </c>
    </row>
    <row r="110">
      <c r="A110" s="12" t="str">
        <f>Raw_Data!A116</f>
        <v>10 Jan 2025 16:43:33</v>
      </c>
      <c r="B110" s="12" t="str">
        <f t="shared" si="1"/>
        <v>January</v>
      </c>
      <c r="C110" s="12">
        <f t="shared" si="2"/>
        <v>1</v>
      </c>
      <c r="D110" s="12" t="str">
        <f>IFERROR(__xludf.DUMMYFUNCTION("IFERROR(IF(REGEXMATCH(LOWER(Raw_Data!C116),""fixed deposit|owealth|savings|target""),""Fixed Deposit"",IF(REGEXMATCH(LOWER(Raw_Data!C116),""airtime""),""Airtime"",IF(REGEXMATCH(LOWER(Raw_Data!C116),""electronic money transfer levy""),""Electronic Money Tr"&amp;"ansfer Levy"",IF(REGEXMATCH(LOWER(Raw_Data!C116),""transfer|trf|send""),""Transfer"",""Other"")))),""Other"")"),"Transfer")</f>
        <v>Transfer</v>
      </c>
      <c r="E110" s="20">
        <v>41000.0</v>
      </c>
      <c r="F110" s="20">
        <v>0.0</v>
      </c>
      <c r="G110" s="12" t="str">
        <f t="shared" si="3"/>
        <v>Withdrawal</v>
      </c>
      <c r="H110" s="12" t="str">
        <f>TEXT(Raw_Data!A116,"hh:mm:ss")
</f>
        <v>16:43:33</v>
      </c>
      <c r="I110" s="20">
        <f t="shared" si="4"/>
        <v>41000</v>
      </c>
    </row>
    <row r="111">
      <c r="A111" s="12" t="str">
        <f>Raw_Data!A117</f>
        <v>10 Jan 2025 17:24:10</v>
      </c>
      <c r="B111" s="12" t="str">
        <f t="shared" si="1"/>
        <v>January</v>
      </c>
      <c r="C111" s="12">
        <f t="shared" si="2"/>
        <v>1</v>
      </c>
      <c r="D111" s="12" t="str">
        <f>IFERROR(__xludf.DUMMYFUNCTION("IFERROR(IF(REGEXMATCH(LOWER(Raw_Data!C117),""fixed deposit|owealth|savings|target""),""Fixed Deposit"",IF(REGEXMATCH(LOWER(Raw_Data!C117),""airtime""),""Airtime"",IF(REGEXMATCH(LOWER(Raw_Data!C117),""electronic money transfer levy""),""Electronic Money Tr"&amp;"ansfer Levy"",IF(REGEXMATCH(LOWER(Raw_Data!C117),""transfer|trf|send""),""Transfer"",""Other"")))),""Other"")"),"Transfer")</f>
        <v>Transfer</v>
      </c>
      <c r="E111" s="20">
        <v>0.0</v>
      </c>
      <c r="F111" s="20">
        <v>15000.0</v>
      </c>
      <c r="G111" s="12" t="str">
        <f t="shared" si="3"/>
        <v>Deposit</v>
      </c>
      <c r="H111" s="12" t="str">
        <f>TEXT(Raw_Data!A117,"hh:mm:ss")
</f>
        <v>17:24:10</v>
      </c>
      <c r="I111" s="20">
        <f t="shared" si="4"/>
        <v>15000</v>
      </c>
    </row>
    <row r="112">
      <c r="A112" s="12" t="str">
        <f>Raw_Data!A118</f>
        <v>10 Jan 2025 17:24:18</v>
      </c>
      <c r="B112" s="12" t="str">
        <f t="shared" si="1"/>
        <v>January</v>
      </c>
      <c r="C112" s="12">
        <f t="shared" si="2"/>
        <v>1</v>
      </c>
      <c r="D112" s="12" t="str">
        <f>IFERROR(__xludf.DUMMYFUNCTION("IFERROR(IF(REGEXMATCH(LOWER(Raw_Data!C118),""fixed deposit|owealth|savings|target""),""Fixed Deposit"",IF(REGEXMATCH(LOWER(Raw_Data!C118),""airtime""),""Airtime"",IF(REGEXMATCH(LOWER(Raw_Data!C118),""electronic money transfer levy""),""Electronic Money Tr"&amp;"ansfer Levy"",IF(REGEXMATCH(LOWER(Raw_Data!C118),""transfer|trf|send""),""Transfer"",""Other"")))),""Other"")"),"Electronic Money Transfer Levy")</f>
        <v>Electronic Money Transfer Levy</v>
      </c>
      <c r="E112" s="20">
        <v>50.0</v>
      </c>
      <c r="F112" s="20">
        <v>0.0</v>
      </c>
      <c r="G112" s="12" t="str">
        <f t="shared" si="3"/>
        <v>Withdrawal</v>
      </c>
      <c r="H112" s="12" t="str">
        <f>TEXT(Raw_Data!A118,"hh:mm:ss")
</f>
        <v>17:24:18</v>
      </c>
      <c r="I112" s="20">
        <f t="shared" si="4"/>
        <v>50</v>
      </c>
    </row>
    <row r="113">
      <c r="A113" s="12" t="str">
        <f>Raw_Data!A119</f>
        <v>10 Jan 2025 18:01:35</v>
      </c>
      <c r="B113" s="12" t="str">
        <f t="shared" si="1"/>
        <v>January</v>
      </c>
      <c r="C113" s="12">
        <f t="shared" si="2"/>
        <v>1</v>
      </c>
      <c r="D113" s="12" t="str">
        <f>IFERROR(__xludf.DUMMYFUNCTION("IFERROR(IF(REGEXMATCH(LOWER(Raw_Data!C119),""fixed deposit|owealth|savings|target""),""Fixed Deposit"",IF(REGEXMATCH(LOWER(Raw_Data!C119),""airtime""),""Airtime"",IF(REGEXMATCH(LOWER(Raw_Data!C119),""electronic money transfer levy""),""Electronic Money Tr"&amp;"ansfer Levy"",IF(REGEXMATCH(LOWER(Raw_Data!C119),""transfer|trf|send""),""Transfer"",""Other"")))),""Other"")"),"Transfer")</f>
        <v>Transfer</v>
      </c>
      <c r="E113" s="20">
        <v>4000.0</v>
      </c>
      <c r="F113" s="20">
        <v>0.0</v>
      </c>
      <c r="G113" s="12" t="str">
        <f t="shared" si="3"/>
        <v>Withdrawal</v>
      </c>
      <c r="H113" s="12" t="str">
        <f>TEXT(Raw_Data!A119,"hh:mm:ss")
</f>
        <v>18:01:35</v>
      </c>
      <c r="I113" s="20">
        <f t="shared" si="4"/>
        <v>4000</v>
      </c>
    </row>
    <row r="114">
      <c r="A114" s="12" t="str">
        <f>Raw_Data!A120</f>
        <v>11 Jan 2025 09:00:42</v>
      </c>
      <c r="B114" s="12" t="str">
        <f t="shared" si="1"/>
        <v>January</v>
      </c>
      <c r="C114" s="12">
        <f t="shared" si="2"/>
        <v>1</v>
      </c>
      <c r="D114" s="12" t="str">
        <f>IFERROR(__xludf.DUMMYFUNCTION("IFERROR(IF(REGEXMATCH(LOWER(Raw_Data!C120),""fixed deposit|owealth|savings|target""),""Fixed Deposit"",IF(REGEXMATCH(LOWER(Raw_Data!C120),""airtime""),""Airtime"",IF(REGEXMATCH(LOWER(Raw_Data!C120),""electronic money transfer levy""),""Electronic Money Tr"&amp;"ansfer Levy"",IF(REGEXMATCH(LOWER(Raw_Data!C120),""transfer|trf|send""),""Transfer"",""Other"")))),""Other"")"),"Transfer")</f>
        <v>Transfer</v>
      </c>
      <c r="E114" s="20">
        <v>150.0</v>
      </c>
      <c r="F114" s="20">
        <v>0.0</v>
      </c>
      <c r="G114" s="12" t="str">
        <f t="shared" si="3"/>
        <v>Withdrawal</v>
      </c>
      <c r="H114" s="12" t="str">
        <f>TEXT(Raw_Data!A120,"hh:mm:ss")
</f>
        <v>09:00:42</v>
      </c>
      <c r="I114" s="20">
        <f t="shared" si="4"/>
        <v>150</v>
      </c>
    </row>
    <row r="115">
      <c r="A115" s="12" t="str">
        <f>Raw_Data!A121</f>
        <v>11 Jan 2025 09:03:27</v>
      </c>
      <c r="B115" s="12" t="str">
        <f t="shared" si="1"/>
        <v>January</v>
      </c>
      <c r="C115" s="12">
        <f t="shared" si="2"/>
        <v>1</v>
      </c>
      <c r="D115" s="12" t="str">
        <f>IFERROR(__xludf.DUMMYFUNCTION("IFERROR(IF(REGEXMATCH(LOWER(Raw_Data!C121),""fixed deposit|owealth|savings|target""),""Fixed Deposit"",IF(REGEXMATCH(LOWER(Raw_Data!C121),""airtime""),""Airtime"",IF(REGEXMATCH(LOWER(Raw_Data!C121),""electronic money transfer levy""),""Electronic Money Tr"&amp;"ansfer Levy"",IF(REGEXMATCH(LOWER(Raw_Data!C121),""transfer|trf|send""),""Transfer"",""Other"")))),""Other"")"),"Transfer")</f>
        <v>Transfer</v>
      </c>
      <c r="E115" s="20">
        <v>360.0</v>
      </c>
      <c r="F115" s="20">
        <v>0.0</v>
      </c>
      <c r="G115" s="12" t="str">
        <f t="shared" si="3"/>
        <v>Withdrawal</v>
      </c>
      <c r="H115" s="12" t="str">
        <f>TEXT(Raw_Data!A121,"hh:mm:ss")
</f>
        <v>09:03:27</v>
      </c>
      <c r="I115" s="20">
        <f t="shared" si="4"/>
        <v>360</v>
      </c>
    </row>
    <row r="116">
      <c r="A116" s="12" t="str">
        <f>Raw_Data!A122</f>
        <v>11 Jan 2025 12:01:24</v>
      </c>
      <c r="B116" s="12" t="str">
        <f t="shared" si="1"/>
        <v>January</v>
      </c>
      <c r="C116" s="12">
        <f t="shared" si="2"/>
        <v>1</v>
      </c>
      <c r="D116" s="12" t="str">
        <f>IFERROR(__xludf.DUMMYFUNCTION("IFERROR(IF(REGEXMATCH(LOWER(Raw_Data!C122),""fixed deposit|owealth|savings|target""),""Fixed Deposit"",IF(REGEXMATCH(LOWER(Raw_Data!C122),""airtime""),""Airtime"",IF(REGEXMATCH(LOWER(Raw_Data!C122),""electronic money transfer levy""),""Electronic Money Tr"&amp;"ansfer Levy"",IF(REGEXMATCH(LOWER(Raw_Data!C122),""transfer|trf|send""),""Transfer"",""Other"")))),""Other"")"),"Transfer")</f>
        <v>Transfer</v>
      </c>
      <c r="E116" s="20">
        <v>300.0</v>
      </c>
      <c r="F116" s="20">
        <v>0.0</v>
      </c>
      <c r="G116" s="12" t="str">
        <f t="shared" si="3"/>
        <v>Withdrawal</v>
      </c>
      <c r="H116" s="12" t="str">
        <f>TEXT(Raw_Data!A122,"hh:mm:ss")
</f>
        <v>12:01:24</v>
      </c>
      <c r="I116" s="20">
        <f t="shared" si="4"/>
        <v>300</v>
      </c>
    </row>
    <row r="117">
      <c r="A117" s="12" t="str">
        <f>Raw_Data!A123</f>
        <v>11 Jan 2025 12:15:32</v>
      </c>
      <c r="B117" s="12" t="str">
        <f t="shared" si="1"/>
        <v>January</v>
      </c>
      <c r="C117" s="12">
        <f t="shared" si="2"/>
        <v>1</v>
      </c>
      <c r="D117" s="12" t="str">
        <f>IFERROR(__xludf.DUMMYFUNCTION("IFERROR(IF(REGEXMATCH(LOWER(Raw_Data!C123),""fixed deposit|owealth|savings|target""),""Fixed Deposit"",IF(REGEXMATCH(LOWER(Raw_Data!C123),""airtime""),""Airtime"",IF(REGEXMATCH(LOWER(Raw_Data!C123),""electronic money transfer levy""),""Electronic Money Tr"&amp;"ansfer Levy"",IF(REGEXMATCH(LOWER(Raw_Data!C123),""transfer|trf|send""),""Transfer"",""Other"")))),""Other"")"),"Transfer")</f>
        <v>Transfer</v>
      </c>
      <c r="E117" s="20">
        <v>2100.0</v>
      </c>
      <c r="F117" s="20">
        <v>0.0</v>
      </c>
      <c r="G117" s="12" t="str">
        <f t="shared" si="3"/>
        <v>Withdrawal</v>
      </c>
      <c r="H117" s="12" t="str">
        <f>TEXT(Raw_Data!A123,"hh:mm:ss")
</f>
        <v>12:15:32</v>
      </c>
      <c r="I117" s="20">
        <f t="shared" si="4"/>
        <v>2100</v>
      </c>
    </row>
    <row r="118">
      <c r="A118" s="12" t="str">
        <f>Raw_Data!A124</f>
        <v>11 Jan 2025 17:44:18</v>
      </c>
      <c r="B118" s="12" t="str">
        <f t="shared" si="1"/>
        <v>January</v>
      </c>
      <c r="C118" s="12">
        <f t="shared" si="2"/>
        <v>1</v>
      </c>
      <c r="D118" s="12" t="str">
        <f>IFERROR(__xludf.DUMMYFUNCTION("IFERROR(IF(REGEXMATCH(LOWER(Raw_Data!C124),""fixed deposit|owealth|savings|target""),""Fixed Deposit"",IF(REGEXMATCH(LOWER(Raw_Data!C124),""airtime""),""Airtime"",IF(REGEXMATCH(LOWER(Raw_Data!C124),""electronic money transfer levy""),""Electronic Money Tr"&amp;"ansfer Levy"",IF(REGEXMATCH(LOWER(Raw_Data!C124),""transfer|trf|send""),""Transfer"",""Other"")))),""Other"")"),"Transfer")</f>
        <v>Transfer</v>
      </c>
      <c r="E118" s="20">
        <v>250.0</v>
      </c>
      <c r="F118" s="20">
        <v>0.0</v>
      </c>
      <c r="G118" s="12" t="str">
        <f t="shared" si="3"/>
        <v>Withdrawal</v>
      </c>
      <c r="H118" s="12" t="str">
        <f>TEXT(Raw_Data!A124,"hh:mm:ss")
</f>
        <v>17:44:18</v>
      </c>
      <c r="I118" s="20">
        <f t="shared" si="4"/>
        <v>250</v>
      </c>
    </row>
    <row r="119">
      <c r="A119" s="12" t="str">
        <f>Raw_Data!A125</f>
        <v>11 Jan 2025 18:08:23</v>
      </c>
      <c r="B119" s="12" t="str">
        <f t="shared" si="1"/>
        <v>January</v>
      </c>
      <c r="C119" s="12">
        <f t="shared" si="2"/>
        <v>1</v>
      </c>
      <c r="D119" s="12" t="str">
        <f>IFERROR(__xludf.DUMMYFUNCTION("IFERROR(IF(REGEXMATCH(LOWER(Raw_Data!C125),""fixed deposit|owealth|savings|target""),""Fixed Deposit"",IF(REGEXMATCH(LOWER(Raw_Data!C125),""airtime""),""Airtime"",IF(REGEXMATCH(LOWER(Raw_Data!C125),""electronic money transfer levy""),""Electronic Money Tr"&amp;"ansfer Levy"",IF(REGEXMATCH(LOWER(Raw_Data!C125),""transfer|trf|send""),""Transfer"",""Other"")))),""Other"")"),"Transfer")</f>
        <v>Transfer</v>
      </c>
      <c r="E119" s="20">
        <v>0.0</v>
      </c>
      <c r="F119" s="20">
        <v>33120.0</v>
      </c>
      <c r="G119" s="12" t="str">
        <f t="shared" si="3"/>
        <v>Deposit</v>
      </c>
      <c r="H119" s="12" t="str">
        <f>TEXT(Raw_Data!A125,"hh:mm:ss")
</f>
        <v>18:08:23</v>
      </c>
      <c r="I119" s="20">
        <f t="shared" si="4"/>
        <v>33120</v>
      </c>
    </row>
    <row r="120">
      <c r="A120" s="12" t="str">
        <f>Raw_Data!A126</f>
        <v>11 Jan 2025 18:08:29</v>
      </c>
      <c r="B120" s="12" t="str">
        <f t="shared" si="1"/>
        <v>January</v>
      </c>
      <c r="C120" s="12">
        <f t="shared" si="2"/>
        <v>1</v>
      </c>
      <c r="D120" s="12" t="str">
        <f>IFERROR(__xludf.DUMMYFUNCTION("IFERROR(IF(REGEXMATCH(LOWER(Raw_Data!C126),""fixed deposit|owealth|savings|target""),""Fixed Deposit"",IF(REGEXMATCH(LOWER(Raw_Data!C126),""airtime""),""Airtime"",IF(REGEXMATCH(LOWER(Raw_Data!C126),""electronic money transfer levy""),""Electronic Money Tr"&amp;"ansfer Levy"",IF(REGEXMATCH(LOWER(Raw_Data!C126),""transfer|trf|send""),""Transfer"",""Other"")))),""Other"")"),"Electronic Money Transfer Levy")</f>
        <v>Electronic Money Transfer Levy</v>
      </c>
      <c r="E120" s="20">
        <v>50.0</v>
      </c>
      <c r="F120" s="20">
        <v>0.0</v>
      </c>
      <c r="G120" s="12" t="str">
        <f t="shared" si="3"/>
        <v>Withdrawal</v>
      </c>
      <c r="H120" s="12" t="str">
        <f>TEXT(Raw_Data!A126,"hh:mm:ss")
</f>
        <v>18:08:29</v>
      </c>
      <c r="I120" s="20">
        <f t="shared" si="4"/>
        <v>50</v>
      </c>
    </row>
    <row r="121">
      <c r="A121" s="12" t="str">
        <f>Raw_Data!A127</f>
        <v>11 Jan 2025 18:17:49</v>
      </c>
      <c r="B121" s="12" t="str">
        <f t="shared" si="1"/>
        <v>January</v>
      </c>
      <c r="C121" s="12">
        <f t="shared" si="2"/>
        <v>1</v>
      </c>
      <c r="D121" s="12" t="str">
        <f>IFERROR(__xludf.DUMMYFUNCTION("IFERROR(IF(REGEXMATCH(LOWER(Raw_Data!C127),""fixed deposit|owealth|savings|target""),""Fixed Deposit"",IF(REGEXMATCH(LOWER(Raw_Data!C127),""airtime""),""Airtime"",IF(REGEXMATCH(LOWER(Raw_Data!C127),""electronic money transfer levy""),""Electronic Money Tr"&amp;"ansfer Levy"",IF(REGEXMATCH(LOWER(Raw_Data!C127),""transfer|trf|send""),""Transfer"",""Other"")))),""Other"")"),"Transfer")</f>
        <v>Transfer</v>
      </c>
      <c r="E121" s="20">
        <v>33800.92</v>
      </c>
      <c r="F121" s="20">
        <v>0.0</v>
      </c>
      <c r="G121" s="12" t="str">
        <f t="shared" si="3"/>
        <v>Withdrawal</v>
      </c>
      <c r="H121" s="12" t="str">
        <f>TEXT(Raw_Data!A127,"hh:mm:ss")
</f>
        <v>18:17:49</v>
      </c>
      <c r="I121" s="20">
        <f t="shared" si="4"/>
        <v>33800.92</v>
      </c>
    </row>
    <row r="122">
      <c r="A122" s="12" t="str">
        <f>Raw_Data!A128</f>
        <v>11 Jan 2025 18:40:43</v>
      </c>
      <c r="B122" s="12" t="str">
        <f t="shared" si="1"/>
        <v>January</v>
      </c>
      <c r="C122" s="12">
        <f t="shared" si="2"/>
        <v>1</v>
      </c>
      <c r="D122" s="12" t="str">
        <f>IFERROR(__xludf.DUMMYFUNCTION("IFERROR(IF(REGEXMATCH(LOWER(Raw_Data!C128),""fixed deposit|owealth|savings|target""),""Fixed Deposit"",IF(REGEXMATCH(LOWER(Raw_Data!C128),""airtime""),""Airtime"",IF(REGEXMATCH(LOWER(Raw_Data!C128),""electronic money transfer levy""),""Electronic Money Tr"&amp;"ansfer Levy"",IF(REGEXMATCH(LOWER(Raw_Data!C128),""transfer|trf|send""),""Transfer"",""Other"")))),""Other"")"),"Transfer")</f>
        <v>Transfer</v>
      </c>
      <c r="E122" s="20">
        <v>2210.0</v>
      </c>
      <c r="F122" s="20">
        <v>0.0</v>
      </c>
      <c r="G122" s="12" t="str">
        <f t="shared" si="3"/>
        <v>Withdrawal</v>
      </c>
      <c r="H122" s="12" t="str">
        <f>TEXT(Raw_Data!A128,"hh:mm:ss")
</f>
        <v>18:40:43</v>
      </c>
      <c r="I122" s="20">
        <f t="shared" si="4"/>
        <v>2210</v>
      </c>
    </row>
    <row r="123">
      <c r="A123" s="12" t="str">
        <f>Raw_Data!A129</f>
        <v>11 Jan 2025 18:45:36</v>
      </c>
      <c r="B123" s="12" t="str">
        <f t="shared" si="1"/>
        <v>January</v>
      </c>
      <c r="C123" s="12">
        <f t="shared" si="2"/>
        <v>1</v>
      </c>
      <c r="D123" s="12" t="str">
        <f>IFERROR(__xludf.DUMMYFUNCTION("IFERROR(IF(REGEXMATCH(LOWER(Raw_Data!C129),""fixed deposit|owealth|savings|target""),""Fixed Deposit"",IF(REGEXMATCH(LOWER(Raw_Data!C129),""airtime""),""Airtime"",IF(REGEXMATCH(LOWER(Raw_Data!C129),""electronic money transfer levy""),""Electronic Money Tr"&amp;"ansfer Levy"",IF(REGEXMATCH(LOWER(Raw_Data!C129),""transfer|trf|send""),""Transfer"",""Other"")))),""Other"")"),"Transfer")</f>
        <v>Transfer</v>
      </c>
      <c r="E123" s="20">
        <v>0.0</v>
      </c>
      <c r="F123" s="20">
        <v>15000.0</v>
      </c>
      <c r="G123" s="12" t="str">
        <f t="shared" si="3"/>
        <v>Deposit</v>
      </c>
      <c r="H123" s="12" t="str">
        <f>TEXT(Raw_Data!A129,"hh:mm:ss")
</f>
        <v>18:45:36</v>
      </c>
      <c r="I123" s="20">
        <f t="shared" si="4"/>
        <v>15000</v>
      </c>
    </row>
    <row r="124">
      <c r="A124" s="12" t="str">
        <f>Raw_Data!A130</f>
        <v>11 Jan 2025 18:45:42</v>
      </c>
      <c r="B124" s="12" t="str">
        <f t="shared" si="1"/>
        <v>January</v>
      </c>
      <c r="C124" s="12">
        <f t="shared" si="2"/>
        <v>1</v>
      </c>
      <c r="D124" s="12" t="str">
        <f>IFERROR(__xludf.DUMMYFUNCTION("IFERROR(IF(REGEXMATCH(LOWER(Raw_Data!C130),""fixed deposit|owealth|savings|target""),""Fixed Deposit"",IF(REGEXMATCH(LOWER(Raw_Data!C130),""airtime""),""Airtime"",IF(REGEXMATCH(LOWER(Raw_Data!C130),""electronic money transfer levy""),""Electronic Money Tr"&amp;"ansfer Levy"",IF(REGEXMATCH(LOWER(Raw_Data!C130),""transfer|trf|send""),""Transfer"",""Other"")))),""Other"")"),"Electronic Money Transfer Levy")</f>
        <v>Electronic Money Transfer Levy</v>
      </c>
      <c r="E124" s="20">
        <v>50.0</v>
      </c>
      <c r="F124" s="20">
        <v>0.0</v>
      </c>
      <c r="G124" s="12" t="str">
        <f t="shared" si="3"/>
        <v>Withdrawal</v>
      </c>
      <c r="H124" s="12" t="str">
        <f>TEXT(Raw_Data!A130,"hh:mm:ss")
</f>
        <v>18:45:42</v>
      </c>
      <c r="I124" s="20">
        <f t="shared" si="4"/>
        <v>50</v>
      </c>
    </row>
    <row r="125">
      <c r="A125" s="12" t="str">
        <f>Raw_Data!A131</f>
        <v>11 Jan 2025 18:47:11</v>
      </c>
      <c r="B125" s="12" t="str">
        <f t="shared" si="1"/>
        <v>January</v>
      </c>
      <c r="C125" s="12">
        <f t="shared" si="2"/>
        <v>1</v>
      </c>
      <c r="D125" s="12" t="str">
        <f>IFERROR(__xludf.DUMMYFUNCTION("IFERROR(IF(REGEXMATCH(LOWER(Raw_Data!C131),""fixed deposit|owealth|savings|target""),""Fixed Deposit"",IF(REGEXMATCH(LOWER(Raw_Data!C131),""airtime""),""Airtime"",IF(REGEXMATCH(LOWER(Raw_Data!C131),""electronic money transfer levy""),""Electronic Money Tr"&amp;"ansfer Levy"",IF(REGEXMATCH(LOWER(Raw_Data!C131),""transfer|trf|send""),""Transfer"",""Other"")))),""Other"")"),"Transfer")</f>
        <v>Transfer</v>
      </c>
      <c r="E125" s="20">
        <v>8000.0</v>
      </c>
      <c r="F125" s="20">
        <v>0.0</v>
      </c>
      <c r="G125" s="12" t="str">
        <f t="shared" si="3"/>
        <v>Withdrawal</v>
      </c>
      <c r="H125" s="12" t="str">
        <f>TEXT(Raw_Data!A131,"hh:mm:ss")
</f>
        <v>18:47:11</v>
      </c>
      <c r="I125" s="20">
        <f t="shared" si="4"/>
        <v>8000</v>
      </c>
    </row>
    <row r="126">
      <c r="A126" s="12" t="str">
        <f>Raw_Data!A132</f>
        <v>11 Jan 2025 18:48:58</v>
      </c>
      <c r="B126" s="12" t="str">
        <f t="shared" si="1"/>
        <v>January</v>
      </c>
      <c r="C126" s="12">
        <f t="shared" si="2"/>
        <v>1</v>
      </c>
      <c r="D126" s="12" t="str">
        <f>IFERROR(__xludf.DUMMYFUNCTION("IFERROR(IF(REGEXMATCH(LOWER(Raw_Data!C132),""fixed deposit|owealth|savings|target""),""Fixed Deposit"",IF(REGEXMATCH(LOWER(Raw_Data!C132),""airtime""),""Airtime"",IF(REGEXMATCH(LOWER(Raw_Data!C132),""electronic money transfer levy""),""Electronic Money Tr"&amp;"ansfer Levy"",IF(REGEXMATCH(LOWER(Raw_Data!C132),""transfer|trf|send""),""Transfer"",""Other"")))),""Other"")"),"Transfer")</f>
        <v>Transfer</v>
      </c>
      <c r="E126" s="20">
        <v>1500.0</v>
      </c>
      <c r="F126" s="20">
        <v>0.0</v>
      </c>
      <c r="G126" s="12" t="str">
        <f t="shared" si="3"/>
        <v>Withdrawal</v>
      </c>
      <c r="H126" s="12" t="str">
        <f>TEXT(Raw_Data!A132,"hh:mm:ss")
</f>
        <v>18:48:58</v>
      </c>
      <c r="I126" s="20">
        <f t="shared" si="4"/>
        <v>1500</v>
      </c>
    </row>
    <row r="127">
      <c r="A127" s="12" t="str">
        <f>Raw_Data!A133</f>
        <v>12 Jan 2025 09:17:13</v>
      </c>
      <c r="B127" s="12" t="str">
        <f t="shared" si="1"/>
        <v>January</v>
      </c>
      <c r="C127" s="12">
        <f t="shared" si="2"/>
        <v>1</v>
      </c>
      <c r="D127" s="12" t="str">
        <f>IFERROR(__xludf.DUMMYFUNCTION("IFERROR(IF(REGEXMATCH(LOWER(Raw_Data!C133),""fixed deposit|owealth|savings|target""),""Fixed Deposit"",IF(REGEXMATCH(LOWER(Raw_Data!C133),""airtime""),""Airtime"",IF(REGEXMATCH(LOWER(Raw_Data!C133),""electronic money transfer levy""),""Electronic Money Tr"&amp;"ansfer Levy"",IF(REGEXMATCH(LOWER(Raw_Data!C133),""transfer|trf|send""),""Transfer"",""Other"")))),""Other"")"),"Transfer")</f>
        <v>Transfer</v>
      </c>
      <c r="E127" s="20">
        <v>200.0</v>
      </c>
      <c r="F127" s="20">
        <v>0.0</v>
      </c>
      <c r="G127" s="12" t="str">
        <f t="shared" si="3"/>
        <v>Withdrawal</v>
      </c>
      <c r="H127" s="12" t="str">
        <f>TEXT(Raw_Data!A133,"hh:mm:ss")
</f>
        <v>09:17:13</v>
      </c>
      <c r="I127" s="20">
        <f t="shared" si="4"/>
        <v>200</v>
      </c>
    </row>
    <row r="128">
      <c r="A128" s="12" t="str">
        <f>Raw_Data!A134</f>
        <v>12 Jan 2025 11:01:06</v>
      </c>
      <c r="B128" s="12" t="str">
        <f t="shared" si="1"/>
        <v>January</v>
      </c>
      <c r="C128" s="12">
        <f t="shared" si="2"/>
        <v>1</v>
      </c>
      <c r="D128" s="12" t="str">
        <f>IFERROR(__xludf.DUMMYFUNCTION("IFERROR(IF(REGEXMATCH(LOWER(Raw_Data!C134),""fixed deposit|owealth|savings|target""),""Fixed Deposit"",IF(REGEXMATCH(LOWER(Raw_Data!C134),""airtime""),""Airtime"",IF(REGEXMATCH(LOWER(Raw_Data!C134),""electronic money transfer levy""),""Electronic Money Tr"&amp;"ansfer Levy"",IF(REGEXMATCH(LOWER(Raw_Data!C134),""transfer|trf|send""),""Transfer"",""Other"")))),""Other"")"),"Transfer")</f>
        <v>Transfer</v>
      </c>
      <c r="E128" s="20">
        <v>1500.0</v>
      </c>
      <c r="F128" s="20">
        <v>0.0</v>
      </c>
      <c r="G128" s="12" t="str">
        <f t="shared" si="3"/>
        <v>Withdrawal</v>
      </c>
      <c r="H128" s="12" t="str">
        <f>TEXT(Raw_Data!A134,"hh:mm:ss")
</f>
        <v>11:01:06</v>
      </c>
      <c r="I128" s="20">
        <f t="shared" si="4"/>
        <v>1500</v>
      </c>
    </row>
    <row r="129">
      <c r="A129" s="12" t="str">
        <f>Raw_Data!A135</f>
        <v>12 Jan 2025 11:04:10</v>
      </c>
      <c r="B129" s="12" t="str">
        <f t="shared" si="1"/>
        <v>January</v>
      </c>
      <c r="C129" s="12">
        <f t="shared" si="2"/>
        <v>1</v>
      </c>
      <c r="D129" s="12" t="str">
        <f>IFERROR(__xludf.DUMMYFUNCTION("IFERROR(IF(REGEXMATCH(LOWER(Raw_Data!C135),""fixed deposit|owealth|savings|target""),""Fixed Deposit"",IF(REGEXMATCH(LOWER(Raw_Data!C135),""airtime""),""Airtime"",IF(REGEXMATCH(LOWER(Raw_Data!C135),""electronic money transfer levy""),""Electronic Money Tr"&amp;"ansfer Levy"",IF(REGEXMATCH(LOWER(Raw_Data!C135),""transfer|trf|send""),""Transfer"",""Other"")))),""Other"")"),"Transfer")</f>
        <v>Transfer</v>
      </c>
      <c r="E129" s="20">
        <v>400.0</v>
      </c>
      <c r="F129" s="20">
        <v>0.0</v>
      </c>
      <c r="G129" s="12" t="str">
        <f t="shared" si="3"/>
        <v>Withdrawal</v>
      </c>
      <c r="H129" s="12" t="str">
        <f>TEXT(Raw_Data!A135,"hh:mm:ss")
</f>
        <v>11:04:10</v>
      </c>
      <c r="I129" s="20">
        <f t="shared" si="4"/>
        <v>400</v>
      </c>
    </row>
    <row r="130">
      <c r="A130" s="12" t="str">
        <f>Raw_Data!A136</f>
        <v>12 Jan 2025 16:17:47</v>
      </c>
      <c r="B130" s="12" t="str">
        <f t="shared" si="1"/>
        <v>January</v>
      </c>
      <c r="C130" s="12">
        <f t="shared" si="2"/>
        <v>1</v>
      </c>
      <c r="D130" s="12" t="str">
        <f>IFERROR(__xludf.DUMMYFUNCTION("IFERROR(IF(REGEXMATCH(LOWER(Raw_Data!C136),""fixed deposit|owealth|savings|target""),""Fixed Deposit"",IF(REGEXMATCH(LOWER(Raw_Data!C136),""airtime""),""Airtime"",IF(REGEXMATCH(LOWER(Raw_Data!C136),""electronic money transfer levy""),""Electronic Money Tr"&amp;"ansfer Levy"",IF(REGEXMATCH(LOWER(Raw_Data!C136),""transfer|trf|send""),""Transfer"",""Other"")))),""Other"")"),"Transfer")</f>
        <v>Transfer</v>
      </c>
      <c r="E130" s="20">
        <v>1700.0</v>
      </c>
      <c r="F130" s="20">
        <v>0.0</v>
      </c>
      <c r="G130" s="12" t="str">
        <f t="shared" si="3"/>
        <v>Withdrawal</v>
      </c>
      <c r="H130" s="12" t="str">
        <f>TEXT(Raw_Data!A136,"hh:mm:ss")
</f>
        <v>16:17:47</v>
      </c>
      <c r="I130" s="20">
        <f t="shared" si="4"/>
        <v>1700</v>
      </c>
    </row>
    <row r="131">
      <c r="A131" s="12" t="str">
        <f>Raw_Data!A137</f>
        <v>12 Jan 2025 19:32:40</v>
      </c>
      <c r="B131" s="12" t="str">
        <f t="shared" si="1"/>
        <v>January</v>
      </c>
      <c r="C131" s="12">
        <f t="shared" si="2"/>
        <v>1</v>
      </c>
      <c r="D131" s="12" t="str">
        <f>IFERROR(__xludf.DUMMYFUNCTION("IFERROR(IF(REGEXMATCH(LOWER(Raw_Data!C137),""fixed deposit|owealth|savings|target""),""Fixed Deposit"",IF(REGEXMATCH(LOWER(Raw_Data!C137),""airtime""),""Airtime"",IF(REGEXMATCH(LOWER(Raw_Data!C137),""electronic money transfer levy""),""Electronic Money Tr"&amp;"ansfer Levy"",IF(REGEXMATCH(LOWER(Raw_Data!C137),""transfer|trf|send""),""Transfer"",""Other"")))),""Other"")"),"Transfer")</f>
        <v>Transfer</v>
      </c>
      <c r="E131" s="20">
        <v>650.0</v>
      </c>
      <c r="F131" s="20">
        <v>0.0</v>
      </c>
      <c r="G131" s="12" t="str">
        <f t="shared" si="3"/>
        <v>Withdrawal</v>
      </c>
      <c r="H131" s="12" t="str">
        <f>TEXT(Raw_Data!A137,"hh:mm:ss")
</f>
        <v>19:32:40</v>
      </c>
      <c r="I131" s="20">
        <f t="shared" si="4"/>
        <v>650</v>
      </c>
    </row>
    <row r="132">
      <c r="A132" s="12" t="str">
        <f>Raw_Data!A138</f>
        <v>12 Jan 2025 19:33:06</v>
      </c>
      <c r="B132" s="12" t="str">
        <f t="shared" si="1"/>
        <v>January</v>
      </c>
      <c r="C132" s="12">
        <f t="shared" si="2"/>
        <v>1</v>
      </c>
      <c r="D132" s="12" t="str">
        <f>IFERROR(__xludf.DUMMYFUNCTION("IFERROR(IF(REGEXMATCH(LOWER(Raw_Data!C138),""fixed deposit|owealth|savings|target""),""Fixed Deposit"",IF(REGEXMATCH(LOWER(Raw_Data!C138),""airtime""),""Airtime"",IF(REGEXMATCH(LOWER(Raw_Data!C138),""electronic money transfer levy""),""Electronic Money Tr"&amp;"ansfer Levy"",IF(REGEXMATCH(LOWER(Raw_Data!C138),""transfer|trf|send""),""Transfer"",""Other"")))),""Other"")"),"Transfer")</f>
        <v>Transfer</v>
      </c>
      <c r="E132" s="20">
        <v>110.0</v>
      </c>
      <c r="F132" s="20">
        <v>0.0</v>
      </c>
      <c r="G132" s="12" t="str">
        <f t="shared" si="3"/>
        <v>Withdrawal</v>
      </c>
      <c r="H132" s="12" t="str">
        <f>TEXT(Raw_Data!A138,"hh:mm:ss")
</f>
        <v>19:33:06</v>
      </c>
      <c r="I132" s="20">
        <f t="shared" si="4"/>
        <v>110</v>
      </c>
    </row>
    <row r="133">
      <c r="A133" s="12" t="str">
        <f>Raw_Data!A139</f>
        <v>12 Jan 2025 19:48:07</v>
      </c>
      <c r="B133" s="12" t="str">
        <f t="shared" si="1"/>
        <v>January</v>
      </c>
      <c r="C133" s="12">
        <f t="shared" si="2"/>
        <v>1</v>
      </c>
      <c r="D133" s="12" t="str">
        <f>IFERROR(__xludf.DUMMYFUNCTION("IFERROR(IF(REGEXMATCH(LOWER(Raw_Data!C139),""fixed deposit|owealth|savings|target""),""Fixed Deposit"",IF(REGEXMATCH(LOWER(Raw_Data!C139),""airtime""),""Airtime"",IF(REGEXMATCH(LOWER(Raw_Data!C139),""electronic money transfer levy""),""Electronic Money Tr"&amp;"ansfer Levy"",IF(REGEXMATCH(LOWER(Raw_Data!C139),""transfer|trf|send""),""Transfer"",""Other"")))),""Other"")"),"Transfer")</f>
        <v>Transfer</v>
      </c>
      <c r="E133" s="20">
        <v>460.0</v>
      </c>
      <c r="F133" s="20">
        <v>0.0</v>
      </c>
      <c r="G133" s="12" t="str">
        <f t="shared" si="3"/>
        <v>Withdrawal</v>
      </c>
      <c r="H133" s="12" t="str">
        <f>TEXT(Raw_Data!A139,"hh:mm:ss")
</f>
        <v>19:48:07</v>
      </c>
      <c r="I133" s="20">
        <f t="shared" si="4"/>
        <v>460</v>
      </c>
    </row>
    <row r="134">
      <c r="A134" s="12" t="str">
        <f>Raw_Data!A140</f>
        <v>13 Jan 2025 10:27:25</v>
      </c>
      <c r="B134" s="12" t="str">
        <f t="shared" si="1"/>
        <v>January</v>
      </c>
      <c r="C134" s="12">
        <f t="shared" si="2"/>
        <v>1</v>
      </c>
      <c r="D134" s="12" t="str">
        <f>IFERROR(__xludf.DUMMYFUNCTION("IFERROR(IF(REGEXMATCH(LOWER(Raw_Data!C140),""fixed deposit|owealth|savings|target""),""Fixed Deposit"",IF(REGEXMATCH(LOWER(Raw_Data!C140),""airtime""),""Airtime"",IF(REGEXMATCH(LOWER(Raw_Data!C140),""electronic money transfer levy""),""Electronic Money Tr"&amp;"ansfer Levy"",IF(REGEXMATCH(LOWER(Raw_Data!C140),""transfer|trf|send""),""Transfer"",""Other"")))),""Other"")"),"Transfer")</f>
        <v>Transfer</v>
      </c>
      <c r="E134" s="20">
        <v>1900.0</v>
      </c>
      <c r="F134" s="20">
        <v>0.0</v>
      </c>
      <c r="G134" s="12" t="str">
        <f t="shared" si="3"/>
        <v>Withdrawal</v>
      </c>
      <c r="H134" s="12" t="str">
        <f>TEXT(Raw_Data!A140,"hh:mm:ss")
</f>
        <v>10:27:25</v>
      </c>
      <c r="I134" s="20">
        <f t="shared" si="4"/>
        <v>1900</v>
      </c>
    </row>
    <row r="135">
      <c r="A135" s="12" t="str">
        <f>Raw_Data!A141</f>
        <v>13 Jan 2025 15:03:38</v>
      </c>
      <c r="B135" s="12" t="str">
        <f t="shared" si="1"/>
        <v>January</v>
      </c>
      <c r="C135" s="12">
        <f t="shared" si="2"/>
        <v>1</v>
      </c>
      <c r="D135" s="12" t="str">
        <f>IFERROR(__xludf.DUMMYFUNCTION("IFERROR(IF(REGEXMATCH(LOWER(Raw_Data!C141),""fixed deposit|owealth|savings|target""),""Fixed Deposit"",IF(REGEXMATCH(LOWER(Raw_Data!C141),""airtime""),""Airtime"",IF(REGEXMATCH(LOWER(Raw_Data!C141),""electronic money transfer levy""),""Electronic Money Tr"&amp;"ansfer Levy"",IF(REGEXMATCH(LOWER(Raw_Data!C141),""transfer|trf|send""),""Transfer"",""Other"")))),""Other"")"),"Transfer")</f>
        <v>Transfer</v>
      </c>
      <c r="E135" s="20">
        <v>1050.0</v>
      </c>
      <c r="F135" s="20">
        <v>0.0</v>
      </c>
      <c r="G135" s="12" t="str">
        <f t="shared" si="3"/>
        <v>Withdrawal</v>
      </c>
      <c r="H135" s="12" t="str">
        <f>TEXT(Raw_Data!A141,"hh:mm:ss")
</f>
        <v>15:03:38</v>
      </c>
      <c r="I135" s="20">
        <f t="shared" si="4"/>
        <v>1050</v>
      </c>
    </row>
    <row r="136">
      <c r="A136" s="12" t="str">
        <f>Raw_Data!A142</f>
        <v>13 Jan 2025 17:56:18</v>
      </c>
      <c r="B136" s="12" t="str">
        <f t="shared" si="1"/>
        <v>January</v>
      </c>
      <c r="C136" s="12">
        <f t="shared" si="2"/>
        <v>1</v>
      </c>
      <c r="D136" s="12" t="str">
        <f>IFERROR(__xludf.DUMMYFUNCTION("IFERROR(IF(REGEXMATCH(LOWER(Raw_Data!C142),""fixed deposit|owealth|savings|target""),""Fixed Deposit"",IF(REGEXMATCH(LOWER(Raw_Data!C142),""airtime""),""Airtime"",IF(REGEXMATCH(LOWER(Raw_Data!C142),""electronic money transfer levy""),""Electronic Money Tr"&amp;"ansfer Levy"",IF(REGEXMATCH(LOWER(Raw_Data!C142),""transfer|trf|send""),""Transfer"",""Other"")))),""Other"")"),"Transfer")</f>
        <v>Transfer</v>
      </c>
      <c r="E136" s="20">
        <v>1000.0</v>
      </c>
      <c r="F136" s="20">
        <v>0.0</v>
      </c>
      <c r="G136" s="12" t="str">
        <f t="shared" si="3"/>
        <v>Withdrawal</v>
      </c>
      <c r="H136" s="12" t="str">
        <f>TEXT(Raw_Data!A142,"hh:mm:ss")
</f>
        <v>17:56:18</v>
      </c>
      <c r="I136" s="20">
        <f t="shared" si="4"/>
        <v>1000</v>
      </c>
    </row>
    <row r="137">
      <c r="A137" s="12" t="str">
        <f>Raw_Data!A143</f>
        <v>14 Jan 2025 06:38:06</v>
      </c>
      <c r="B137" s="12" t="str">
        <f t="shared" si="1"/>
        <v>January</v>
      </c>
      <c r="C137" s="12">
        <f t="shared" si="2"/>
        <v>1</v>
      </c>
      <c r="D137" s="12" t="str">
        <f>IFERROR(__xludf.DUMMYFUNCTION("IFERROR(IF(REGEXMATCH(LOWER(Raw_Data!C143),""fixed deposit|owealth|savings|target""),""Fixed Deposit"",IF(REGEXMATCH(LOWER(Raw_Data!C143),""airtime""),""Airtime"",IF(REGEXMATCH(LOWER(Raw_Data!C143),""electronic money transfer levy""),""Electronic Money Tr"&amp;"ansfer Levy"",IF(REGEXMATCH(LOWER(Raw_Data!C143),""transfer|trf|send""),""Transfer"",""Other"")))),""Other"")"),"Transfer")</f>
        <v>Transfer</v>
      </c>
      <c r="E137" s="20">
        <v>0.0</v>
      </c>
      <c r="F137" s="20">
        <v>82811.0</v>
      </c>
      <c r="G137" s="12" t="str">
        <f t="shared" si="3"/>
        <v>Deposit</v>
      </c>
      <c r="H137" s="12" t="str">
        <f>TEXT(Raw_Data!A143,"hh:mm:ss")
</f>
        <v>06:38:06</v>
      </c>
      <c r="I137" s="20">
        <f t="shared" si="4"/>
        <v>82811</v>
      </c>
    </row>
    <row r="138">
      <c r="A138" s="12" t="str">
        <f>Raw_Data!A144</f>
        <v>14 Jan 2025 06:38:12</v>
      </c>
      <c r="B138" s="12" t="str">
        <f t="shared" si="1"/>
        <v>January</v>
      </c>
      <c r="C138" s="12">
        <f t="shared" si="2"/>
        <v>1</v>
      </c>
      <c r="D138" s="12" t="str">
        <f>IFERROR(__xludf.DUMMYFUNCTION("IFERROR(IF(REGEXMATCH(LOWER(Raw_Data!C144),""fixed deposit|owealth|savings|target""),""Fixed Deposit"",IF(REGEXMATCH(LOWER(Raw_Data!C144),""airtime""),""Airtime"",IF(REGEXMATCH(LOWER(Raw_Data!C144),""electronic money transfer levy""),""Electronic Money Tr"&amp;"ansfer Levy"",IF(REGEXMATCH(LOWER(Raw_Data!C144),""transfer|trf|send""),""Transfer"",""Other"")))),""Other"")"),"Electronic Money Transfer Levy")</f>
        <v>Electronic Money Transfer Levy</v>
      </c>
      <c r="E138" s="20">
        <v>50.0</v>
      </c>
      <c r="F138" s="20">
        <v>0.0</v>
      </c>
      <c r="G138" s="12" t="str">
        <f t="shared" si="3"/>
        <v>Withdrawal</v>
      </c>
      <c r="H138" s="12" t="str">
        <f>TEXT(Raw_Data!A144,"hh:mm:ss")
</f>
        <v>06:38:12</v>
      </c>
      <c r="I138" s="20">
        <f t="shared" si="4"/>
        <v>50</v>
      </c>
    </row>
    <row r="139">
      <c r="A139" s="12" t="str">
        <f>Raw_Data!A145</f>
        <v>14 Jan 2025 06:41:51</v>
      </c>
      <c r="B139" s="12" t="str">
        <f t="shared" si="1"/>
        <v>January</v>
      </c>
      <c r="C139" s="12">
        <f t="shared" si="2"/>
        <v>1</v>
      </c>
      <c r="D139" s="12" t="str">
        <f>IFERROR(__xludf.DUMMYFUNCTION("IFERROR(IF(REGEXMATCH(LOWER(Raw_Data!C145),""fixed deposit|owealth|savings|target""),""Fixed Deposit"",IF(REGEXMATCH(LOWER(Raw_Data!C145),""airtime""),""Airtime"",IF(REGEXMATCH(LOWER(Raw_Data!C145),""electronic money transfer levy""),""Electronic Money Tr"&amp;"ansfer Levy"",IF(REGEXMATCH(LOWER(Raw_Data!C145),""transfer|trf|send""),""Transfer"",""Other"")))),""Other"")"),"Transfer")</f>
        <v>Transfer</v>
      </c>
      <c r="E139" s="20">
        <v>82800.0</v>
      </c>
      <c r="F139" s="20">
        <v>0.0</v>
      </c>
      <c r="G139" s="12" t="str">
        <f t="shared" si="3"/>
        <v>Withdrawal</v>
      </c>
      <c r="H139" s="12" t="str">
        <f>TEXT(Raw_Data!A145,"hh:mm:ss")
</f>
        <v>06:41:51</v>
      </c>
      <c r="I139" s="20">
        <f t="shared" si="4"/>
        <v>82800</v>
      </c>
    </row>
    <row r="140">
      <c r="A140" s="12" t="str">
        <f>Raw_Data!A146</f>
        <v>14 Jan 2025 09:41:55</v>
      </c>
      <c r="B140" s="12" t="str">
        <f t="shared" si="1"/>
        <v>January</v>
      </c>
      <c r="C140" s="12">
        <f t="shared" si="2"/>
        <v>1</v>
      </c>
      <c r="D140" s="12" t="str">
        <f>IFERROR(__xludf.DUMMYFUNCTION("IFERROR(IF(REGEXMATCH(LOWER(Raw_Data!C146),""fixed deposit|owealth|savings|target""),""Fixed Deposit"",IF(REGEXMATCH(LOWER(Raw_Data!C146),""airtime""),""Airtime"",IF(REGEXMATCH(LOWER(Raw_Data!C146),""electronic money transfer levy""),""Electronic Money Tr"&amp;"ansfer Levy"",IF(REGEXMATCH(LOWER(Raw_Data!C146),""transfer|trf|send""),""Transfer"",""Other"")))),""Other"")"),"Airtime")</f>
        <v>Airtime</v>
      </c>
      <c r="E140" s="20">
        <v>400.0</v>
      </c>
      <c r="F140" s="20">
        <v>0.0</v>
      </c>
      <c r="G140" s="12" t="str">
        <f t="shared" si="3"/>
        <v>Withdrawal</v>
      </c>
      <c r="H140" s="12" t="str">
        <f>TEXT(Raw_Data!A146,"hh:mm:ss")
</f>
        <v>09:41:55</v>
      </c>
      <c r="I140" s="20">
        <f t="shared" si="4"/>
        <v>400</v>
      </c>
    </row>
    <row r="141">
      <c r="A141" s="12" t="str">
        <f>Raw_Data!A147</f>
        <v>14 Jan 2025 12:25:40</v>
      </c>
      <c r="B141" s="12" t="str">
        <f t="shared" si="1"/>
        <v>January</v>
      </c>
      <c r="C141" s="12">
        <f t="shared" si="2"/>
        <v>1</v>
      </c>
      <c r="D141" s="12" t="str">
        <f>IFERROR(__xludf.DUMMYFUNCTION("IFERROR(IF(REGEXMATCH(LOWER(Raw_Data!C147),""fixed deposit|owealth|savings|target""),""Fixed Deposit"",IF(REGEXMATCH(LOWER(Raw_Data!C147),""airtime""),""Airtime"",IF(REGEXMATCH(LOWER(Raw_Data!C147),""electronic money transfer levy""),""Electronic Money Tr"&amp;"ansfer Levy"",IF(REGEXMATCH(LOWER(Raw_Data!C147),""transfer|trf|send""),""Transfer"",""Other"")))),""Other"")"),"Transfer")</f>
        <v>Transfer</v>
      </c>
      <c r="E141" s="20">
        <v>0.0</v>
      </c>
      <c r="F141" s="20">
        <v>1000.0</v>
      </c>
      <c r="G141" s="12" t="str">
        <f t="shared" si="3"/>
        <v>Deposit</v>
      </c>
      <c r="H141" s="12" t="str">
        <f>TEXT(Raw_Data!A147,"hh:mm:ss")
</f>
        <v>12:25:40</v>
      </c>
      <c r="I141" s="20">
        <f t="shared" si="4"/>
        <v>1000</v>
      </c>
    </row>
    <row r="142">
      <c r="A142" s="12" t="str">
        <f>Raw_Data!A148</f>
        <v>14 Jan 2025 12:36:29</v>
      </c>
      <c r="B142" s="12" t="str">
        <f t="shared" si="1"/>
        <v>January</v>
      </c>
      <c r="C142" s="12">
        <f t="shared" si="2"/>
        <v>1</v>
      </c>
      <c r="D142" s="12" t="str">
        <f>IFERROR(__xludf.DUMMYFUNCTION("IFERROR(IF(REGEXMATCH(LOWER(Raw_Data!C148),""fixed deposit|owealth|savings|target""),""Fixed Deposit"",IF(REGEXMATCH(LOWER(Raw_Data!C148),""airtime""),""Airtime"",IF(REGEXMATCH(LOWER(Raw_Data!C148),""electronic money transfer levy""),""Electronic Money Tr"&amp;"ansfer Levy"",IF(REGEXMATCH(LOWER(Raw_Data!C148),""transfer|trf|send""),""Transfer"",""Other"")))),""Other"")"),"Transfer")</f>
        <v>Transfer</v>
      </c>
      <c r="E142" s="20">
        <v>600.0</v>
      </c>
      <c r="F142" s="20">
        <v>0.0</v>
      </c>
      <c r="G142" s="12" t="str">
        <f t="shared" si="3"/>
        <v>Withdrawal</v>
      </c>
      <c r="H142" s="12" t="str">
        <f>TEXT(Raw_Data!A148,"hh:mm:ss")
</f>
        <v>12:36:29</v>
      </c>
      <c r="I142" s="20">
        <f t="shared" si="4"/>
        <v>600</v>
      </c>
    </row>
    <row r="143">
      <c r="A143" s="12" t="str">
        <f>Raw_Data!A149</f>
        <v>14 Jan 2025 12:37:56</v>
      </c>
      <c r="B143" s="12" t="str">
        <f t="shared" si="1"/>
        <v>January</v>
      </c>
      <c r="C143" s="12">
        <f t="shared" si="2"/>
        <v>1</v>
      </c>
      <c r="D143" s="12" t="str">
        <f>IFERROR(__xludf.DUMMYFUNCTION("IFERROR(IF(REGEXMATCH(LOWER(Raw_Data!C149),""fixed deposit|owealth|savings|target""),""Fixed Deposit"",IF(REGEXMATCH(LOWER(Raw_Data!C149),""airtime""),""Airtime"",IF(REGEXMATCH(LOWER(Raw_Data!C149),""electronic money transfer levy""),""Electronic Money Tr"&amp;"ansfer Levy"",IF(REGEXMATCH(LOWER(Raw_Data!C149),""transfer|trf|send""),""Transfer"",""Other"")))),""Other"")"),"Transfer")</f>
        <v>Transfer</v>
      </c>
      <c r="E143" s="20">
        <v>600.0</v>
      </c>
      <c r="F143" s="20">
        <v>0.0</v>
      </c>
      <c r="G143" s="12" t="str">
        <f t="shared" si="3"/>
        <v>Withdrawal</v>
      </c>
      <c r="H143" s="12" t="str">
        <f>TEXT(Raw_Data!A149,"hh:mm:ss")
</f>
        <v>12:37:56</v>
      </c>
      <c r="I143" s="20">
        <f t="shared" si="4"/>
        <v>600</v>
      </c>
    </row>
    <row r="144">
      <c r="A144" s="12" t="str">
        <f>Raw_Data!A150</f>
        <v>14 Jan 2025 18:35:33</v>
      </c>
      <c r="B144" s="12" t="str">
        <f t="shared" si="1"/>
        <v>January</v>
      </c>
      <c r="C144" s="12">
        <f t="shared" si="2"/>
        <v>1</v>
      </c>
      <c r="D144" s="12" t="str">
        <f>IFERROR(__xludf.DUMMYFUNCTION("IFERROR(IF(REGEXMATCH(LOWER(Raw_Data!C150),""fixed deposit|owealth|savings|target""),""Fixed Deposit"",IF(REGEXMATCH(LOWER(Raw_Data!C150),""airtime""),""Airtime"",IF(REGEXMATCH(LOWER(Raw_Data!C150),""electronic money transfer levy""),""Electronic Money Tr"&amp;"ansfer Levy"",IF(REGEXMATCH(LOWER(Raw_Data!C150),""transfer|trf|send""),""Transfer"",""Other"")))),""Other"")"),"Transfer")</f>
        <v>Transfer</v>
      </c>
      <c r="E144" s="20">
        <v>200.0</v>
      </c>
      <c r="F144" s="20">
        <v>0.0</v>
      </c>
      <c r="G144" s="12" t="str">
        <f t="shared" si="3"/>
        <v>Withdrawal</v>
      </c>
      <c r="H144" s="12" t="str">
        <f>TEXT(Raw_Data!A150,"hh:mm:ss")
</f>
        <v>18:35:33</v>
      </c>
      <c r="I144" s="20">
        <f t="shared" si="4"/>
        <v>200</v>
      </c>
    </row>
    <row r="145">
      <c r="A145" s="12" t="str">
        <f>Raw_Data!A151</f>
        <v>14 Jan 2025 19:53:22</v>
      </c>
      <c r="B145" s="12" t="str">
        <f t="shared" si="1"/>
        <v>January</v>
      </c>
      <c r="C145" s="12">
        <f t="shared" si="2"/>
        <v>1</v>
      </c>
      <c r="D145" s="12" t="str">
        <f>IFERROR(__xludf.DUMMYFUNCTION("IFERROR(IF(REGEXMATCH(LOWER(Raw_Data!C151),""fixed deposit|owealth|savings|target""),""Fixed Deposit"",IF(REGEXMATCH(LOWER(Raw_Data!C151),""airtime""),""Airtime"",IF(REGEXMATCH(LOWER(Raw_Data!C151),""electronic money transfer levy""),""Electronic Money Tr"&amp;"ansfer Levy"",IF(REGEXMATCH(LOWER(Raw_Data!C151),""transfer|trf|send""),""Transfer"",""Other"")))),""Other"")"),"Transfer")</f>
        <v>Transfer</v>
      </c>
      <c r="E145" s="20">
        <v>0.0</v>
      </c>
      <c r="F145" s="20">
        <v>20000.0</v>
      </c>
      <c r="G145" s="12" t="str">
        <f t="shared" si="3"/>
        <v>Deposit</v>
      </c>
      <c r="H145" s="12" t="str">
        <f>TEXT(Raw_Data!A151,"hh:mm:ss")
</f>
        <v>19:53:22</v>
      </c>
      <c r="I145" s="20">
        <f t="shared" si="4"/>
        <v>20000</v>
      </c>
    </row>
    <row r="146">
      <c r="A146" s="12" t="str">
        <f>Raw_Data!A152</f>
        <v>14 Jan 2025 19:53:27</v>
      </c>
      <c r="B146" s="12" t="str">
        <f t="shared" si="1"/>
        <v>January</v>
      </c>
      <c r="C146" s="12">
        <f t="shared" si="2"/>
        <v>1</v>
      </c>
      <c r="D146" s="12" t="str">
        <f>IFERROR(__xludf.DUMMYFUNCTION("IFERROR(IF(REGEXMATCH(LOWER(Raw_Data!C152),""fixed deposit|owealth|savings|target""),""Fixed Deposit"",IF(REGEXMATCH(LOWER(Raw_Data!C152),""airtime""),""Airtime"",IF(REGEXMATCH(LOWER(Raw_Data!C152),""electronic money transfer levy""),""Electronic Money Tr"&amp;"ansfer Levy"",IF(REGEXMATCH(LOWER(Raw_Data!C152),""transfer|trf|send""),""Transfer"",""Other"")))),""Other"")"),"Electronic Money Transfer Levy")</f>
        <v>Electronic Money Transfer Levy</v>
      </c>
      <c r="E146" s="20">
        <v>50.0</v>
      </c>
      <c r="F146" s="20">
        <v>0.0</v>
      </c>
      <c r="G146" s="12" t="str">
        <f t="shared" si="3"/>
        <v>Withdrawal</v>
      </c>
      <c r="H146" s="12" t="str">
        <f>TEXT(Raw_Data!A152,"hh:mm:ss")
</f>
        <v>19:53:27</v>
      </c>
      <c r="I146" s="20">
        <f t="shared" si="4"/>
        <v>50</v>
      </c>
    </row>
    <row r="147">
      <c r="A147" s="12" t="str">
        <f>Raw_Data!A153</f>
        <v>14 Jan 2025 20:40:17</v>
      </c>
      <c r="B147" s="12" t="str">
        <f t="shared" si="1"/>
        <v>January</v>
      </c>
      <c r="C147" s="12">
        <f t="shared" si="2"/>
        <v>1</v>
      </c>
      <c r="D147" s="12" t="str">
        <f>IFERROR(__xludf.DUMMYFUNCTION("IFERROR(IF(REGEXMATCH(LOWER(Raw_Data!C153),""fixed deposit|owealth|savings|target""),""Fixed Deposit"",IF(REGEXMATCH(LOWER(Raw_Data!C153),""airtime""),""Airtime"",IF(REGEXMATCH(LOWER(Raw_Data!C153),""electronic money transfer levy""),""Electronic Money Tr"&amp;"ansfer Levy"",IF(REGEXMATCH(LOWER(Raw_Data!C153),""transfer|trf|send""),""Transfer"",""Other"")))),""Other"")"),"Transfer")</f>
        <v>Transfer</v>
      </c>
      <c r="E147" s="20">
        <v>20000.0</v>
      </c>
      <c r="F147" s="20">
        <v>0.0</v>
      </c>
      <c r="G147" s="12" t="str">
        <f t="shared" si="3"/>
        <v>Withdrawal</v>
      </c>
      <c r="H147" s="12" t="str">
        <f>TEXT(Raw_Data!A153,"hh:mm:ss")
</f>
        <v>20:40:17</v>
      </c>
      <c r="I147" s="20">
        <f t="shared" si="4"/>
        <v>20000</v>
      </c>
    </row>
    <row r="148">
      <c r="A148" s="12" t="str">
        <f>Raw_Data!A154</f>
        <v>15 Jan 2025 20:05:57</v>
      </c>
      <c r="B148" s="12" t="str">
        <f t="shared" si="1"/>
        <v>January</v>
      </c>
      <c r="C148" s="12">
        <f t="shared" si="2"/>
        <v>1</v>
      </c>
      <c r="D148" s="12" t="str">
        <f>IFERROR(__xludf.DUMMYFUNCTION("IFERROR(IF(REGEXMATCH(LOWER(Raw_Data!C154),""fixed deposit|owealth|savings|target""),""Fixed Deposit"",IF(REGEXMATCH(LOWER(Raw_Data!C154),""airtime""),""Airtime"",IF(REGEXMATCH(LOWER(Raw_Data!C154),""electronic money transfer levy""),""Electronic Money Tr"&amp;"ansfer Levy"",IF(REGEXMATCH(LOWER(Raw_Data!C154),""transfer|trf|send""),""Transfer"",""Other"")))),""Other"")"),"Transfer")</f>
        <v>Transfer</v>
      </c>
      <c r="E148" s="20">
        <v>400.0</v>
      </c>
      <c r="F148" s="20">
        <v>0.0</v>
      </c>
      <c r="G148" s="12" t="str">
        <f t="shared" si="3"/>
        <v>Withdrawal</v>
      </c>
      <c r="H148" s="12" t="str">
        <f>TEXT(Raw_Data!A154,"hh:mm:ss")
</f>
        <v>20:05:57</v>
      </c>
      <c r="I148" s="20">
        <f t="shared" si="4"/>
        <v>400</v>
      </c>
    </row>
    <row r="149">
      <c r="A149" s="12" t="str">
        <f>Raw_Data!A155</f>
        <v>15 Jan 2025 20:19:09</v>
      </c>
      <c r="B149" s="12" t="str">
        <f t="shared" si="1"/>
        <v>January</v>
      </c>
      <c r="C149" s="12">
        <f t="shared" si="2"/>
        <v>1</v>
      </c>
      <c r="D149" s="12" t="str">
        <f>IFERROR(__xludf.DUMMYFUNCTION("IFERROR(IF(REGEXMATCH(LOWER(Raw_Data!C155),""fixed deposit|owealth|savings|target""),""Fixed Deposit"",IF(REGEXMATCH(LOWER(Raw_Data!C155),""airtime""),""Airtime"",IF(REGEXMATCH(LOWER(Raw_Data!C155),""electronic money transfer levy""),""Electronic Money Tr"&amp;"ansfer Levy"",IF(REGEXMATCH(LOWER(Raw_Data!C155),""transfer|trf|send""),""Transfer"",""Other"")))),""Other"")"),"Transfer")</f>
        <v>Transfer</v>
      </c>
      <c r="E149" s="20">
        <v>100.0</v>
      </c>
      <c r="F149" s="20">
        <v>0.0</v>
      </c>
      <c r="G149" s="12" t="str">
        <f t="shared" si="3"/>
        <v>Withdrawal</v>
      </c>
      <c r="H149" s="12" t="str">
        <f>TEXT(Raw_Data!A155,"hh:mm:ss")
</f>
        <v>20:19:09</v>
      </c>
      <c r="I149" s="20">
        <f t="shared" si="4"/>
        <v>100</v>
      </c>
    </row>
    <row r="150">
      <c r="A150" s="12" t="str">
        <f>Raw_Data!A156</f>
        <v>16 Jan 2025 10:59:41</v>
      </c>
      <c r="B150" s="12" t="str">
        <f t="shared" si="1"/>
        <v>January</v>
      </c>
      <c r="C150" s="12">
        <f t="shared" si="2"/>
        <v>1</v>
      </c>
      <c r="D150" s="12" t="str">
        <f>IFERROR(__xludf.DUMMYFUNCTION("IFERROR(IF(REGEXMATCH(LOWER(Raw_Data!C156),""fixed deposit|owealth|savings|target""),""Fixed Deposit"",IF(REGEXMATCH(LOWER(Raw_Data!C156),""airtime""),""Airtime"",IF(REGEXMATCH(LOWER(Raw_Data!C156),""electronic money transfer levy""),""Electronic Money Tr"&amp;"ansfer Levy"",IF(REGEXMATCH(LOWER(Raw_Data!C156),""transfer|trf|send""),""Transfer"",""Other"")))),""Other"")"),"Transfer")</f>
        <v>Transfer</v>
      </c>
      <c r="E150" s="20">
        <v>0.0</v>
      </c>
      <c r="F150" s="20">
        <v>5000.0</v>
      </c>
      <c r="G150" s="12" t="str">
        <f t="shared" si="3"/>
        <v>Deposit</v>
      </c>
      <c r="H150" s="12" t="str">
        <f>TEXT(Raw_Data!A156,"hh:mm:ss")
</f>
        <v>10:59:41</v>
      </c>
      <c r="I150" s="20">
        <f t="shared" si="4"/>
        <v>5000</v>
      </c>
    </row>
    <row r="151">
      <c r="A151" s="12" t="str">
        <f>Raw_Data!A157</f>
        <v>16 Jan 2025 13:24:42</v>
      </c>
      <c r="B151" s="12" t="str">
        <f t="shared" si="1"/>
        <v>January</v>
      </c>
      <c r="C151" s="12">
        <f t="shared" si="2"/>
        <v>1</v>
      </c>
      <c r="D151" s="12" t="str">
        <f>IFERROR(__xludf.DUMMYFUNCTION("IFERROR(IF(REGEXMATCH(LOWER(Raw_Data!C157),""fixed deposit|owealth|savings|target""),""Fixed Deposit"",IF(REGEXMATCH(LOWER(Raw_Data!C157),""airtime""),""Airtime"",IF(REGEXMATCH(LOWER(Raw_Data!C157),""electronic money transfer levy""),""Electronic Money Tr"&amp;"ansfer Levy"",IF(REGEXMATCH(LOWER(Raw_Data!C157),""transfer|trf|send""),""Transfer"",""Other"")))),""Other"")"),"Transfer")</f>
        <v>Transfer</v>
      </c>
      <c r="E151" s="20">
        <v>300.0</v>
      </c>
      <c r="F151" s="20">
        <v>0.0</v>
      </c>
      <c r="G151" s="12" t="str">
        <f t="shared" si="3"/>
        <v>Withdrawal</v>
      </c>
      <c r="H151" s="12" t="str">
        <f>TEXT(Raw_Data!A157,"hh:mm:ss")
</f>
        <v>13:24:42</v>
      </c>
      <c r="I151" s="20">
        <f t="shared" si="4"/>
        <v>300</v>
      </c>
    </row>
    <row r="152">
      <c r="A152" s="12" t="str">
        <f>Raw_Data!A158</f>
        <v>16 Jan 2025 13:44:19</v>
      </c>
      <c r="B152" s="12" t="str">
        <f t="shared" si="1"/>
        <v>January</v>
      </c>
      <c r="C152" s="12">
        <f t="shared" si="2"/>
        <v>1</v>
      </c>
      <c r="D152" s="12" t="str">
        <f>IFERROR(__xludf.DUMMYFUNCTION("IFERROR(IF(REGEXMATCH(LOWER(Raw_Data!C158),""fixed deposit|owealth|savings|target""),""Fixed Deposit"",IF(REGEXMATCH(LOWER(Raw_Data!C158),""airtime""),""Airtime"",IF(REGEXMATCH(LOWER(Raw_Data!C158),""electronic money transfer levy""),""Electronic Money Tr"&amp;"ansfer Levy"",IF(REGEXMATCH(LOWER(Raw_Data!C158),""transfer|trf|send""),""Transfer"",""Other"")))),""Other"")"),"Transfer")</f>
        <v>Transfer</v>
      </c>
      <c r="E152" s="20">
        <v>500.0</v>
      </c>
      <c r="F152" s="20">
        <v>0.0</v>
      </c>
      <c r="G152" s="12" t="str">
        <f t="shared" si="3"/>
        <v>Withdrawal</v>
      </c>
      <c r="H152" s="12" t="str">
        <f>TEXT(Raw_Data!A158,"hh:mm:ss")
</f>
        <v>13:44:19</v>
      </c>
      <c r="I152" s="20">
        <f t="shared" si="4"/>
        <v>500</v>
      </c>
    </row>
    <row r="153">
      <c r="A153" s="12" t="str">
        <f>Raw_Data!A159</f>
        <v>16 Jan 2025 16:36:12</v>
      </c>
      <c r="B153" s="12" t="str">
        <f t="shared" si="1"/>
        <v>January</v>
      </c>
      <c r="C153" s="12">
        <f t="shared" si="2"/>
        <v>1</v>
      </c>
      <c r="D153" s="12" t="str">
        <f>IFERROR(__xludf.DUMMYFUNCTION("IFERROR(IF(REGEXMATCH(LOWER(Raw_Data!C159),""fixed deposit|owealth|savings|target""),""Fixed Deposit"",IF(REGEXMATCH(LOWER(Raw_Data!C159),""airtime""),""Airtime"",IF(REGEXMATCH(LOWER(Raw_Data!C159),""electronic money transfer levy""),""Electronic Money Tr"&amp;"ansfer Levy"",IF(REGEXMATCH(LOWER(Raw_Data!C159),""transfer|trf|send""),""Transfer"",""Other"")))),""Other"")"),"Transfer")</f>
        <v>Transfer</v>
      </c>
      <c r="E153" s="20">
        <v>0.0</v>
      </c>
      <c r="F153" s="20">
        <v>9970.0</v>
      </c>
      <c r="G153" s="12" t="str">
        <f t="shared" si="3"/>
        <v>Deposit</v>
      </c>
      <c r="H153" s="12" t="str">
        <f>TEXT(Raw_Data!A159,"hh:mm:ss")
</f>
        <v>16:36:12</v>
      </c>
      <c r="I153" s="20">
        <f t="shared" si="4"/>
        <v>9970</v>
      </c>
    </row>
    <row r="154">
      <c r="A154" s="12" t="str">
        <f>Raw_Data!A160</f>
        <v>16 Jan 2025 16:37:16</v>
      </c>
      <c r="B154" s="12" t="str">
        <f t="shared" si="1"/>
        <v>January</v>
      </c>
      <c r="C154" s="12">
        <f t="shared" si="2"/>
        <v>1</v>
      </c>
      <c r="D154" s="12" t="str">
        <f>IFERROR(__xludf.DUMMYFUNCTION("IFERROR(IF(REGEXMATCH(LOWER(Raw_Data!C160),""fixed deposit|owealth|savings|target""),""Fixed Deposit"",IF(REGEXMATCH(LOWER(Raw_Data!C160),""airtime""),""Airtime"",IF(REGEXMATCH(LOWER(Raw_Data!C160),""electronic money transfer levy""),""Electronic Money Tr"&amp;"ansfer Levy"",IF(REGEXMATCH(LOWER(Raw_Data!C160),""transfer|trf|send""),""Transfer"",""Other"")))),""Other"")"),"Transfer")</f>
        <v>Transfer</v>
      </c>
      <c r="E154" s="20">
        <v>0.0</v>
      </c>
      <c r="F154" s="20">
        <v>9900.0</v>
      </c>
      <c r="G154" s="12" t="str">
        <f t="shared" si="3"/>
        <v>Deposit</v>
      </c>
      <c r="H154" s="12" t="str">
        <f>TEXT(Raw_Data!A160,"hh:mm:ss")
</f>
        <v>16:37:16</v>
      </c>
      <c r="I154" s="20">
        <f t="shared" si="4"/>
        <v>9900</v>
      </c>
    </row>
    <row r="155">
      <c r="A155" s="12" t="str">
        <f>Raw_Data!A161</f>
        <v>16 Jan 2025 16:38:24</v>
      </c>
      <c r="B155" s="12" t="str">
        <f t="shared" si="1"/>
        <v>January</v>
      </c>
      <c r="C155" s="12">
        <f t="shared" si="2"/>
        <v>1</v>
      </c>
      <c r="D155" s="12" t="str">
        <f>IFERROR(__xludf.DUMMYFUNCTION("IFERROR(IF(REGEXMATCH(LOWER(Raw_Data!C161),""fixed deposit|owealth|savings|target""),""Fixed Deposit"",IF(REGEXMATCH(LOWER(Raw_Data!C161),""airtime""),""Airtime"",IF(REGEXMATCH(LOWER(Raw_Data!C161),""electronic money transfer levy""),""Electronic Money Tr"&amp;"ansfer Levy"",IF(REGEXMATCH(LOWER(Raw_Data!C161),""transfer|trf|send""),""Transfer"",""Other"")))),""Other"")"),"Transfer")</f>
        <v>Transfer</v>
      </c>
      <c r="E155" s="20">
        <v>4700.0</v>
      </c>
      <c r="F155" s="20">
        <v>0.0</v>
      </c>
      <c r="G155" s="12" t="str">
        <f t="shared" si="3"/>
        <v>Withdrawal</v>
      </c>
      <c r="H155" s="12" t="str">
        <f>TEXT(Raw_Data!A161,"hh:mm:ss")
</f>
        <v>16:38:24</v>
      </c>
      <c r="I155" s="20">
        <f t="shared" si="4"/>
        <v>4700</v>
      </c>
    </row>
    <row r="156">
      <c r="A156" s="12" t="str">
        <f>Raw_Data!A162</f>
        <v>16 Jan 2025 16:38:47</v>
      </c>
      <c r="B156" s="12" t="str">
        <f t="shared" si="1"/>
        <v>January</v>
      </c>
      <c r="C156" s="12">
        <f t="shared" si="2"/>
        <v>1</v>
      </c>
      <c r="D156" s="12" t="str">
        <f>IFERROR(__xludf.DUMMYFUNCTION("IFERROR(IF(REGEXMATCH(LOWER(Raw_Data!C162),""fixed deposit|owealth|savings|target""),""Fixed Deposit"",IF(REGEXMATCH(LOWER(Raw_Data!C162),""airtime""),""Airtime"",IF(REGEXMATCH(LOWER(Raw_Data!C162),""electronic money transfer levy""),""Electronic Money Tr"&amp;"ansfer Levy"",IF(REGEXMATCH(LOWER(Raw_Data!C162),""transfer|trf|send""),""Transfer"",""Other"")))),""Other"")"),"Transfer")</f>
        <v>Transfer</v>
      </c>
      <c r="E156" s="20">
        <v>2500.0</v>
      </c>
      <c r="F156" s="20">
        <v>0.0</v>
      </c>
      <c r="G156" s="12" t="str">
        <f t="shared" si="3"/>
        <v>Withdrawal</v>
      </c>
      <c r="H156" s="12" t="str">
        <f>TEXT(Raw_Data!A162,"hh:mm:ss")
</f>
        <v>16:38:47</v>
      </c>
      <c r="I156" s="20">
        <f t="shared" si="4"/>
        <v>2500</v>
      </c>
    </row>
    <row r="157">
      <c r="A157" s="12" t="str">
        <f>Raw_Data!A163</f>
        <v>16 Jan 2025 16:39:13</v>
      </c>
      <c r="B157" s="12" t="str">
        <f t="shared" si="1"/>
        <v>January</v>
      </c>
      <c r="C157" s="12">
        <f t="shared" si="2"/>
        <v>1</v>
      </c>
      <c r="D157" s="12" t="str">
        <f>IFERROR(__xludf.DUMMYFUNCTION("IFERROR(IF(REGEXMATCH(LOWER(Raw_Data!C163),""fixed deposit|owealth|savings|target""),""Fixed Deposit"",IF(REGEXMATCH(LOWER(Raw_Data!C163),""airtime""),""Airtime"",IF(REGEXMATCH(LOWER(Raw_Data!C163),""electronic money transfer levy""),""Electronic Money Tr"&amp;"ansfer Levy"",IF(REGEXMATCH(LOWER(Raw_Data!C163),""transfer|trf|send""),""Transfer"",""Other"")))),""Other"")"),"Transfer")</f>
        <v>Transfer</v>
      </c>
      <c r="E157" s="20">
        <v>2000.0</v>
      </c>
      <c r="F157" s="20">
        <v>0.0</v>
      </c>
      <c r="G157" s="12" t="str">
        <f t="shared" si="3"/>
        <v>Withdrawal</v>
      </c>
      <c r="H157" s="12" t="str">
        <f>TEXT(Raw_Data!A163,"hh:mm:ss")
</f>
        <v>16:39:13</v>
      </c>
      <c r="I157" s="20">
        <f t="shared" si="4"/>
        <v>2000</v>
      </c>
    </row>
    <row r="158">
      <c r="A158" s="12" t="str">
        <f>Raw_Data!A164</f>
        <v>16 Jan 2025 16:39:56</v>
      </c>
      <c r="B158" s="12" t="str">
        <f t="shared" si="1"/>
        <v>January</v>
      </c>
      <c r="C158" s="12">
        <f t="shared" si="2"/>
        <v>1</v>
      </c>
      <c r="D158" s="12" t="str">
        <f>IFERROR(__xludf.DUMMYFUNCTION("IFERROR(IF(REGEXMATCH(LOWER(Raw_Data!C164),""fixed deposit|owealth|savings|target""),""Fixed Deposit"",IF(REGEXMATCH(LOWER(Raw_Data!C164),""airtime""),""Airtime"",IF(REGEXMATCH(LOWER(Raw_Data!C164),""electronic money transfer levy""),""Electronic Money Tr"&amp;"ansfer Levy"",IF(REGEXMATCH(LOWER(Raw_Data!C164),""transfer|trf|send""),""Transfer"",""Other"")))),""Other"")"),"Transfer")</f>
        <v>Transfer</v>
      </c>
      <c r="E158" s="20">
        <v>2000.0</v>
      </c>
      <c r="F158" s="20">
        <v>0.0</v>
      </c>
      <c r="G158" s="12" t="str">
        <f t="shared" si="3"/>
        <v>Withdrawal</v>
      </c>
      <c r="H158" s="12" t="str">
        <f>TEXT(Raw_Data!A164,"hh:mm:ss")
</f>
        <v>16:39:56</v>
      </c>
      <c r="I158" s="20">
        <f t="shared" si="4"/>
        <v>2000</v>
      </c>
    </row>
    <row r="159">
      <c r="A159" s="12" t="str">
        <f>Raw_Data!A165</f>
        <v>16 Jan 2025 16:40:50</v>
      </c>
      <c r="B159" s="12" t="str">
        <f t="shared" si="1"/>
        <v>January</v>
      </c>
      <c r="C159" s="12">
        <f t="shared" si="2"/>
        <v>1</v>
      </c>
      <c r="D159" s="12" t="str">
        <f>IFERROR(__xludf.DUMMYFUNCTION("IFERROR(IF(REGEXMATCH(LOWER(Raw_Data!C165),""fixed deposit|owealth|savings|target""),""Fixed Deposit"",IF(REGEXMATCH(LOWER(Raw_Data!C165),""airtime""),""Airtime"",IF(REGEXMATCH(LOWER(Raw_Data!C165),""electronic money transfer levy""),""Electronic Money Tr"&amp;"ansfer Levy"",IF(REGEXMATCH(LOWER(Raw_Data!C165),""transfer|trf|send""),""Transfer"",""Other"")))),""Other"")"),"Transfer")</f>
        <v>Transfer</v>
      </c>
      <c r="E159" s="20">
        <v>2000.0</v>
      </c>
      <c r="F159" s="20">
        <v>0.0</v>
      </c>
      <c r="G159" s="12" t="str">
        <f t="shared" si="3"/>
        <v>Withdrawal</v>
      </c>
      <c r="H159" s="12" t="str">
        <f>TEXT(Raw_Data!A165,"hh:mm:ss")
</f>
        <v>16:40:50</v>
      </c>
      <c r="I159" s="20">
        <f t="shared" si="4"/>
        <v>2000</v>
      </c>
    </row>
    <row r="160">
      <c r="A160" s="12" t="str">
        <f>Raw_Data!A166</f>
        <v>17 Jan 2025 01:47:59</v>
      </c>
      <c r="B160" s="12" t="str">
        <f t="shared" si="1"/>
        <v>January</v>
      </c>
      <c r="C160" s="12">
        <f t="shared" si="2"/>
        <v>1</v>
      </c>
      <c r="D160" s="12" t="str">
        <f>IFERROR(__xludf.DUMMYFUNCTION("IFERROR(IF(REGEXMATCH(LOWER(Raw_Data!C166),""fixed deposit|owealth|savings|target""),""Fixed Deposit"",IF(REGEXMATCH(LOWER(Raw_Data!C166),""airtime""),""Airtime"",IF(REGEXMATCH(LOWER(Raw_Data!C166),""electronic money transfer levy""),""Electronic Money Tr"&amp;"ansfer Levy"",IF(REGEXMATCH(LOWER(Raw_Data!C166),""transfer|trf|send""),""Transfer"",""Other"")))),""Other"")"),"Transfer")</f>
        <v>Transfer</v>
      </c>
      <c r="E160" s="20">
        <v>1000.0</v>
      </c>
      <c r="F160" s="20">
        <v>0.0</v>
      </c>
      <c r="G160" s="12" t="str">
        <f t="shared" si="3"/>
        <v>Withdrawal</v>
      </c>
      <c r="H160" s="12" t="str">
        <f>TEXT(Raw_Data!A166,"hh:mm:ss")
</f>
        <v>01:47:59</v>
      </c>
      <c r="I160" s="20">
        <f t="shared" si="4"/>
        <v>1000</v>
      </c>
    </row>
    <row r="161">
      <c r="A161" s="12" t="str">
        <f>Raw_Data!A167</f>
        <v>17 Jan 2025 08:50:51</v>
      </c>
      <c r="B161" s="12" t="str">
        <f t="shared" si="1"/>
        <v>January</v>
      </c>
      <c r="C161" s="12">
        <f t="shared" si="2"/>
        <v>1</v>
      </c>
      <c r="D161" s="12" t="str">
        <f>IFERROR(__xludf.DUMMYFUNCTION("IFERROR(IF(REGEXMATCH(LOWER(Raw_Data!C167),""fixed deposit|owealth|savings|target""),""Fixed Deposit"",IF(REGEXMATCH(LOWER(Raw_Data!C167),""airtime""),""Airtime"",IF(REGEXMATCH(LOWER(Raw_Data!C167),""electronic money transfer levy""),""Electronic Money Tr"&amp;"ansfer Levy"",IF(REGEXMATCH(LOWER(Raw_Data!C167),""transfer|trf|send""),""Transfer"",""Other"")))),""Other"")"),"Transfer")</f>
        <v>Transfer</v>
      </c>
      <c r="E161" s="20">
        <v>300.0</v>
      </c>
      <c r="F161" s="20">
        <v>0.0</v>
      </c>
      <c r="G161" s="12" t="str">
        <f t="shared" si="3"/>
        <v>Withdrawal</v>
      </c>
      <c r="H161" s="12" t="str">
        <f>TEXT(Raw_Data!A167,"hh:mm:ss")
</f>
        <v>08:50:51</v>
      </c>
      <c r="I161" s="20">
        <f t="shared" si="4"/>
        <v>300</v>
      </c>
    </row>
    <row r="162">
      <c r="A162" s="12" t="str">
        <f>Raw_Data!A168</f>
        <v>17 Jan 2025 10:41:56</v>
      </c>
      <c r="B162" s="12" t="str">
        <f t="shared" si="1"/>
        <v>January</v>
      </c>
      <c r="C162" s="12">
        <f t="shared" si="2"/>
        <v>1</v>
      </c>
      <c r="D162" s="12" t="str">
        <f>IFERROR(__xludf.DUMMYFUNCTION("IFERROR(IF(REGEXMATCH(LOWER(Raw_Data!C168),""fixed deposit|owealth|savings|target""),""Fixed Deposit"",IF(REGEXMATCH(LOWER(Raw_Data!C168),""airtime""),""Airtime"",IF(REGEXMATCH(LOWER(Raw_Data!C168),""electronic money transfer levy""),""Electronic Money Tr"&amp;"ansfer Levy"",IF(REGEXMATCH(LOWER(Raw_Data!C168),""transfer|trf|send""),""Transfer"",""Other"")))),""Other"")"),"Transfer")</f>
        <v>Transfer</v>
      </c>
      <c r="E162" s="20">
        <v>550.0</v>
      </c>
      <c r="F162" s="20">
        <v>0.0</v>
      </c>
      <c r="G162" s="12" t="str">
        <f t="shared" si="3"/>
        <v>Withdrawal</v>
      </c>
      <c r="H162" s="12" t="str">
        <f>TEXT(Raw_Data!A168,"hh:mm:ss")
</f>
        <v>10:41:56</v>
      </c>
      <c r="I162" s="20">
        <f t="shared" si="4"/>
        <v>550</v>
      </c>
    </row>
    <row r="163">
      <c r="A163" s="12" t="str">
        <f>Raw_Data!A169</f>
        <v>17 Jan 2025 13:06:43</v>
      </c>
      <c r="B163" s="12" t="str">
        <f t="shared" si="1"/>
        <v>January</v>
      </c>
      <c r="C163" s="12">
        <f t="shared" si="2"/>
        <v>1</v>
      </c>
      <c r="D163" s="12" t="str">
        <f>IFERROR(__xludf.DUMMYFUNCTION("IFERROR(IF(REGEXMATCH(LOWER(Raw_Data!C169),""fixed deposit|owealth|savings|target""),""Fixed Deposit"",IF(REGEXMATCH(LOWER(Raw_Data!C169),""airtime""),""Airtime"",IF(REGEXMATCH(LOWER(Raw_Data!C169),""electronic money transfer levy""),""Electronic Money Tr"&amp;"ansfer Levy"",IF(REGEXMATCH(LOWER(Raw_Data!C169),""transfer|trf|send""),""Transfer"",""Other"")))),""Other"")"),"Transfer")</f>
        <v>Transfer</v>
      </c>
      <c r="E163" s="20">
        <v>1000.0</v>
      </c>
      <c r="F163" s="20">
        <v>0.0</v>
      </c>
      <c r="G163" s="12" t="str">
        <f t="shared" si="3"/>
        <v>Withdrawal</v>
      </c>
      <c r="H163" s="12" t="str">
        <f>TEXT(Raw_Data!A169,"hh:mm:ss")
</f>
        <v>13:06:43</v>
      </c>
      <c r="I163" s="20">
        <f t="shared" si="4"/>
        <v>1000</v>
      </c>
    </row>
    <row r="164">
      <c r="A164" s="12" t="str">
        <f>Raw_Data!A170</f>
        <v>17 Jan 2025 13:18:11</v>
      </c>
      <c r="B164" s="12" t="str">
        <f t="shared" si="1"/>
        <v>January</v>
      </c>
      <c r="C164" s="12">
        <f t="shared" si="2"/>
        <v>1</v>
      </c>
      <c r="D164" s="12" t="str">
        <f>IFERROR(__xludf.DUMMYFUNCTION("IFERROR(IF(REGEXMATCH(LOWER(Raw_Data!C170),""fixed deposit|owealth|savings|target""),""Fixed Deposit"",IF(REGEXMATCH(LOWER(Raw_Data!C170),""airtime""),""Airtime"",IF(REGEXMATCH(LOWER(Raw_Data!C170),""electronic money transfer levy""),""Electronic Money Tr"&amp;"ansfer Levy"",IF(REGEXMATCH(LOWER(Raw_Data!C170),""transfer|trf|send""),""Transfer"",""Other"")))),""Other"")"),"Transfer")</f>
        <v>Transfer</v>
      </c>
      <c r="E164" s="20">
        <v>2460.0</v>
      </c>
      <c r="F164" s="20">
        <v>0.0</v>
      </c>
      <c r="G164" s="12" t="str">
        <f t="shared" si="3"/>
        <v>Withdrawal</v>
      </c>
      <c r="H164" s="12" t="str">
        <f>TEXT(Raw_Data!A170,"hh:mm:ss")
</f>
        <v>13:18:11</v>
      </c>
      <c r="I164" s="20">
        <f t="shared" si="4"/>
        <v>2460</v>
      </c>
    </row>
    <row r="165">
      <c r="A165" s="12" t="str">
        <f>Raw_Data!A171</f>
        <v>17 Jan 2025 20:44:49</v>
      </c>
      <c r="B165" s="12" t="str">
        <f t="shared" si="1"/>
        <v>January</v>
      </c>
      <c r="C165" s="12">
        <f t="shared" si="2"/>
        <v>1</v>
      </c>
      <c r="D165" s="12" t="str">
        <f>IFERROR(__xludf.DUMMYFUNCTION("IFERROR(IF(REGEXMATCH(LOWER(Raw_Data!C171),""fixed deposit|owealth|savings|target""),""Fixed Deposit"",IF(REGEXMATCH(LOWER(Raw_Data!C171),""airtime""),""Airtime"",IF(REGEXMATCH(LOWER(Raw_Data!C171),""electronic money transfer levy""),""Electronic Money Tr"&amp;"ansfer Levy"",IF(REGEXMATCH(LOWER(Raw_Data!C171),""transfer|trf|send""),""Transfer"",""Other"")))),""Other"")"),"Transfer")</f>
        <v>Transfer</v>
      </c>
      <c r="E165" s="20">
        <v>1000.0</v>
      </c>
      <c r="F165" s="20">
        <v>0.0</v>
      </c>
      <c r="G165" s="12" t="str">
        <f t="shared" si="3"/>
        <v>Withdrawal</v>
      </c>
      <c r="H165" s="12" t="str">
        <f>TEXT(Raw_Data!A171,"hh:mm:ss")
</f>
        <v>20:44:49</v>
      </c>
      <c r="I165" s="20">
        <f t="shared" si="4"/>
        <v>1000</v>
      </c>
    </row>
    <row r="166">
      <c r="A166" s="12" t="str">
        <f>Raw_Data!A172</f>
        <v>18 Jan 2025 08:20:12</v>
      </c>
      <c r="B166" s="12" t="str">
        <f t="shared" si="1"/>
        <v>January</v>
      </c>
      <c r="C166" s="12">
        <f t="shared" si="2"/>
        <v>1</v>
      </c>
      <c r="D166" s="12" t="str">
        <f>IFERROR(__xludf.DUMMYFUNCTION("IFERROR(IF(REGEXMATCH(LOWER(Raw_Data!C172),""fixed deposit|owealth|savings|target""),""Fixed Deposit"",IF(REGEXMATCH(LOWER(Raw_Data!C172),""airtime""),""Airtime"",IF(REGEXMATCH(LOWER(Raw_Data!C172),""electronic money transfer levy""),""Electronic Money Tr"&amp;"ansfer Levy"",IF(REGEXMATCH(LOWER(Raw_Data!C172),""transfer|trf|send""),""Transfer"",""Other"")))),""Other"")"),"Transfer")</f>
        <v>Transfer</v>
      </c>
      <c r="E166" s="20">
        <v>0.0</v>
      </c>
      <c r="F166" s="20">
        <v>49974.0</v>
      </c>
      <c r="G166" s="12" t="str">
        <f t="shared" si="3"/>
        <v>Deposit</v>
      </c>
      <c r="H166" s="12" t="str">
        <f>TEXT(Raw_Data!A172,"hh:mm:ss")
</f>
        <v>08:20:12</v>
      </c>
      <c r="I166" s="20">
        <f t="shared" si="4"/>
        <v>49974</v>
      </c>
    </row>
    <row r="167">
      <c r="A167" s="12" t="str">
        <f>Raw_Data!A173</f>
        <v>18 Jan 2025 08:20:17</v>
      </c>
      <c r="B167" s="12" t="str">
        <f t="shared" si="1"/>
        <v>January</v>
      </c>
      <c r="C167" s="12">
        <f t="shared" si="2"/>
        <v>1</v>
      </c>
      <c r="D167" s="12" t="str">
        <f>IFERROR(__xludf.DUMMYFUNCTION("IFERROR(IF(REGEXMATCH(LOWER(Raw_Data!C173),""fixed deposit|owealth|savings|target""),""Fixed Deposit"",IF(REGEXMATCH(LOWER(Raw_Data!C173),""airtime""),""Airtime"",IF(REGEXMATCH(LOWER(Raw_Data!C173),""electronic money transfer levy""),""Electronic Money Tr"&amp;"ansfer Levy"",IF(REGEXMATCH(LOWER(Raw_Data!C173),""transfer|trf|send""),""Transfer"",""Other"")))),""Other"")"),"Electronic Money Transfer Levy")</f>
        <v>Electronic Money Transfer Levy</v>
      </c>
      <c r="E167" s="20">
        <v>50.0</v>
      </c>
      <c r="F167" s="20">
        <v>0.0</v>
      </c>
      <c r="G167" s="12" t="str">
        <f t="shared" si="3"/>
        <v>Withdrawal</v>
      </c>
      <c r="H167" s="12" t="str">
        <f>TEXT(Raw_Data!A173,"hh:mm:ss")
</f>
        <v>08:20:17</v>
      </c>
      <c r="I167" s="20">
        <f t="shared" si="4"/>
        <v>50</v>
      </c>
    </row>
    <row r="168">
      <c r="A168" s="12" t="str">
        <f>Raw_Data!A174</f>
        <v>18 Jan 2025 08:25:44</v>
      </c>
      <c r="B168" s="12" t="str">
        <f t="shared" si="1"/>
        <v>January</v>
      </c>
      <c r="C168" s="12">
        <f t="shared" si="2"/>
        <v>1</v>
      </c>
      <c r="D168" s="12" t="str">
        <f>IFERROR(__xludf.DUMMYFUNCTION("IFERROR(IF(REGEXMATCH(LOWER(Raw_Data!C174),""fixed deposit|owealth|savings|target""),""Fixed Deposit"",IF(REGEXMATCH(LOWER(Raw_Data!C174),""airtime""),""Airtime"",IF(REGEXMATCH(LOWER(Raw_Data!C174),""electronic money transfer levy""),""Electronic Money Tr"&amp;"ansfer Levy"",IF(REGEXMATCH(LOWER(Raw_Data!C174),""transfer|trf|send""),""Transfer"",""Other"")))),""Other"")"),"Airtime")</f>
        <v>Airtime</v>
      </c>
      <c r="E168" s="20">
        <v>11000.0</v>
      </c>
      <c r="F168" s="20">
        <v>0.0</v>
      </c>
      <c r="G168" s="12" t="str">
        <f t="shared" si="3"/>
        <v>Withdrawal</v>
      </c>
      <c r="H168" s="12" t="str">
        <f>TEXT(Raw_Data!A174,"hh:mm:ss")
</f>
        <v>08:25:44</v>
      </c>
      <c r="I168" s="20">
        <f t="shared" si="4"/>
        <v>11000</v>
      </c>
    </row>
    <row r="169">
      <c r="A169" s="12" t="str">
        <f>Raw_Data!A175</f>
        <v>18 Jan 2025 08:42:12</v>
      </c>
      <c r="B169" s="12" t="str">
        <f t="shared" si="1"/>
        <v>January</v>
      </c>
      <c r="C169" s="12">
        <f t="shared" si="2"/>
        <v>1</v>
      </c>
      <c r="D169" s="12" t="str">
        <f>IFERROR(__xludf.DUMMYFUNCTION("IFERROR(IF(REGEXMATCH(LOWER(Raw_Data!C175),""fixed deposit|owealth|savings|target""),""Fixed Deposit"",IF(REGEXMATCH(LOWER(Raw_Data!C175),""airtime""),""Airtime"",IF(REGEXMATCH(LOWER(Raw_Data!C175),""electronic money transfer levy""),""Electronic Money Tr"&amp;"ansfer Levy"",IF(REGEXMATCH(LOWER(Raw_Data!C175),""transfer|trf|send""),""Transfer"",""Other"")))),""Other"")"),"Transfer")</f>
        <v>Transfer</v>
      </c>
      <c r="E169" s="20">
        <v>4800.0</v>
      </c>
      <c r="F169" s="20">
        <v>0.0</v>
      </c>
      <c r="G169" s="12" t="str">
        <f t="shared" si="3"/>
        <v>Withdrawal</v>
      </c>
      <c r="H169" s="12" t="str">
        <f>TEXT(Raw_Data!A175,"hh:mm:ss")
</f>
        <v>08:42:12</v>
      </c>
      <c r="I169" s="20">
        <f t="shared" si="4"/>
        <v>4800</v>
      </c>
    </row>
    <row r="170">
      <c r="A170" s="12" t="str">
        <f>Raw_Data!A176</f>
        <v>18 Jan 2025 08:43:52</v>
      </c>
      <c r="B170" s="12" t="str">
        <f t="shared" si="1"/>
        <v>January</v>
      </c>
      <c r="C170" s="12">
        <f t="shared" si="2"/>
        <v>1</v>
      </c>
      <c r="D170" s="12" t="str">
        <f>IFERROR(__xludf.DUMMYFUNCTION("IFERROR(IF(REGEXMATCH(LOWER(Raw_Data!C176),""fixed deposit|owealth|savings|target""),""Fixed Deposit"",IF(REGEXMATCH(LOWER(Raw_Data!C176),""airtime""),""Airtime"",IF(REGEXMATCH(LOWER(Raw_Data!C176),""electronic money transfer levy""),""Electronic Money Tr"&amp;"ansfer Levy"",IF(REGEXMATCH(LOWER(Raw_Data!C176),""transfer|trf|send""),""Transfer"",""Other"")))),""Other"")"),"Transfer")</f>
        <v>Transfer</v>
      </c>
      <c r="E170" s="20">
        <v>2400.0</v>
      </c>
      <c r="F170" s="20">
        <v>0.0</v>
      </c>
      <c r="G170" s="12" t="str">
        <f t="shared" si="3"/>
        <v>Withdrawal</v>
      </c>
      <c r="H170" s="12" t="str">
        <f>TEXT(Raw_Data!A176,"hh:mm:ss")
</f>
        <v>08:43:52</v>
      </c>
      <c r="I170" s="20">
        <f t="shared" si="4"/>
        <v>2400</v>
      </c>
    </row>
    <row r="171">
      <c r="A171" s="12" t="str">
        <f>Raw_Data!A177</f>
        <v>18 Jan 2025 08:50:22</v>
      </c>
      <c r="B171" s="12" t="str">
        <f t="shared" si="1"/>
        <v>January</v>
      </c>
      <c r="C171" s="12">
        <f t="shared" si="2"/>
        <v>1</v>
      </c>
      <c r="D171" s="12" t="str">
        <f>IFERROR(__xludf.DUMMYFUNCTION("IFERROR(IF(REGEXMATCH(LOWER(Raw_Data!C177),""fixed deposit|owealth|savings|target""),""Fixed Deposit"",IF(REGEXMATCH(LOWER(Raw_Data!C177),""airtime""),""Airtime"",IF(REGEXMATCH(LOWER(Raw_Data!C177),""electronic money transfer levy""),""Electronic Money Tr"&amp;"ansfer Levy"",IF(REGEXMATCH(LOWER(Raw_Data!C177),""transfer|trf|send""),""Transfer"",""Other"")))),""Other"")"),"Transfer")</f>
        <v>Transfer</v>
      </c>
      <c r="E171" s="20">
        <v>200.0</v>
      </c>
      <c r="F171" s="20">
        <v>0.0</v>
      </c>
      <c r="G171" s="12" t="str">
        <f t="shared" si="3"/>
        <v>Withdrawal</v>
      </c>
      <c r="H171" s="12" t="str">
        <f>TEXT(Raw_Data!A177,"hh:mm:ss")
</f>
        <v>08:50:22</v>
      </c>
      <c r="I171" s="20">
        <f t="shared" si="4"/>
        <v>200</v>
      </c>
    </row>
    <row r="172">
      <c r="A172" s="12" t="str">
        <f>Raw_Data!A178</f>
        <v>18 Jan 2025 10:26:49</v>
      </c>
      <c r="B172" s="12" t="str">
        <f t="shared" si="1"/>
        <v>January</v>
      </c>
      <c r="C172" s="12">
        <f t="shared" si="2"/>
        <v>1</v>
      </c>
      <c r="D172" s="12" t="str">
        <f>IFERROR(__xludf.DUMMYFUNCTION("IFERROR(IF(REGEXMATCH(LOWER(Raw_Data!C178),""fixed deposit|owealth|savings|target""),""Fixed Deposit"",IF(REGEXMATCH(LOWER(Raw_Data!C178),""airtime""),""Airtime"",IF(REGEXMATCH(LOWER(Raw_Data!C178),""electronic money transfer levy""),""Electronic Money Tr"&amp;"ansfer Levy"",IF(REGEXMATCH(LOWER(Raw_Data!C178),""transfer|trf|send""),""Transfer"",""Other"")))),""Other"")"),"Transfer")</f>
        <v>Transfer</v>
      </c>
      <c r="E172" s="20">
        <v>260.0</v>
      </c>
      <c r="F172" s="20">
        <v>0.0</v>
      </c>
      <c r="G172" s="12" t="str">
        <f t="shared" si="3"/>
        <v>Withdrawal</v>
      </c>
      <c r="H172" s="12" t="str">
        <f>TEXT(Raw_Data!A178,"hh:mm:ss")
</f>
        <v>10:26:49</v>
      </c>
      <c r="I172" s="20">
        <f t="shared" si="4"/>
        <v>260</v>
      </c>
    </row>
    <row r="173">
      <c r="A173" s="12" t="str">
        <f>Raw_Data!A179</f>
        <v>18 Jan 2025 12:10:15</v>
      </c>
      <c r="B173" s="12" t="str">
        <f t="shared" si="1"/>
        <v>January</v>
      </c>
      <c r="C173" s="12">
        <f t="shared" si="2"/>
        <v>1</v>
      </c>
      <c r="D173" s="12" t="str">
        <f>IFERROR(__xludf.DUMMYFUNCTION("IFERROR(IF(REGEXMATCH(LOWER(Raw_Data!C179),""fixed deposit|owealth|savings|target""),""Fixed Deposit"",IF(REGEXMATCH(LOWER(Raw_Data!C179),""airtime""),""Airtime"",IF(REGEXMATCH(LOWER(Raw_Data!C179),""electronic money transfer levy""),""Electronic Money Tr"&amp;"ansfer Levy"",IF(REGEXMATCH(LOWER(Raw_Data!C179),""transfer|trf|send""),""Transfer"",""Other"")))),""Other"")"),"Transfer")</f>
        <v>Transfer</v>
      </c>
      <c r="E173" s="20">
        <v>4600.0</v>
      </c>
      <c r="F173" s="20">
        <v>0.0</v>
      </c>
      <c r="G173" s="12" t="str">
        <f t="shared" si="3"/>
        <v>Withdrawal</v>
      </c>
      <c r="H173" s="12" t="str">
        <f>TEXT(Raw_Data!A179,"hh:mm:ss")
</f>
        <v>12:10:15</v>
      </c>
      <c r="I173" s="20">
        <f t="shared" si="4"/>
        <v>4600</v>
      </c>
    </row>
    <row r="174">
      <c r="A174" s="12" t="str">
        <f>Raw_Data!A180</f>
        <v>18 Jan 2025 19:11:47</v>
      </c>
      <c r="B174" s="12" t="str">
        <f t="shared" si="1"/>
        <v>January</v>
      </c>
      <c r="C174" s="12">
        <f t="shared" si="2"/>
        <v>1</v>
      </c>
      <c r="D174" s="12" t="str">
        <f>IFERROR(__xludf.DUMMYFUNCTION("IFERROR(IF(REGEXMATCH(LOWER(Raw_Data!C180),""fixed deposit|owealth|savings|target""),""Fixed Deposit"",IF(REGEXMATCH(LOWER(Raw_Data!C180),""airtime""),""Airtime"",IF(REGEXMATCH(LOWER(Raw_Data!C180),""electronic money transfer levy""),""Electronic Money Tr"&amp;"ansfer Levy"",IF(REGEXMATCH(LOWER(Raw_Data!C180),""transfer|trf|send""),""Transfer"",""Other"")))),""Other"")"),"Transfer")</f>
        <v>Transfer</v>
      </c>
      <c r="E174" s="20">
        <v>2500.0</v>
      </c>
      <c r="F174" s="20">
        <v>0.0</v>
      </c>
      <c r="G174" s="12" t="str">
        <f t="shared" si="3"/>
        <v>Withdrawal</v>
      </c>
      <c r="H174" s="12" t="str">
        <f>TEXT(Raw_Data!A180,"hh:mm:ss")
</f>
        <v>19:11:47</v>
      </c>
      <c r="I174" s="20">
        <f t="shared" si="4"/>
        <v>2500</v>
      </c>
    </row>
    <row r="175">
      <c r="A175" s="12" t="str">
        <f>Raw_Data!A181</f>
        <v>19 Jan 2025 07:05:13</v>
      </c>
      <c r="B175" s="12" t="str">
        <f t="shared" si="1"/>
        <v>January</v>
      </c>
      <c r="C175" s="12">
        <f t="shared" si="2"/>
        <v>1</v>
      </c>
      <c r="D175" s="12" t="str">
        <f>IFERROR(__xludf.DUMMYFUNCTION("IFERROR(IF(REGEXMATCH(LOWER(Raw_Data!C181),""fixed deposit|owealth|savings|target""),""Fixed Deposit"",IF(REGEXMATCH(LOWER(Raw_Data!C181),""airtime""),""Airtime"",IF(REGEXMATCH(LOWER(Raw_Data!C181),""electronic money transfer levy""),""Electronic Money Tr"&amp;"ansfer Levy"",IF(REGEXMATCH(LOWER(Raw_Data!C181),""transfer|trf|send""),""Transfer"",""Other"")))),""Other"")"),"Transfer")</f>
        <v>Transfer</v>
      </c>
      <c r="E175" s="20">
        <v>200.0</v>
      </c>
      <c r="F175" s="20">
        <v>0.0</v>
      </c>
      <c r="G175" s="12" t="str">
        <f t="shared" si="3"/>
        <v>Withdrawal</v>
      </c>
      <c r="H175" s="12" t="str">
        <f>TEXT(Raw_Data!A181,"hh:mm:ss")
</f>
        <v>07:05:13</v>
      </c>
      <c r="I175" s="20">
        <f t="shared" si="4"/>
        <v>200</v>
      </c>
    </row>
    <row r="176">
      <c r="A176" s="12" t="str">
        <f>Raw_Data!A182</f>
        <v>19 Jan 2025 09:17:12</v>
      </c>
      <c r="B176" s="12" t="str">
        <f t="shared" si="1"/>
        <v>January</v>
      </c>
      <c r="C176" s="12">
        <f t="shared" si="2"/>
        <v>1</v>
      </c>
      <c r="D176" s="12" t="str">
        <f>IFERROR(__xludf.DUMMYFUNCTION("IFERROR(IF(REGEXMATCH(LOWER(Raw_Data!C182),""fixed deposit|owealth|savings|target""),""Fixed Deposit"",IF(REGEXMATCH(LOWER(Raw_Data!C182),""airtime""),""Airtime"",IF(REGEXMATCH(LOWER(Raw_Data!C182),""electronic money transfer levy""),""Electronic Money Tr"&amp;"ansfer Levy"",IF(REGEXMATCH(LOWER(Raw_Data!C182),""transfer|trf|send""),""Transfer"",""Other"")))),""Other"")"),"Transfer")</f>
        <v>Transfer</v>
      </c>
      <c r="E176" s="20">
        <v>1000.0</v>
      </c>
      <c r="F176" s="20">
        <v>0.0</v>
      </c>
      <c r="G176" s="12" t="str">
        <f t="shared" si="3"/>
        <v>Withdrawal</v>
      </c>
      <c r="H176" s="12" t="str">
        <f>TEXT(Raw_Data!A182,"hh:mm:ss")
</f>
        <v>09:17:12</v>
      </c>
      <c r="I176" s="20">
        <f t="shared" si="4"/>
        <v>1000</v>
      </c>
    </row>
    <row r="177">
      <c r="A177" s="12" t="str">
        <f>Raw_Data!A183</f>
        <v>19 Jan 2025 11:28:04</v>
      </c>
      <c r="B177" s="12" t="str">
        <f t="shared" si="1"/>
        <v>January</v>
      </c>
      <c r="C177" s="12">
        <f t="shared" si="2"/>
        <v>1</v>
      </c>
      <c r="D177" s="12" t="str">
        <f>IFERROR(__xludf.DUMMYFUNCTION("IFERROR(IF(REGEXMATCH(LOWER(Raw_Data!C183),""fixed deposit|owealth|savings|target""),""Fixed Deposit"",IF(REGEXMATCH(LOWER(Raw_Data!C183),""airtime""),""Airtime"",IF(REGEXMATCH(LOWER(Raw_Data!C183),""electronic money transfer levy""),""Electronic Money Tr"&amp;"ansfer Levy"",IF(REGEXMATCH(LOWER(Raw_Data!C183),""transfer|trf|send""),""Transfer"",""Other"")))),""Other"")"),"Transfer")</f>
        <v>Transfer</v>
      </c>
      <c r="E177" s="20">
        <v>750.0</v>
      </c>
      <c r="F177" s="20">
        <v>0.0</v>
      </c>
      <c r="G177" s="12" t="str">
        <f t="shared" si="3"/>
        <v>Withdrawal</v>
      </c>
      <c r="H177" s="12" t="str">
        <f>TEXT(Raw_Data!A183,"hh:mm:ss")
</f>
        <v>11:28:04</v>
      </c>
      <c r="I177" s="20">
        <f t="shared" si="4"/>
        <v>750</v>
      </c>
    </row>
    <row r="178">
      <c r="A178" s="12" t="str">
        <f>Raw_Data!A184</f>
        <v>19 Jan 2025 13:02:13</v>
      </c>
      <c r="B178" s="12" t="str">
        <f t="shared" si="1"/>
        <v>January</v>
      </c>
      <c r="C178" s="12">
        <f t="shared" si="2"/>
        <v>1</v>
      </c>
      <c r="D178" s="12" t="str">
        <f>IFERROR(__xludf.DUMMYFUNCTION("IFERROR(IF(REGEXMATCH(LOWER(Raw_Data!C184),""fixed deposit|owealth|savings|target""),""Fixed Deposit"",IF(REGEXMATCH(LOWER(Raw_Data!C184),""airtime""),""Airtime"",IF(REGEXMATCH(LOWER(Raw_Data!C184),""electronic money transfer levy""),""Electronic Money Tr"&amp;"ansfer Levy"",IF(REGEXMATCH(LOWER(Raw_Data!C184),""transfer|trf|send""),""Transfer"",""Other"")))),""Other"")"),"Transfer")</f>
        <v>Transfer</v>
      </c>
      <c r="E178" s="20">
        <v>1000.0</v>
      </c>
      <c r="F178" s="20">
        <v>0.0</v>
      </c>
      <c r="G178" s="12" t="str">
        <f t="shared" si="3"/>
        <v>Withdrawal</v>
      </c>
      <c r="H178" s="12" t="str">
        <f>TEXT(Raw_Data!A184,"hh:mm:ss")
</f>
        <v>13:02:13</v>
      </c>
      <c r="I178" s="20">
        <f t="shared" si="4"/>
        <v>1000</v>
      </c>
    </row>
    <row r="179">
      <c r="A179" s="12" t="str">
        <f>Raw_Data!A185</f>
        <v>19 Jan 2025 13:38:19</v>
      </c>
      <c r="B179" s="12" t="str">
        <f t="shared" si="1"/>
        <v>January</v>
      </c>
      <c r="C179" s="12">
        <f t="shared" si="2"/>
        <v>1</v>
      </c>
      <c r="D179" s="12" t="str">
        <f>IFERROR(__xludf.DUMMYFUNCTION("IFERROR(IF(REGEXMATCH(LOWER(Raw_Data!C185),""fixed deposit|owealth|savings|target""),""Fixed Deposit"",IF(REGEXMATCH(LOWER(Raw_Data!C185),""airtime""),""Airtime"",IF(REGEXMATCH(LOWER(Raw_Data!C185),""electronic money transfer levy""),""Electronic Money Tr"&amp;"ansfer Levy"",IF(REGEXMATCH(LOWER(Raw_Data!C185),""transfer|trf|send""),""Transfer"",""Other"")))),""Other"")"),"Transfer")</f>
        <v>Transfer</v>
      </c>
      <c r="E179" s="20">
        <v>300.0</v>
      </c>
      <c r="F179" s="20">
        <v>0.0</v>
      </c>
      <c r="G179" s="12" t="str">
        <f t="shared" si="3"/>
        <v>Withdrawal</v>
      </c>
      <c r="H179" s="12" t="str">
        <f>TEXT(Raw_Data!A185,"hh:mm:ss")
</f>
        <v>13:38:19</v>
      </c>
      <c r="I179" s="20">
        <f t="shared" si="4"/>
        <v>300</v>
      </c>
    </row>
    <row r="180">
      <c r="A180" s="12" t="str">
        <f>Raw_Data!A186</f>
        <v>19 Jan 2025 16:18:03</v>
      </c>
      <c r="B180" s="12" t="str">
        <f t="shared" si="1"/>
        <v>January</v>
      </c>
      <c r="C180" s="12">
        <f t="shared" si="2"/>
        <v>1</v>
      </c>
      <c r="D180" s="12" t="str">
        <f>IFERROR(__xludf.DUMMYFUNCTION("IFERROR(IF(REGEXMATCH(LOWER(Raw_Data!C186),""fixed deposit|owealth|savings|target""),""Fixed Deposit"",IF(REGEXMATCH(LOWER(Raw_Data!C186),""airtime""),""Airtime"",IF(REGEXMATCH(LOWER(Raw_Data!C186),""electronic money transfer levy""),""Electronic Money Tr"&amp;"ansfer Levy"",IF(REGEXMATCH(LOWER(Raw_Data!C186),""transfer|trf|send""),""Transfer"",""Other"")))),""Other"")"),"Transfer")</f>
        <v>Transfer</v>
      </c>
      <c r="E180" s="20">
        <v>210.0</v>
      </c>
      <c r="F180" s="20">
        <v>0.0</v>
      </c>
      <c r="G180" s="12" t="str">
        <f t="shared" si="3"/>
        <v>Withdrawal</v>
      </c>
      <c r="H180" s="12" t="str">
        <f>TEXT(Raw_Data!A186,"hh:mm:ss")
</f>
        <v>16:18:03</v>
      </c>
      <c r="I180" s="20">
        <f t="shared" si="4"/>
        <v>210</v>
      </c>
    </row>
    <row r="181">
      <c r="A181" s="12" t="str">
        <f>Raw_Data!A187</f>
        <v>19 Jan 2025 19:43:44</v>
      </c>
      <c r="B181" s="12" t="str">
        <f t="shared" si="1"/>
        <v>January</v>
      </c>
      <c r="C181" s="12">
        <f t="shared" si="2"/>
        <v>1</v>
      </c>
      <c r="D181" s="12" t="str">
        <f>IFERROR(__xludf.DUMMYFUNCTION("IFERROR(IF(REGEXMATCH(LOWER(Raw_Data!C187),""fixed deposit|owealth|savings|target""),""Fixed Deposit"",IF(REGEXMATCH(LOWER(Raw_Data!C187),""airtime""),""Airtime"",IF(REGEXMATCH(LOWER(Raw_Data!C187),""electronic money transfer levy""),""Electronic Money Tr"&amp;"ansfer Levy"",IF(REGEXMATCH(LOWER(Raw_Data!C187),""transfer|trf|send""),""Transfer"",""Other"")))),""Other"")"),"Transfer")</f>
        <v>Transfer</v>
      </c>
      <c r="E181" s="20">
        <v>1000.0</v>
      </c>
      <c r="F181" s="20">
        <v>0.0</v>
      </c>
      <c r="G181" s="12" t="str">
        <f t="shared" si="3"/>
        <v>Withdrawal</v>
      </c>
      <c r="H181" s="12" t="str">
        <f>TEXT(Raw_Data!A187,"hh:mm:ss")
</f>
        <v>19:43:44</v>
      </c>
      <c r="I181" s="20">
        <f t="shared" si="4"/>
        <v>1000</v>
      </c>
    </row>
    <row r="182">
      <c r="A182" s="12" t="str">
        <f>Raw_Data!A188</f>
        <v>20 Jan 2025 09:27:51</v>
      </c>
      <c r="B182" s="12" t="str">
        <f t="shared" si="1"/>
        <v>January</v>
      </c>
      <c r="C182" s="12">
        <f t="shared" si="2"/>
        <v>1</v>
      </c>
      <c r="D182" s="12" t="str">
        <f>IFERROR(__xludf.DUMMYFUNCTION("IFERROR(IF(REGEXMATCH(LOWER(Raw_Data!C188),""fixed deposit|owealth|savings|target""),""Fixed Deposit"",IF(REGEXMATCH(LOWER(Raw_Data!C188),""airtime""),""Airtime"",IF(REGEXMATCH(LOWER(Raw_Data!C188),""electronic money transfer levy""),""Electronic Money Tr"&amp;"ansfer Levy"",IF(REGEXMATCH(LOWER(Raw_Data!C188),""transfer|trf|send""),""Transfer"",""Other"")))),""Other"")"),"Transfer")</f>
        <v>Transfer</v>
      </c>
      <c r="E182" s="20">
        <v>0.0</v>
      </c>
      <c r="F182" s="20">
        <v>10000.0</v>
      </c>
      <c r="G182" s="12" t="str">
        <f t="shared" si="3"/>
        <v>Deposit</v>
      </c>
      <c r="H182" s="12" t="str">
        <f>TEXT(Raw_Data!A188,"hh:mm:ss")
</f>
        <v>09:27:51</v>
      </c>
      <c r="I182" s="20">
        <f t="shared" si="4"/>
        <v>10000</v>
      </c>
    </row>
    <row r="183">
      <c r="A183" s="12" t="str">
        <f>Raw_Data!A189</f>
        <v>20 Jan 2025 09:27:56</v>
      </c>
      <c r="B183" s="12" t="str">
        <f t="shared" si="1"/>
        <v>January</v>
      </c>
      <c r="C183" s="12">
        <f t="shared" si="2"/>
        <v>1</v>
      </c>
      <c r="D183" s="12" t="str">
        <f>IFERROR(__xludf.DUMMYFUNCTION("IFERROR(IF(REGEXMATCH(LOWER(Raw_Data!C189),""fixed deposit|owealth|savings|target""),""Fixed Deposit"",IF(REGEXMATCH(LOWER(Raw_Data!C189),""airtime""),""Airtime"",IF(REGEXMATCH(LOWER(Raw_Data!C189),""electronic money transfer levy""),""Electronic Money Tr"&amp;"ansfer Levy"",IF(REGEXMATCH(LOWER(Raw_Data!C189),""transfer|trf|send""),""Transfer"",""Other"")))),""Other"")"),"Electronic Money Transfer Levy")</f>
        <v>Electronic Money Transfer Levy</v>
      </c>
      <c r="E183" s="20">
        <v>50.0</v>
      </c>
      <c r="F183" s="20">
        <v>0.0</v>
      </c>
      <c r="G183" s="12" t="str">
        <f t="shared" si="3"/>
        <v>Withdrawal</v>
      </c>
      <c r="H183" s="12" t="str">
        <f>TEXT(Raw_Data!A189,"hh:mm:ss")
</f>
        <v>09:27:56</v>
      </c>
      <c r="I183" s="20">
        <f t="shared" si="4"/>
        <v>50</v>
      </c>
    </row>
    <row r="184">
      <c r="A184" s="12" t="str">
        <f>Raw_Data!A190</f>
        <v>20 Jan 2025 09:37:35</v>
      </c>
      <c r="B184" s="12" t="str">
        <f t="shared" si="1"/>
        <v>January</v>
      </c>
      <c r="C184" s="12">
        <f t="shared" si="2"/>
        <v>1</v>
      </c>
      <c r="D184" s="12" t="str">
        <f>IFERROR(__xludf.DUMMYFUNCTION("IFERROR(IF(REGEXMATCH(LOWER(Raw_Data!C190),""fixed deposit|owealth|savings|target""),""Fixed Deposit"",IF(REGEXMATCH(LOWER(Raw_Data!C190),""airtime""),""Airtime"",IF(REGEXMATCH(LOWER(Raw_Data!C190),""electronic money transfer levy""),""Electronic Money Tr"&amp;"ansfer Levy"",IF(REGEXMATCH(LOWER(Raw_Data!C190),""transfer|trf|send""),""Transfer"",""Other"")))),""Other"")"),"Transfer")</f>
        <v>Transfer</v>
      </c>
      <c r="E184" s="20">
        <v>3100.0</v>
      </c>
      <c r="F184" s="20">
        <v>0.0</v>
      </c>
      <c r="G184" s="12" t="str">
        <f t="shared" si="3"/>
        <v>Withdrawal</v>
      </c>
      <c r="H184" s="12" t="str">
        <f>TEXT(Raw_Data!A190,"hh:mm:ss")
</f>
        <v>09:37:35</v>
      </c>
      <c r="I184" s="20">
        <f t="shared" si="4"/>
        <v>3100</v>
      </c>
    </row>
    <row r="185">
      <c r="A185" s="12" t="str">
        <f>Raw_Data!A191</f>
        <v>20 Jan 2025 10:07:41</v>
      </c>
      <c r="B185" s="12" t="str">
        <f t="shared" si="1"/>
        <v>January</v>
      </c>
      <c r="C185" s="12">
        <f t="shared" si="2"/>
        <v>1</v>
      </c>
      <c r="D185" s="12" t="str">
        <f>IFERROR(__xludf.DUMMYFUNCTION("IFERROR(IF(REGEXMATCH(LOWER(Raw_Data!C191),""fixed deposit|owealth|savings|target""),""Fixed Deposit"",IF(REGEXMATCH(LOWER(Raw_Data!C191),""airtime""),""Airtime"",IF(REGEXMATCH(LOWER(Raw_Data!C191),""electronic money transfer levy""),""Electronic Money Tr"&amp;"ansfer Levy"",IF(REGEXMATCH(LOWER(Raw_Data!C191),""transfer|trf|send""),""Transfer"",""Other"")))),""Other"")"),"Transfer")</f>
        <v>Transfer</v>
      </c>
      <c r="E185" s="20">
        <v>1000.0</v>
      </c>
      <c r="F185" s="20">
        <v>0.0</v>
      </c>
      <c r="G185" s="12" t="str">
        <f t="shared" si="3"/>
        <v>Withdrawal</v>
      </c>
      <c r="H185" s="12" t="str">
        <f>TEXT(Raw_Data!A191,"hh:mm:ss")
</f>
        <v>10:07:41</v>
      </c>
      <c r="I185" s="20">
        <f t="shared" si="4"/>
        <v>1000</v>
      </c>
    </row>
    <row r="186">
      <c r="A186" s="12" t="str">
        <f>Raw_Data!A192</f>
        <v>20 Jan 2025 10:07:56</v>
      </c>
      <c r="B186" s="12" t="str">
        <f t="shared" si="1"/>
        <v>January</v>
      </c>
      <c r="C186" s="12">
        <f t="shared" si="2"/>
        <v>1</v>
      </c>
      <c r="D186" s="12" t="str">
        <f>IFERROR(__xludf.DUMMYFUNCTION("IFERROR(IF(REGEXMATCH(LOWER(Raw_Data!C192),""fixed deposit|owealth|savings|target""),""Fixed Deposit"",IF(REGEXMATCH(LOWER(Raw_Data!C192),""airtime""),""Airtime"",IF(REGEXMATCH(LOWER(Raw_Data!C192),""electronic money transfer levy""),""Electronic Money Tr"&amp;"ansfer Levy"",IF(REGEXMATCH(LOWER(Raw_Data!C192),""transfer|trf|send""),""Transfer"",""Other"")))),""Other"")"),"Airtime")</f>
        <v>Airtime</v>
      </c>
      <c r="E186" s="20">
        <v>400.0</v>
      </c>
      <c r="F186" s="20">
        <v>0.0</v>
      </c>
      <c r="G186" s="12" t="str">
        <f t="shared" si="3"/>
        <v>Withdrawal</v>
      </c>
      <c r="H186" s="12" t="str">
        <f>TEXT(Raw_Data!A192,"hh:mm:ss")
</f>
        <v>10:07:56</v>
      </c>
      <c r="I186" s="20">
        <f t="shared" si="4"/>
        <v>400</v>
      </c>
    </row>
    <row r="187">
      <c r="A187" s="12" t="str">
        <f>Raw_Data!A193</f>
        <v>20 Jan 2025 10:28:05</v>
      </c>
      <c r="B187" s="12" t="str">
        <f t="shared" si="1"/>
        <v>January</v>
      </c>
      <c r="C187" s="12">
        <f t="shared" si="2"/>
        <v>1</v>
      </c>
      <c r="D187" s="12" t="str">
        <f>IFERROR(__xludf.DUMMYFUNCTION("IFERROR(IF(REGEXMATCH(LOWER(Raw_Data!C193),""fixed deposit|owealth|savings|target""),""Fixed Deposit"",IF(REGEXMATCH(LOWER(Raw_Data!C193),""airtime""),""Airtime"",IF(REGEXMATCH(LOWER(Raw_Data!C193),""electronic money transfer levy""),""Electronic Money Tr"&amp;"ansfer Levy"",IF(REGEXMATCH(LOWER(Raw_Data!C193),""transfer|trf|send""),""Transfer"",""Other"")))),""Other"")"),"Transfer")</f>
        <v>Transfer</v>
      </c>
      <c r="E187" s="20">
        <v>600.0</v>
      </c>
      <c r="F187" s="20">
        <v>0.0</v>
      </c>
      <c r="G187" s="12" t="str">
        <f t="shared" si="3"/>
        <v>Withdrawal</v>
      </c>
      <c r="H187" s="12" t="str">
        <f>TEXT(Raw_Data!A193,"hh:mm:ss")
</f>
        <v>10:28:05</v>
      </c>
      <c r="I187" s="20">
        <f t="shared" si="4"/>
        <v>600</v>
      </c>
    </row>
    <row r="188">
      <c r="A188" s="12" t="str">
        <f>Raw_Data!A194</f>
        <v>20 Jan 2025 13:34:31</v>
      </c>
      <c r="B188" s="12" t="str">
        <f t="shared" si="1"/>
        <v>January</v>
      </c>
      <c r="C188" s="12">
        <f t="shared" si="2"/>
        <v>1</v>
      </c>
      <c r="D188" s="12" t="str">
        <f>IFERROR(__xludf.DUMMYFUNCTION("IFERROR(IF(REGEXMATCH(LOWER(Raw_Data!C194),""fixed deposit|owealth|savings|target""),""Fixed Deposit"",IF(REGEXMATCH(LOWER(Raw_Data!C194),""airtime""),""Airtime"",IF(REGEXMATCH(LOWER(Raw_Data!C194),""electronic money transfer levy""),""Electronic Money Tr"&amp;"ansfer Levy"",IF(REGEXMATCH(LOWER(Raw_Data!C194),""transfer|trf|send""),""Transfer"",""Other"")))),""Other"")"),"Transfer")</f>
        <v>Transfer</v>
      </c>
      <c r="E188" s="20">
        <v>6000.0</v>
      </c>
      <c r="F188" s="20">
        <v>0.0</v>
      </c>
      <c r="G188" s="12" t="str">
        <f t="shared" si="3"/>
        <v>Withdrawal</v>
      </c>
      <c r="H188" s="12" t="str">
        <f>TEXT(Raw_Data!A194,"hh:mm:ss")
</f>
        <v>13:34:31</v>
      </c>
      <c r="I188" s="20">
        <f t="shared" si="4"/>
        <v>6000</v>
      </c>
    </row>
    <row r="189">
      <c r="A189" s="12" t="str">
        <f>Raw_Data!A195</f>
        <v>20 Jan 2025 14:15:45</v>
      </c>
      <c r="B189" s="12" t="str">
        <f t="shared" si="1"/>
        <v>January</v>
      </c>
      <c r="C189" s="12">
        <f t="shared" si="2"/>
        <v>1</v>
      </c>
      <c r="D189" s="12" t="str">
        <f>IFERROR(__xludf.DUMMYFUNCTION("IFERROR(IF(REGEXMATCH(LOWER(Raw_Data!C195),""fixed deposit|owealth|savings|target""),""Fixed Deposit"",IF(REGEXMATCH(LOWER(Raw_Data!C195),""airtime""),""Airtime"",IF(REGEXMATCH(LOWER(Raw_Data!C195),""electronic money transfer levy""),""Electronic Money Tr"&amp;"ansfer Levy"",IF(REGEXMATCH(LOWER(Raw_Data!C195),""transfer|trf|send""),""Transfer"",""Other"")))),""Other"")"),"Transfer")</f>
        <v>Transfer</v>
      </c>
      <c r="E189" s="20">
        <v>1050.0</v>
      </c>
      <c r="F189" s="20">
        <v>0.0</v>
      </c>
      <c r="G189" s="12" t="str">
        <f t="shared" si="3"/>
        <v>Withdrawal</v>
      </c>
      <c r="H189" s="12" t="str">
        <f>TEXT(Raw_Data!A195,"hh:mm:ss")
</f>
        <v>14:15:45</v>
      </c>
      <c r="I189" s="20">
        <f t="shared" si="4"/>
        <v>1050</v>
      </c>
    </row>
    <row r="190">
      <c r="A190" s="12" t="str">
        <f>Raw_Data!A196</f>
        <v>20 Jan 2025 15:41:28</v>
      </c>
      <c r="B190" s="12" t="str">
        <f t="shared" si="1"/>
        <v>January</v>
      </c>
      <c r="C190" s="12">
        <f t="shared" si="2"/>
        <v>1</v>
      </c>
      <c r="D190" s="12" t="str">
        <f>IFERROR(__xludf.DUMMYFUNCTION("IFERROR(IF(REGEXMATCH(LOWER(Raw_Data!C196),""fixed deposit|owealth|savings|target""),""Fixed Deposit"",IF(REGEXMATCH(LOWER(Raw_Data!C196),""airtime""),""Airtime"",IF(REGEXMATCH(LOWER(Raw_Data!C196),""electronic money transfer levy""),""Electronic Money Tr"&amp;"ansfer Levy"",IF(REGEXMATCH(LOWER(Raw_Data!C196),""transfer|trf|send""),""Transfer"",""Other"")))),""Other"")"),"Transfer")</f>
        <v>Transfer</v>
      </c>
      <c r="E190" s="20">
        <v>300.0</v>
      </c>
      <c r="F190" s="20">
        <v>0.0</v>
      </c>
      <c r="G190" s="12" t="str">
        <f t="shared" si="3"/>
        <v>Withdrawal</v>
      </c>
      <c r="H190" s="12" t="str">
        <f>TEXT(Raw_Data!A196,"hh:mm:ss")
</f>
        <v>15:41:28</v>
      </c>
      <c r="I190" s="20">
        <f t="shared" si="4"/>
        <v>300</v>
      </c>
    </row>
    <row r="191">
      <c r="A191" s="12" t="str">
        <f>Raw_Data!A197</f>
        <v>20 Jan 2025 17:24:06</v>
      </c>
      <c r="B191" s="12" t="str">
        <f t="shared" si="1"/>
        <v>January</v>
      </c>
      <c r="C191" s="12">
        <f t="shared" si="2"/>
        <v>1</v>
      </c>
      <c r="D191" s="12" t="str">
        <f>IFERROR(__xludf.DUMMYFUNCTION("IFERROR(IF(REGEXMATCH(LOWER(Raw_Data!C197),""fixed deposit|owealth|savings|target""),""Fixed Deposit"",IF(REGEXMATCH(LOWER(Raw_Data!C197),""airtime""),""Airtime"",IF(REGEXMATCH(LOWER(Raw_Data!C197),""electronic money transfer levy""),""Electronic Money Tr"&amp;"ansfer Levy"",IF(REGEXMATCH(LOWER(Raw_Data!C197),""transfer|trf|send""),""Transfer"",""Other"")))),""Other"")"),"Airtime")</f>
        <v>Airtime</v>
      </c>
      <c r="E191" s="20">
        <v>200.0</v>
      </c>
      <c r="F191" s="20">
        <v>0.0</v>
      </c>
      <c r="G191" s="12" t="str">
        <f t="shared" si="3"/>
        <v>Withdrawal</v>
      </c>
      <c r="H191" s="12" t="str">
        <f>TEXT(Raw_Data!A197,"hh:mm:ss")
</f>
        <v>17:24:06</v>
      </c>
      <c r="I191" s="20">
        <f t="shared" si="4"/>
        <v>200</v>
      </c>
    </row>
    <row r="192">
      <c r="A192" s="12" t="str">
        <f>Raw_Data!A198</f>
        <v>20 Jan 2025 18:56:45</v>
      </c>
      <c r="B192" s="12" t="str">
        <f t="shared" si="1"/>
        <v>January</v>
      </c>
      <c r="C192" s="12">
        <f t="shared" si="2"/>
        <v>1</v>
      </c>
      <c r="D192" s="12" t="str">
        <f>IFERROR(__xludf.DUMMYFUNCTION("IFERROR(IF(REGEXMATCH(LOWER(Raw_Data!C198),""fixed deposit|owealth|savings|target""),""Fixed Deposit"",IF(REGEXMATCH(LOWER(Raw_Data!C198),""airtime""),""Airtime"",IF(REGEXMATCH(LOWER(Raw_Data!C198),""electronic money transfer levy""),""Electronic Money Tr"&amp;"ansfer Levy"",IF(REGEXMATCH(LOWER(Raw_Data!C198),""transfer|trf|send""),""Transfer"",""Other"")))),""Other"")"),"Transfer")</f>
        <v>Transfer</v>
      </c>
      <c r="E192" s="20">
        <v>1000.0</v>
      </c>
      <c r="F192" s="20">
        <v>0.0</v>
      </c>
      <c r="G192" s="12" t="str">
        <f t="shared" si="3"/>
        <v>Withdrawal</v>
      </c>
      <c r="H192" s="12" t="str">
        <f>TEXT(Raw_Data!A198,"hh:mm:ss")
</f>
        <v>18:56:45</v>
      </c>
      <c r="I192" s="20">
        <f t="shared" si="4"/>
        <v>1000</v>
      </c>
    </row>
    <row r="193">
      <c r="A193" s="12" t="str">
        <f>Raw_Data!A199</f>
        <v>21 Jan 2025 07:55:14</v>
      </c>
      <c r="B193" s="12" t="str">
        <f t="shared" si="1"/>
        <v>January</v>
      </c>
      <c r="C193" s="12">
        <f t="shared" si="2"/>
        <v>1</v>
      </c>
      <c r="D193" s="12" t="str">
        <f>IFERROR(__xludf.DUMMYFUNCTION("IFERROR(IF(REGEXMATCH(LOWER(Raw_Data!C199),""fixed deposit|owealth|savings|target""),""Fixed Deposit"",IF(REGEXMATCH(LOWER(Raw_Data!C199),""airtime""),""Airtime"",IF(REGEXMATCH(LOWER(Raw_Data!C199),""electronic money transfer levy""),""Electronic Money Tr"&amp;"ansfer Levy"",IF(REGEXMATCH(LOWER(Raw_Data!C199),""transfer|trf|send""),""Transfer"",""Other"")))),""Other"")"),"Transfer")</f>
        <v>Transfer</v>
      </c>
      <c r="E193" s="20">
        <v>1000.0</v>
      </c>
      <c r="F193" s="20">
        <v>0.0</v>
      </c>
      <c r="G193" s="12" t="str">
        <f t="shared" si="3"/>
        <v>Withdrawal</v>
      </c>
      <c r="H193" s="12" t="str">
        <f>TEXT(Raw_Data!A199,"hh:mm:ss")
</f>
        <v>07:55:14</v>
      </c>
      <c r="I193" s="20">
        <f t="shared" si="4"/>
        <v>1000</v>
      </c>
    </row>
    <row r="194">
      <c r="A194" s="12" t="str">
        <f>Raw_Data!A200</f>
        <v>21 Jan 2025 08:02:14</v>
      </c>
      <c r="B194" s="12" t="str">
        <f t="shared" si="1"/>
        <v>January</v>
      </c>
      <c r="C194" s="12">
        <f t="shared" si="2"/>
        <v>1</v>
      </c>
      <c r="D194" s="12" t="str">
        <f>IFERROR(__xludf.DUMMYFUNCTION("IFERROR(IF(REGEXMATCH(LOWER(Raw_Data!C200),""fixed deposit|owealth|savings|target""),""Fixed Deposit"",IF(REGEXMATCH(LOWER(Raw_Data!C200),""airtime""),""Airtime"",IF(REGEXMATCH(LOWER(Raw_Data!C200),""electronic money transfer levy""),""Electronic Money Tr"&amp;"ansfer Levy"",IF(REGEXMATCH(LOWER(Raw_Data!C200),""transfer|trf|send""),""Transfer"",""Other"")))),""Other"")"),"Transfer")</f>
        <v>Transfer</v>
      </c>
      <c r="E194" s="20">
        <v>200.0</v>
      </c>
      <c r="F194" s="20">
        <v>0.0</v>
      </c>
      <c r="G194" s="12" t="str">
        <f t="shared" si="3"/>
        <v>Withdrawal</v>
      </c>
      <c r="H194" s="12" t="str">
        <f>TEXT(Raw_Data!A200,"hh:mm:ss")
</f>
        <v>08:02:14</v>
      </c>
      <c r="I194" s="20">
        <f t="shared" si="4"/>
        <v>200</v>
      </c>
    </row>
    <row r="195">
      <c r="A195" s="12" t="str">
        <f>Raw_Data!A201</f>
        <v>21 Jan 2025 08:39:40</v>
      </c>
      <c r="B195" s="12" t="str">
        <f t="shared" si="1"/>
        <v>January</v>
      </c>
      <c r="C195" s="12">
        <f t="shared" si="2"/>
        <v>1</v>
      </c>
      <c r="D195" s="12" t="str">
        <f>IFERROR(__xludf.DUMMYFUNCTION("IFERROR(IF(REGEXMATCH(LOWER(Raw_Data!C201),""fixed deposit|owealth|savings|target""),""Fixed Deposit"",IF(REGEXMATCH(LOWER(Raw_Data!C201),""airtime""),""Airtime"",IF(REGEXMATCH(LOWER(Raw_Data!C201),""electronic money transfer levy""),""Electronic Money Tr"&amp;"ansfer Levy"",IF(REGEXMATCH(LOWER(Raw_Data!C201),""transfer|trf|send""),""Transfer"",""Other"")))),""Other"")"),"Transfer")</f>
        <v>Transfer</v>
      </c>
      <c r="E195" s="20">
        <v>500.0</v>
      </c>
      <c r="F195" s="20">
        <v>0.0</v>
      </c>
      <c r="G195" s="12" t="str">
        <f t="shared" si="3"/>
        <v>Withdrawal</v>
      </c>
      <c r="H195" s="12" t="str">
        <f>TEXT(Raw_Data!A201,"hh:mm:ss")
</f>
        <v>08:39:40</v>
      </c>
      <c r="I195" s="20">
        <f t="shared" si="4"/>
        <v>500</v>
      </c>
    </row>
    <row r="196">
      <c r="A196" s="12" t="str">
        <f>Raw_Data!A202</f>
        <v>21 Jan 2025 11:16:39</v>
      </c>
      <c r="B196" s="12" t="str">
        <f t="shared" si="1"/>
        <v>January</v>
      </c>
      <c r="C196" s="12">
        <f t="shared" si="2"/>
        <v>1</v>
      </c>
      <c r="D196" s="12" t="str">
        <f>IFERROR(__xludf.DUMMYFUNCTION("IFERROR(IF(REGEXMATCH(LOWER(Raw_Data!C202),""fixed deposit|owealth|savings|target""),""Fixed Deposit"",IF(REGEXMATCH(LOWER(Raw_Data!C202),""airtime""),""Airtime"",IF(REGEXMATCH(LOWER(Raw_Data!C202),""electronic money transfer levy""),""Electronic Money Tr"&amp;"ansfer Levy"",IF(REGEXMATCH(LOWER(Raw_Data!C202),""transfer|trf|send""),""Transfer"",""Other"")))),""Other"")"),"Transfer")</f>
        <v>Transfer</v>
      </c>
      <c r="E196" s="20">
        <v>10000.0</v>
      </c>
      <c r="F196" s="20">
        <v>0.0</v>
      </c>
      <c r="G196" s="12" t="str">
        <f t="shared" si="3"/>
        <v>Withdrawal</v>
      </c>
      <c r="H196" s="12" t="str">
        <f>TEXT(Raw_Data!A202,"hh:mm:ss")
</f>
        <v>11:16:39</v>
      </c>
      <c r="I196" s="20">
        <f t="shared" si="4"/>
        <v>10000</v>
      </c>
    </row>
    <row r="197">
      <c r="A197" s="12" t="str">
        <f>Raw_Data!A203</f>
        <v>21 Jan 2025 11:35:33</v>
      </c>
      <c r="B197" s="12" t="str">
        <f t="shared" si="1"/>
        <v>January</v>
      </c>
      <c r="C197" s="12">
        <f t="shared" si="2"/>
        <v>1</v>
      </c>
      <c r="D197" s="12" t="str">
        <f>IFERROR(__xludf.DUMMYFUNCTION("IFERROR(IF(REGEXMATCH(LOWER(Raw_Data!C203),""fixed deposit|owealth|savings|target""),""Fixed Deposit"",IF(REGEXMATCH(LOWER(Raw_Data!C203),""airtime""),""Airtime"",IF(REGEXMATCH(LOWER(Raw_Data!C203),""electronic money transfer levy""),""Electronic Money Tr"&amp;"ansfer Levy"",IF(REGEXMATCH(LOWER(Raw_Data!C203),""transfer|trf|send""),""Transfer"",""Other"")))),""Other"")"),"Transfer")</f>
        <v>Transfer</v>
      </c>
      <c r="E197" s="20">
        <v>200.0</v>
      </c>
      <c r="F197" s="20">
        <v>0.0</v>
      </c>
      <c r="G197" s="12" t="str">
        <f t="shared" si="3"/>
        <v>Withdrawal</v>
      </c>
      <c r="H197" s="12" t="str">
        <f>TEXT(Raw_Data!A203,"hh:mm:ss")
</f>
        <v>11:35:33</v>
      </c>
      <c r="I197" s="20">
        <f t="shared" si="4"/>
        <v>200</v>
      </c>
    </row>
    <row r="198">
      <c r="A198" s="12" t="str">
        <f>Raw_Data!A204</f>
        <v>21 Jan 2025 15:17:27</v>
      </c>
      <c r="B198" s="12" t="str">
        <f t="shared" si="1"/>
        <v>January</v>
      </c>
      <c r="C198" s="12">
        <f t="shared" si="2"/>
        <v>1</v>
      </c>
      <c r="D198" s="12" t="str">
        <f>IFERROR(__xludf.DUMMYFUNCTION("IFERROR(IF(REGEXMATCH(LOWER(Raw_Data!C204),""fixed deposit|owealth|savings|target""),""Fixed Deposit"",IF(REGEXMATCH(LOWER(Raw_Data!C204),""airtime""),""Airtime"",IF(REGEXMATCH(LOWER(Raw_Data!C204),""electronic money transfer levy""),""Electronic Money Tr"&amp;"ansfer Levy"",IF(REGEXMATCH(LOWER(Raw_Data!C204),""transfer|trf|send""),""Transfer"",""Other"")))),""Other"")"),"Transfer")</f>
        <v>Transfer</v>
      </c>
      <c r="E198" s="20">
        <v>2000.0</v>
      </c>
      <c r="F198" s="20">
        <v>0.0</v>
      </c>
      <c r="G198" s="12" t="str">
        <f t="shared" si="3"/>
        <v>Withdrawal</v>
      </c>
      <c r="H198" s="12" t="str">
        <f>TEXT(Raw_Data!A204,"hh:mm:ss")
</f>
        <v>15:17:27</v>
      </c>
      <c r="I198" s="20">
        <f t="shared" si="4"/>
        <v>2000</v>
      </c>
    </row>
    <row r="199">
      <c r="A199" s="12" t="str">
        <f>Raw_Data!A205</f>
        <v>21 Jan 2025 17:14:51</v>
      </c>
      <c r="B199" s="12" t="str">
        <f t="shared" si="1"/>
        <v>January</v>
      </c>
      <c r="C199" s="12">
        <f t="shared" si="2"/>
        <v>1</v>
      </c>
      <c r="D199" s="12" t="str">
        <f>IFERROR(__xludf.DUMMYFUNCTION("IFERROR(IF(REGEXMATCH(LOWER(Raw_Data!C205),""fixed deposit|owealth|savings|target""),""Fixed Deposit"",IF(REGEXMATCH(LOWER(Raw_Data!C205),""airtime""),""Airtime"",IF(REGEXMATCH(LOWER(Raw_Data!C205),""electronic money transfer levy""),""Electronic Money Tr"&amp;"ansfer Levy"",IF(REGEXMATCH(LOWER(Raw_Data!C205),""transfer|trf|send""),""Transfer"",""Other"")))),""Other"")"),"Transfer")</f>
        <v>Transfer</v>
      </c>
      <c r="E199" s="20">
        <v>1000.0</v>
      </c>
      <c r="F199" s="20">
        <v>0.0</v>
      </c>
      <c r="G199" s="12" t="str">
        <f t="shared" si="3"/>
        <v>Withdrawal</v>
      </c>
      <c r="H199" s="12" t="str">
        <f>TEXT(Raw_Data!A205,"hh:mm:ss")
</f>
        <v>17:14:51</v>
      </c>
      <c r="I199" s="20">
        <f t="shared" si="4"/>
        <v>1000</v>
      </c>
    </row>
    <row r="200">
      <c r="A200" s="12" t="str">
        <f>Raw_Data!A206</f>
        <v>21 Jan 2025 17:54:08</v>
      </c>
      <c r="B200" s="12" t="str">
        <f t="shared" si="1"/>
        <v>January</v>
      </c>
      <c r="C200" s="12">
        <f t="shared" si="2"/>
        <v>1</v>
      </c>
      <c r="D200" s="12" t="str">
        <f>IFERROR(__xludf.DUMMYFUNCTION("IFERROR(IF(REGEXMATCH(LOWER(Raw_Data!C206),""fixed deposit|owealth|savings|target""),""Fixed Deposit"",IF(REGEXMATCH(LOWER(Raw_Data!C206),""airtime""),""Airtime"",IF(REGEXMATCH(LOWER(Raw_Data!C206),""electronic money transfer levy""),""Electronic Money Tr"&amp;"ansfer Levy"",IF(REGEXMATCH(LOWER(Raw_Data!C206),""transfer|trf|send""),""Transfer"",""Other"")))),""Other"")"),"Transfer")</f>
        <v>Transfer</v>
      </c>
      <c r="E200" s="20">
        <v>0.0</v>
      </c>
      <c r="F200" s="20">
        <v>6000.0</v>
      </c>
      <c r="G200" s="12" t="str">
        <f t="shared" si="3"/>
        <v>Deposit</v>
      </c>
      <c r="H200" s="12" t="str">
        <f>TEXT(Raw_Data!A206,"hh:mm:ss")
</f>
        <v>17:54:08</v>
      </c>
      <c r="I200" s="20">
        <f t="shared" si="4"/>
        <v>6000</v>
      </c>
    </row>
    <row r="201">
      <c r="A201" s="12" t="str">
        <f>Raw_Data!A207</f>
        <v>22 Jan 2025 13:13:44</v>
      </c>
      <c r="B201" s="12" t="str">
        <f t="shared" si="1"/>
        <v>January</v>
      </c>
      <c r="C201" s="12">
        <f t="shared" si="2"/>
        <v>1</v>
      </c>
      <c r="D201" s="12" t="str">
        <f>IFERROR(__xludf.DUMMYFUNCTION("IFERROR(IF(REGEXMATCH(LOWER(Raw_Data!C207),""fixed deposit|owealth|savings|target""),""Fixed Deposit"",IF(REGEXMATCH(LOWER(Raw_Data!C207),""airtime""),""Airtime"",IF(REGEXMATCH(LOWER(Raw_Data!C207),""electronic money transfer levy""),""Electronic Money Tr"&amp;"ansfer Levy"",IF(REGEXMATCH(LOWER(Raw_Data!C207),""transfer|trf|send""),""Transfer"",""Other"")))),""Other"")"),"Transfer")</f>
        <v>Transfer</v>
      </c>
      <c r="E201" s="20">
        <v>1500.0</v>
      </c>
      <c r="F201" s="20">
        <v>0.0</v>
      </c>
      <c r="G201" s="12" t="str">
        <f t="shared" si="3"/>
        <v>Withdrawal</v>
      </c>
      <c r="H201" s="12" t="str">
        <f>TEXT(Raw_Data!A207,"hh:mm:ss")
</f>
        <v>13:13:44</v>
      </c>
      <c r="I201" s="20">
        <f t="shared" si="4"/>
        <v>1500</v>
      </c>
    </row>
    <row r="202">
      <c r="A202" s="12" t="str">
        <f>Raw_Data!A208</f>
        <v>22 Jan 2025 15:35:23</v>
      </c>
      <c r="B202" s="12" t="str">
        <f t="shared" si="1"/>
        <v>January</v>
      </c>
      <c r="C202" s="12">
        <f t="shared" si="2"/>
        <v>1</v>
      </c>
      <c r="D202" s="12" t="str">
        <f>IFERROR(__xludf.DUMMYFUNCTION("IFERROR(IF(REGEXMATCH(LOWER(Raw_Data!C208),""fixed deposit|owealth|savings|target""),""Fixed Deposit"",IF(REGEXMATCH(LOWER(Raw_Data!C208),""airtime""),""Airtime"",IF(REGEXMATCH(LOWER(Raw_Data!C208),""electronic money transfer levy""),""Electronic Money Tr"&amp;"ansfer Levy"",IF(REGEXMATCH(LOWER(Raw_Data!C208),""transfer|trf|send""),""Transfer"",""Other"")))),""Other"")"),"Transfer")</f>
        <v>Transfer</v>
      </c>
      <c r="E202" s="20">
        <v>900.0</v>
      </c>
      <c r="F202" s="20">
        <v>0.0</v>
      </c>
      <c r="G202" s="12" t="str">
        <f t="shared" si="3"/>
        <v>Withdrawal</v>
      </c>
      <c r="H202" s="12" t="str">
        <f>TEXT(Raw_Data!A208,"hh:mm:ss")
</f>
        <v>15:35:23</v>
      </c>
      <c r="I202" s="20">
        <f t="shared" si="4"/>
        <v>900</v>
      </c>
    </row>
    <row r="203">
      <c r="A203" s="12" t="str">
        <f>Raw_Data!A209</f>
        <v>22 Jan 2025 15:56:10</v>
      </c>
      <c r="B203" s="12" t="str">
        <f t="shared" si="1"/>
        <v>January</v>
      </c>
      <c r="C203" s="12">
        <f t="shared" si="2"/>
        <v>1</v>
      </c>
      <c r="D203" s="12" t="str">
        <f>IFERROR(__xludf.DUMMYFUNCTION("IFERROR(IF(REGEXMATCH(LOWER(Raw_Data!C209),""fixed deposit|owealth|savings|target""),""Fixed Deposit"",IF(REGEXMATCH(LOWER(Raw_Data!C209),""airtime""),""Airtime"",IF(REGEXMATCH(LOWER(Raw_Data!C209),""electronic money transfer levy""),""Electronic Money Tr"&amp;"ansfer Levy"",IF(REGEXMATCH(LOWER(Raw_Data!C209),""transfer|trf|send""),""Transfer"",""Other"")))),""Other"")"),"Transfer")</f>
        <v>Transfer</v>
      </c>
      <c r="E203" s="20">
        <v>200.0</v>
      </c>
      <c r="F203" s="20">
        <v>0.0</v>
      </c>
      <c r="G203" s="12" t="str">
        <f t="shared" si="3"/>
        <v>Withdrawal</v>
      </c>
      <c r="H203" s="12" t="str">
        <f>TEXT(Raw_Data!A209,"hh:mm:ss")
</f>
        <v>15:56:10</v>
      </c>
      <c r="I203" s="20">
        <f t="shared" si="4"/>
        <v>200</v>
      </c>
    </row>
    <row r="204">
      <c r="A204" s="12" t="str">
        <f>Raw_Data!A210</f>
        <v>22 Jan 2025 16:55:28</v>
      </c>
      <c r="B204" s="12" t="str">
        <f t="shared" si="1"/>
        <v>January</v>
      </c>
      <c r="C204" s="12">
        <f t="shared" si="2"/>
        <v>1</v>
      </c>
      <c r="D204" s="12" t="str">
        <f>IFERROR(__xludf.DUMMYFUNCTION("IFERROR(IF(REGEXMATCH(LOWER(Raw_Data!C210),""fixed deposit|owealth|savings|target""),""Fixed Deposit"",IF(REGEXMATCH(LOWER(Raw_Data!C210),""airtime""),""Airtime"",IF(REGEXMATCH(LOWER(Raw_Data!C210),""electronic money transfer levy""),""Electronic Money Tr"&amp;"ansfer Levy"",IF(REGEXMATCH(LOWER(Raw_Data!C210),""transfer|trf|send""),""Transfer"",""Other"")))),""Other"")"),"Transfer")</f>
        <v>Transfer</v>
      </c>
      <c r="E204" s="20">
        <v>210.0</v>
      </c>
      <c r="F204" s="20">
        <v>0.0</v>
      </c>
      <c r="G204" s="12" t="str">
        <f t="shared" si="3"/>
        <v>Withdrawal</v>
      </c>
      <c r="H204" s="12" t="str">
        <f>TEXT(Raw_Data!A210,"hh:mm:ss")
</f>
        <v>16:55:28</v>
      </c>
      <c r="I204" s="20">
        <f t="shared" si="4"/>
        <v>210</v>
      </c>
    </row>
    <row r="205">
      <c r="A205" s="12" t="str">
        <f>Raw_Data!A211</f>
        <v>22 Jan 2025 16:58:26</v>
      </c>
      <c r="B205" s="12" t="str">
        <f t="shared" si="1"/>
        <v>January</v>
      </c>
      <c r="C205" s="12">
        <f t="shared" si="2"/>
        <v>1</v>
      </c>
      <c r="D205" s="12" t="str">
        <f>IFERROR(__xludf.DUMMYFUNCTION("IFERROR(IF(REGEXMATCH(LOWER(Raw_Data!C211),""fixed deposit|owealth|savings|target""),""Fixed Deposit"",IF(REGEXMATCH(LOWER(Raw_Data!C211),""airtime""),""Airtime"",IF(REGEXMATCH(LOWER(Raw_Data!C211),""electronic money transfer levy""),""Electronic Money Tr"&amp;"ansfer Levy"",IF(REGEXMATCH(LOWER(Raw_Data!C211),""transfer|trf|send""),""Transfer"",""Other"")))),""Other"")"),"Transfer")</f>
        <v>Transfer</v>
      </c>
      <c r="E205" s="20">
        <v>410.0</v>
      </c>
      <c r="F205" s="20">
        <v>0.0</v>
      </c>
      <c r="G205" s="12" t="str">
        <f t="shared" si="3"/>
        <v>Withdrawal</v>
      </c>
      <c r="H205" s="12" t="str">
        <f>TEXT(Raw_Data!A211,"hh:mm:ss")
</f>
        <v>16:58:26</v>
      </c>
      <c r="I205" s="20">
        <f t="shared" si="4"/>
        <v>410</v>
      </c>
    </row>
    <row r="206">
      <c r="A206" s="12" t="str">
        <f>Raw_Data!A212</f>
        <v>22 Jan 2025 19:01:18</v>
      </c>
      <c r="B206" s="12" t="str">
        <f t="shared" si="1"/>
        <v>January</v>
      </c>
      <c r="C206" s="12">
        <f t="shared" si="2"/>
        <v>1</v>
      </c>
      <c r="D206" s="12" t="str">
        <f>IFERROR(__xludf.DUMMYFUNCTION("IFERROR(IF(REGEXMATCH(LOWER(Raw_Data!C212),""fixed deposit|owealth|savings|target""),""Fixed Deposit"",IF(REGEXMATCH(LOWER(Raw_Data!C212),""airtime""),""Airtime"",IF(REGEXMATCH(LOWER(Raw_Data!C212),""electronic money transfer levy""),""Electronic Money Tr"&amp;"ansfer Levy"",IF(REGEXMATCH(LOWER(Raw_Data!C212),""transfer|trf|send""),""Transfer"",""Other"")))),""Other"")"),"Transfer")</f>
        <v>Transfer</v>
      </c>
      <c r="E206" s="20">
        <v>260.0</v>
      </c>
      <c r="F206" s="20">
        <v>0.0</v>
      </c>
      <c r="G206" s="12" t="str">
        <f t="shared" si="3"/>
        <v>Withdrawal</v>
      </c>
      <c r="H206" s="12" t="str">
        <f>TEXT(Raw_Data!A212,"hh:mm:ss")
</f>
        <v>19:01:18</v>
      </c>
      <c r="I206" s="20">
        <f t="shared" si="4"/>
        <v>260</v>
      </c>
    </row>
    <row r="207">
      <c r="A207" s="12" t="str">
        <f>Raw_Data!A213</f>
        <v>22 Jan 2025 20:16:57</v>
      </c>
      <c r="B207" s="12" t="str">
        <f t="shared" si="1"/>
        <v>January</v>
      </c>
      <c r="C207" s="12">
        <f t="shared" si="2"/>
        <v>1</v>
      </c>
      <c r="D207" s="12" t="str">
        <f>IFERROR(__xludf.DUMMYFUNCTION("IFERROR(IF(REGEXMATCH(LOWER(Raw_Data!C213),""fixed deposit|owealth|savings|target""),""Fixed Deposit"",IF(REGEXMATCH(LOWER(Raw_Data!C213),""airtime""),""Airtime"",IF(REGEXMATCH(LOWER(Raw_Data!C213),""electronic money transfer levy""),""Electronic Money Tr"&amp;"ansfer Levy"",IF(REGEXMATCH(LOWER(Raw_Data!C213),""transfer|trf|send""),""Transfer"",""Other"")))),""Other"")"),"Transfer")</f>
        <v>Transfer</v>
      </c>
      <c r="E207" s="20">
        <v>400.0</v>
      </c>
      <c r="F207" s="20">
        <v>0.0</v>
      </c>
      <c r="G207" s="12" t="str">
        <f t="shared" si="3"/>
        <v>Withdrawal</v>
      </c>
      <c r="H207" s="12" t="str">
        <f>TEXT(Raw_Data!A213,"hh:mm:ss")
</f>
        <v>20:16:57</v>
      </c>
      <c r="I207" s="20">
        <f t="shared" si="4"/>
        <v>400</v>
      </c>
    </row>
    <row r="208">
      <c r="A208" s="12" t="str">
        <f>Raw_Data!A214</f>
        <v>23 Jan 2025 05:54:55</v>
      </c>
      <c r="B208" s="12" t="str">
        <f t="shared" si="1"/>
        <v>January</v>
      </c>
      <c r="C208" s="12">
        <f t="shared" si="2"/>
        <v>1</v>
      </c>
      <c r="D208" s="12" t="str">
        <f>IFERROR(__xludf.DUMMYFUNCTION("IFERROR(IF(REGEXMATCH(LOWER(Raw_Data!C214),""fixed deposit|owealth|savings|target""),""Fixed Deposit"",IF(REGEXMATCH(LOWER(Raw_Data!C214),""airtime""),""Airtime"",IF(REGEXMATCH(LOWER(Raw_Data!C214),""electronic money transfer levy""),""Electronic Money Tr"&amp;"ansfer Levy"",IF(REGEXMATCH(LOWER(Raw_Data!C214),""transfer|trf|send""),""Transfer"",""Other"")))),""Other"")"),"Transfer")</f>
        <v>Transfer</v>
      </c>
      <c r="E208" s="20">
        <v>800.0</v>
      </c>
      <c r="F208" s="20">
        <v>0.0</v>
      </c>
      <c r="G208" s="12" t="str">
        <f t="shared" si="3"/>
        <v>Withdrawal</v>
      </c>
      <c r="H208" s="12" t="str">
        <f>TEXT(Raw_Data!A214,"hh:mm:ss")
</f>
        <v>05:54:55</v>
      </c>
      <c r="I208" s="20">
        <f t="shared" si="4"/>
        <v>800</v>
      </c>
    </row>
    <row r="209">
      <c r="A209" s="12" t="str">
        <f>Raw_Data!A215</f>
        <v>23 Jan 2025 07:45:46</v>
      </c>
      <c r="B209" s="12" t="str">
        <f t="shared" si="1"/>
        <v>January</v>
      </c>
      <c r="C209" s="12">
        <f t="shared" si="2"/>
        <v>1</v>
      </c>
      <c r="D209" s="12" t="str">
        <f>IFERROR(__xludf.DUMMYFUNCTION("IFERROR(IF(REGEXMATCH(LOWER(Raw_Data!C215),""fixed deposit|owealth|savings|target""),""Fixed Deposit"",IF(REGEXMATCH(LOWER(Raw_Data!C215),""airtime""),""Airtime"",IF(REGEXMATCH(LOWER(Raw_Data!C215),""electronic money transfer levy""),""Electronic Money Tr"&amp;"ansfer Levy"",IF(REGEXMATCH(LOWER(Raw_Data!C215),""transfer|trf|send""),""Transfer"",""Other"")))),""Other"")"),"Transfer")</f>
        <v>Transfer</v>
      </c>
      <c r="E209" s="20">
        <v>0.0</v>
      </c>
      <c r="F209" s="20">
        <v>30000.0</v>
      </c>
      <c r="G209" s="12" t="str">
        <f t="shared" si="3"/>
        <v>Deposit</v>
      </c>
      <c r="H209" s="12" t="str">
        <f>TEXT(Raw_Data!A215,"hh:mm:ss")
</f>
        <v>07:45:46</v>
      </c>
      <c r="I209" s="20">
        <f t="shared" si="4"/>
        <v>30000</v>
      </c>
    </row>
    <row r="210">
      <c r="A210" s="12" t="str">
        <f>Raw_Data!A216</f>
        <v>23 Jan 2025 07:45:52</v>
      </c>
      <c r="B210" s="12" t="str">
        <f t="shared" si="1"/>
        <v>January</v>
      </c>
      <c r="C210" s="12">
        <f t="shared" si="2"/>
        <v>1</v>
      </c>
      <c r="D210" s="12" t="str">
        <f>IFERROR(__xludf.DUMMYFUNCTION("IFERROR(IF(REGEXMATCH(LOWER(Raw_Data!C216),""fixed deposit|owealth|savings|target""),""Fixed Deposit"",IF(REGEXMATCH(LOWER(Raw_Data!C216),""airtime""),""Airtime"",IF(REGEXMATCH(LOWER(Raw_Data!C216),""electronic money transfer levy""),""Electronic Money Tr"&amp;"ansfer Levy"",IF(REGEXMATCH(LOWER(Raw_Data!C216),""transfer|trf|send""),""Transfer"",""Other"")))),""Other"")"),"Electronic Money Transfer Levy")</f>
        <v>Electronic Money Transfer Levy</v>
      </c>
      <c r="E210" s="20">
        <v>50.0</v>
      </c>
      <c r="F210" s="20">
        <v>0.0</v>
      </c>
      <c r="G210" s="12" t="str">
        <f t="shared" si="3"/>
        <v>Withdrawal</v>
      </c>
      <c r="H210" s="12" t="str">
        <f>TEXT(Raw_Data!A216,"hh:mm:ss")
</f>
        <v>07:45:52</v>
      </c>
      <c r="I210" s="20">
        <f t="shared" si="4"/>
        <v>50</v>
      </c>
    </row>
    <row r="211">
      <c r="A211" s="12" t="str">
        <f>Raw_Data!A217</f>
        <v>23 Jan 2025 08:16:50</v>
      </c>
      <c r="B211" s="12" t="str">
        <f t="shared" si="1"/>
        <v>January</v>
      </c>
      <c r="C211" s="12">
        <f t="shared" si="2"/>
        <v>1</v>
      </c>
      <c r="D211" s="12" t="str">
        <f>IFERROR(__xludf.DUMMYFUNCTION("IFERROR(IF(REGEXMATCH(LOWER(Raw_Data!C217),""fixed deposit|owealth|savings|target""),""Fixed Deposit"",IF(REGEXMATCH(LOWER(Raw_Data!C217),""airtime""),""Airtime"",IF(REGEXMATCH(LOWER(Raw_Data!C217),""electronic money transfer levy""),""Electronic Money Tr"&amp;"ansfer Levy"",IF(REGEXMATCH(LOWER(Raw_Data!C217),""transfer|trf|send""),""Transfer"",""Other"")))),""Other"")"),"Other")</f>
        <v>Other</v>
      </c>
      <c r="E211" s="20">
        <v>2100.0</v>
      </c>
      <c r="F211" s="20">
        <v>0.0</v>
      </c>
      <c r="G211" s="12" t="str">
        <f t="shared" si="3"/>
        <v>Withdrawal</v>
      </c>
      <c r="H211" s="12" t="str">
        <f>TEXT(Raw_Data!A217,"hh:mm:ss")
</f>
        <v>08:16:50</v>
      </c>
      <c r="I211" s="20">
        <f t="shared" si="4"/>
        <v>2100</v>
      </c>
    </row>
    <row r="212">
      <c r="A212" s="12" t="str">
        <f>Raw_Data!A218</f>
        <v>23 Jan 2025 13:38:21</v>
      </c>
      <c r="B212" s="12" t="str">
        <f t="shared" si="1"/>
        <v>January</v>
      </c>
      <c r="C212" s="12">
        <f t="shared" si="2"/>
        <v>1</v>
      </c>
      <c r="D212" s="12" t="str">
        <f>IFERROR(__xludf.DUMMYFUNCTION("IFERROR(IF(REGEXMATCH(LOWER(Raw_Data!C218),""fixed deposit|owealth|savings|target""),""Fixed Deposit"",IF(REGEXMATCH(LOWER(Raw_Data!C218),""airtime""),""Airtime"",IF(REGEXMATCH(LOWER(Raw_Data!C218),""electronic money transfer levy""),""Electronic Money Tr"&amp;"ansfer Levy"",IF(REGEXMATCH(LOWER(Raw_Data!C218),""transfer|trf|send""),""Transfer"",""Other"")))),""Other"")"),"Transfer")</f>
        <v>Transfer</v>
      </c>
      <c r="E212" s="20">
        <v>20000.0</v>
      </c>
      <c r="F212" s="20">
        <v>0.0</v>
      </c>
      <c r="G212" s="12" t="str">
        <f t="shared" si="3"/>
        <v>Withdrawal</v>
      </c>
      <c r="H212" s="12" t="str">
        <f>TEXT(Raw_Data!A218,"hh:mm:ss")
</f>
        <v>13:38:21</v>
      </c>
      <c r="I212" s="20">
        <f t="shared" si="4"/>
        <v>20000</v>
      </c>
    </row>
    <row r="213">
      <c r="A213" s="12" t="str">
        <f>Raw_Data!A219</f>
        <v>23 Jan 2025 13:56:38</v>
      </c>
      <c r="B213" s="12" t="str">
        <f t="shared" si="1"/>
        <v>January</v>
      </c>
      <c r="C213" s="12">
        <f t="shared" si="2"/>
        <v>1</v>
      </c>
      <c r="D213" s="12" t="str">
        <f>IFERROR(__xludf.DUMMYFUNCTION("IFERROR(IF(REGEXMATCH(LOWER(Raw_Data!C219),""fixed deposit|owealth|savings|target""),""Fixed Deposit"",IF(REGEXMATCH(LOWER(Raw_Data!C219),""airtime""),""Airtime"",IF(REGEXMATCH(LOWER(Raw_Data!C219),""electronic money transfer levy""),""Electronic Money Tr"&amp;"ansfer Levy"",IF(REGEXMATCH(LOWER(Raw_Data!C219),""transfer|trf|send""),""Transfer"",""Other"")))),""Other"")"),"Transfer")</f>
        <v>Transfer</v>
      </c>
      <c r="E213" s="20">
        <v>200.0</v>
      </c>
      <c r="F213" s="20">
        <v>0.0</v>
      </c>
      <c r="G213" s="12" t="str">
        <f t="shared" si="3"/>
        <v>Withdrawal</v>
      </c>
      <c r="H213" s="12" t="str">
        <f>TEXT(Raw_Data!A219,"hh:mm:ss")
</f>
        <v>13:56:38</v>
      </c>
      <c r="I213" s="20">
        <f t="shared" si="4"/>
        <v>200</v>
      </c>
    </row>
    <row r="214">
      <c r="A214" s="12" t="str">
        <f>Raw_Data!A220</f>
        <v>23 Jan 2025 14:04:40</v>
      </c>
      <c r="B214" s="12" t="str">
        <f t="shared" si="1"/>
        <v>January</v>
      </c>
      <c r="C214" s="12">
        <f t="shared" si="2"/>
        <v>1</v>
      </c>
      <c r="D214" s="12" t="str">
        <f>IFERROR(__xludf.DUMMYFUNCTION("IFERROR(IF(REGEXMATCH(LOWER(Raw_Data!C220),""fixed deposit|owealth|savings|target""),""Fixed Deposit"",IF(REGEXMATCH(LOWER(Raw_Data!C220),""airtime""),""Airtime"",IF(REGEXMATCH(LOWER(Raw_Data!C220),""electronic money transfer levy""),""Electronic Money Tr"&amp;"ansfer Levy"",IF(REGEXMATCH(LOWER(Raw_Data!C220),""transfer|trf|send""),""Transfer"",""Other"")))),""Other"")"),"Transfer")</f>
        <v>Transfer</v>
      </c>
      <c r="E214" s="20">
        <v>1000.0</v>
      </c>
      <c r="F214" s="20">
        <v>0.0</v>
      </c>
      <c r="G214" s="12" t="str">
        <f t="shared" si="3"/>
        <v>Withdrawal</v>
      </c>
      <c r="H214" s="12" t="str">
        <f>TEXT(Raw_Data!A220,"hh:mm:ss")
</f>
        <v>14:04:40</v>
      </c>
      <c r="I214" s="20">
        <f t="shared" si="4"/>
        <v>1000</v>
      </c>
    </row>
    <row r="215">
      <c r="A215" s="12" t="str">
        <f>Raw_Data!A221</f>
        <v>23 Jan 2025 16:08:33</v>
      </c>
      <c r="B215" s="12" t="str">
        <f t="shared" si="1"/>
        <v>January</v>
      </c>
      <c r="C215" s="12">
        <f t="shared" si="2"/>
        <v>1</v>
      </c>
      <c r="D215" s="12" t="str">
        <f>IFERROR(__xludf.DUMMYFUNCTION("IFERROR(IF(REGEXMATCH(LOWER(Raw_Data!C221),""fixed deposit|owealth|savings|target""),""Fixed Deposit"",IF(REGEXMATCH(LOWER(Raw_Data!C221),""airtime""),""Airtime"",IF(REGEXMATCH(LOWER(Raw_Data!C221),""electronic money transfer levy""),""Electronic Money Tr"&amp;"ansfer Levy"",IF(REGEXMATCH(LOWER(Raw_Data!C221),""transfer|trf|send""),""Transfer"",""Other"")))),""Other"")"),"Transfer")</f>
        <v>Transfer</v>
      </c>
      <c r="E215" s="20">
        <v>1000.0</v>
      </c>
      <c r="F215" s="20">
        <v>0.0</v>
      </c>
      <c r="G215" s="12" t="str">
        <f t="shared" si="3"/>
        <v>Withdrawal</v>
      </c>
      <c r="H215" s="12" t="str">
        <f>TEXT(Raw_Data!A221,"hh:mm:ss")
</f>
        <v>16:08:33</v>
      </c>
      <c r="I215" s="20">
        <f t="shared" si="4"/>
        <v>1000</v>
      </c>
    </row>
    <row r="216">
      <c r="A216" s="12" t="str">
        <f>Raw_Data!A222</f>
        <v>23 Jan 2025 16:14:02</v>
      </c>
      <c r="B216" s="12" t="str">
        <f t="shared" si="1"/>
        <v>January</v>
      </c>
      <c r="C216" s="12">
        <f t="shared" si="2"/>
        <v>1</v>
      </c>
      <c r="D216" s="12" t="str">
        <f>IFERROR(__xludf.DUMMYFUNCTION("IFERROR(IF(REGEXMATCH(LOWER(Raw_Data!C222),""fixed deposit|owealth|savings|target""),""Fixed Deposit"",IF(REGEXMATCH(LOWER(Raw_Data!C222),""airtime""),""Airtime"",IF(REGEXMATCH(LOWER(Raw_Data!C222),""electronic money transfer levy""),""Electronic Money Tr"&amp;"ansfer Levy"",IF(REGEXMATCH(LOWER(Raw_Data!C222),""transfer|trf|send""),""Transfer"",""Other"")))),""Other"")"),"Transfer")</f>
        <v>Transfer</v>
      </c>
      <c r="E216" s="20">
        <v>3050.0</v>
      </c>
      <c r="F216" s="20">
        <v>0.0</v>
      </c>
      <c r="G216" s="12" t="str">
        <f t="shared" si="3"/>
        <v>Withdrawal</v>
      </c>
      <c r="H216" s="12" t="str">
        <f>TEXT(Raw_Data!A222,"hh:mm:ss")
</f>
        <v>16:14:02</v>
      </c>
      <c r="I216" s="20">
        <f t="shared" si="4"/>
        <v>3050</v>
      </c>
    </row>
    <row r="217">
      <c r="A217" s="12" t="str">
        <f>Raw_Data!A223</f>
        <v>23 Jan 2025 16:17:24</v>
      </c>
      <c r="B217" s="12" t="str">
        <f t="shared" si="1"/>
        <v>January</v>
      </c>
      <c r="C217" s="12">
        <f t="shared" si="2"/>
        <v>1</v>
      </c>
      <c r="D217" s="12" t="str">
        <f>IFERROR(__xludf.DUMMYFUNCTION("IFERROR(IF(REGEXMATCH(LOWER(Raw_Data!C223),""fixed deposit|owealth|savings|target""),""Fixed Deposit"",IF(REGEXMATCH(LOWER(Raw_Data!C223),""airtime""),""Airtime"",IF(REGEXMATCH(LOWER(Raw_Data!C223),""electronic money transfer levy""),""Electronic Money Tr"&amp;"ansfer Levy"",IF(REGEXMATCH(LOWER(Raw_Data!C223),""transfer|trf|send""),""Transfer"",""Other"")))),""Other"")"),"Transfer")</f>
        <v>Transfer</v>
      </c>
      <c r="E217" s="20">
        <v>1150.0</v>
      </c>
      <c r="F217" s="20">
        <v>0.0</v>
      </c>
      <c r="G217" s="12" t="str">
        <f t="shared" si="3"/>
        <v>Withdrawal</v>
      </c>
      <c r="H217" s="12" t="str">
        <f>TEXT(Raw_Data!A223,"hh:mm:ss")
</f>
        <v>16:17:24</v>
      </c>
      <c r="I217" s="20">
        <f t="shared" si="4"/>
        <v>1150</v>
      </c>
    </row>
    <row r="218">
      <c r="A218" s="12" t="str">
        <f>Raw_Data!A224</f>
        <v>23 Jan 2025 16:24:46</v>
      </c>
      <c r="B218" s="12" t="str">
        <f t="shared" si="1"/>
        <v>January</v>
      </c>
      <c r="C218" s="12">
        <f t="shared" si="2"/>
        <v>1</v>
      </c>
      <c r="D218" s="12" t="str">
        <f>IFERROR(__xludf.DUMMYFUNCTION("IFERROR(IF(REGEXMATCH(LOWER(Raw_Data!C224),""fixed deposit|owealth|savings|target""),""Fixed Deposit"",IF(REGEXMATCH(LOWER(Raw_Data!C224),""airtime""),""Airtime"",IF(REGEXMATCH(LOWER(Raw_Data!C224),""electronic money transfer levy""),""Electronic Money Tr"&amp;"ansfer Levy"",IF(REGEXMATCH(LOWER(Raw_Data!C224),""transfer|trf|send""),""Transfer"",""Other"")))),""Other"")"),"Transfer")</f>
        <v>Transfer</v>
      </c>
      <c r="E218" s="20">
        <v>910.0</v>
      </c>
      <c r="F218" s="20">
        <v>0.0</v>
      </c>
      <c r="G218" s="12" t="str">
        <f t="shared" si="3"/>
        <v>Withdrawal</v>
      </c>
      <c r="H218" s="12" t="str">
        <f>TEXT(Raw_Data!A224,"hh:mm:ss")
</f>
        <v>16:24:46</v>
      </c>
      <c r="I218" s="20">
        <f t="shared" si="4"/>
        <v>910</v>
      </c>
    </row>
    <row r="219">
      <c r="A219" s="12" t="str">
        <f>Raw_Data!A225</f>
        <v>23 Jan 2025 19:53:21</v>
      </c>
      <c r="B219" s="12" t="str">
        <f t="shared" si="1"/>
        <v>January</v>
      </c>
      <c r="C219" s="12">
        <f t="shared" si="2"/>
        <v>1</v>
      </c>
      <c r="D219" s="12" t="str">
        <f>IFERROR(__xludf.DUMMYFUNCTION("IFERROR(IF(REGEXMATCH(LOWER(Raw_Data!C225),""fixed deposit|owealth|savings|target""),""Fixed Deposit"",IF(REGEXMATCH(LOWER(Raw_Data!C225),""airtime""),""Airtime"",IF(REGEXMATCH(LOWER(Raw_Data!C225),""electronic money transfer levy""),""Electronic Money Tr"&amp;"ansfer Levy"",IF(REGEXMATCH(LOWER(Raw_Data!C225),""transfer|trf|send""),""Transfer"",""Other"")))),""Other"")"),"Transfer")</f>
        <v>Transfer</v>
      </c>
      <c r="E219" s="20">
        <v>610.0</v>
      </c>
      <c r="F219" s="20">
        <v>0.0</v>
      </c>
      <c r="G219" s="12" t="str">
        <f t="shared" si="3"/>
        <v>Withdrawal</v>
      </c>
      <c r="H219" s="12" t="str">
        <f>TEXT(Raw_Data!A225,"hh:mm:ss")
</f>
        <v>19:53:21</v>
      </c>
      <c r="I219" s="20">
        <f t="shared" si="4"/>
        <v>610</v>
      </c>
    </row>
    <row r="220">
      <c r="A220" s="12" t="str">
        <f>Raw_Data!A226</f>
        <v>24 Jan 2025 07:20:36</v>
      </c>
      <c r="B220" s="12" t="str">
        <f t="shared" si="1"/>
        <v>January</v>
      </c>
      <c r="C220" s="12">
        <f t="shared" si="2"/>
        <v>1</v>
      </c>
      <c r="D220" s="12" t="str">
        <f>IFERROR(__xludf.DUMMYFUNCTION("IFERROR(IF(REGEXMATCH(LOWER(Raw_Data!C226),""fixed deposit|owealth|savings|target""),""Fixed Deposit"",IF(REGEXMATCH(LOWER(Raw_Data!C226),""airtime""),""Airtime"",IF(REGEXMATCH(LOWER(Raw_Data!C226),""electronic money transfer levy""),""Electronic Money Tr"&amp;"ansfer Levy"",IF(REGEXMATCH(LOWER(Raw_Data!C226),""transfer|trf|send""),""Transfer"",""Other"")))),""Other"")"),"Transfer")</f>
        <v>Transfer</v>
      </c>
      <c r="E220" s="20">
        <v>300.0</v>
      </c>
      <c r="F220" s="20">
        <v>0.0</v>
      </c>
      <c r="G220" s="12" t="str">
        <f t="shared" si="3"/>
        <v>Withdrawal</v>
      </c>
      <c r="H220" s="12" t="str">
        <f>TEXT(Raw_Data!A226,"hh:mm:ss")
</f>
        <v>07:20:36</v>
      </c>
      <c r="I220" s="20">
        <f t="shared" si="4"/>
        <v>300</v>
      </c>
    </row>
    <row r="221">
      <c r="A221" s="12" t="str">
        <f>Raw_Data!A227</f>
        <v>24 Jan 2025 14:33:12</v>
      </c>
      <c r="B221" s="12" t="str">
        <f t="shared" si="1"/>
        <v>January</v>
      </c>
      <c r="C221" s="12">
        <f t="shared" si="2"/>
        <v>1</v>
      </c>
      <c r="D221" s="12" t="str">
        <f>IFERROR(__xludf.DUMMYFUNCTION("IFERROR(IF(REGEXMATCH(LOWER(Raw_Data!C227),""fixed deposit|owealth|savings|target""),""Fixed Deposit"",IF(REGEXMATCH(LOWER(Raw_Data!C227),""airtime""),""Airtime"",IF(REGEXMATCH(LOWER(Raw_Data!C227),""electronic money transfer levy""),""Electronic Money Tr"&amp;"ansfer Levy"",IF(REGEXMATCH(LOWER(Raw_Data!C227),""transfer|trf|send""),""Transfer"",""Other"")))),""Other"")"),"Transfer")</f>
        <v>Transfer</v>
      </c>
      <c r="E221" s="20">
        <v>1500.0</v>
      </c>
      <c r="F221" s="20">
        <v>0.0</v>
      </c>
      <c r="G221" s="12" t="str">
        <f t="shared" si="3"/>
        <v>Withdrawal</v>
      </c>
      <c r="H221" s="12" t="str">
        <f>TEXT(Raw_Data!A227,"hh:mm:ss")
</f>
        <v>14:33:12</v>
      </c>
      <c r="I221" s="20">
        <f t="shared" si="4"/>
        <v>1500</v>
      </c>
    </row>
    <row r="222">
      <c r="A222" s="12" t="str">
        <f>Raw_Data!A228</f>
        <v>25 Jan 2025 09:31:38</v>
      </c>
      <c r="B222" s="12" t="str">
        <f t="shared" si="1"/>
        <v>January</v>
      </c>
      <c r="C222" s="12">
        <f t="shared" si="2"/>
        <v>1</v>
      </c>
      <c r="D222" s="12" t="str">
        <f>IFERROR(__xludf.DUMMYFUNCTION("IFERROR(IF(REGEXMATCH(LOWER(Raw_Data!C228),""fixed deposit|owealth|savings|target""),""Fixed Deposit"",IF(REGEXMATCH(LOWER(Raw_Data!C228),""airtime""),""Airtime"",IF(REGEXMATCH(LOWER(Raw_Data!C228),""electronic money transfer levy""),""Electronic Money Tr"&amp;"ansfer Levy"",IF(REGEXMATCH(LOWER(Raw_Data!C228),""transfer|trf|send""),""Transfer"",""Other"")))),""Other"")"),"Transfer")</f>
        <v>Transfer</v>
      </c>
      <c r="E222" s="20">
        <v>0.0</v>
      </c>
      <c r="F222" s="20">
        <v>1500.0</v>
      </c>
      <c r="G222" s="12" t="str">
        <f t="shared" si="3"/>
        <v>Deposit</v>
      </c>
      <c r="H222" s="12" t="str">
        <f>TEXT(Raw_Data!A228,"hh:mm:ss")
</f>
        <v>09:31:38</v>
      </c>
      <c r="I222" s="20">
        <f t="shared" si="4"/>
        <v>1500</v>
      </c>
    </row>
    <row r="223">
      <c r="A223" s="12" t="str">
        <f>Raw_Data!A229</f>
        <v>25 Jan 2025 09:34:06</v>
      </c>
      <c r="B223" s="12" t="str">
        <f t="shared" si="1"/>
        <v>January</v>
      </c>
      <c r="C223" s="12">
        <f t="shared" si="2"/>
        <v>1</v>
      </c>
      <c r="D223" s="12" t="str">
        <f>IFERROR(__xludf.DUMMYFUNCTION("IFERROR(IF(REGEXMATCH(LOWER(Raw_Data!C229),""fixed deposit|owealth|savings|target""),""Fixed Deposit"",IF(REGEXMATCH(LOWER(Raw_Data!C229),""airtime""),""Airtime"",IF(REGEXMATCH(LOWER(Raw_Data!C229),""electronic money transfer levy""),""Electronic Money Tr"&amp;"ansfer Levy"",IF(REGEXMATCH(LOWER(Raw_Data!C229),""transfer|trf|send""),""Transfer"",""Other"")))),""Other"")"),"Transfer")</f>
        <v>Transfer</v>
      </c>
      <c r="E223" s="20">
        <v>0.0</v>
      </c>
      <c r="F223" s="20">
        <v>2000.0</v>
      </c>
      <c r="G223" s="12" t="str">
        <f t="shared" si="3"/>
        <v>Deposit</v>
      </c>
      <c r="H223" s="12" t="str">
        <f>TEXT(Raw_Data!A229,"hh:mm:ss")
</f>
        <v>09:34:06</v>
      </c>
      <c r="I223" s="20">
        <f t="shared" si="4"/>
        <v>2000</v>
      </c>
    </row>
    <row r="224">
      <c r="A224" s="12" t="str">
        <f>Raw_Data!A230</f>
        <v>25 Jan 2025 09:46:19</v>
      </c>
      <c r="B224" s="12" t="str">
        <f t="shared" si="1"/>
        <v>January</v>
      </c>
      <c r="C224" s="12">
        <f t="shared" si="2"/>
        <v>1</v>
      </c>
      <c r="D224" s="12" t="str">
        <f>IFERROR(__xludf.DUMMYFUNCTION("IFERROR(IF(REGEXMATCH(LOWER(Raw_Data!C230),""fixed deposit|owealth|savings|target""),""Fixed Deposit"",IF(REGEXMATCH(LOWER(Raw_Data!C230),""airtime""),""Airtime"",IF(REGEXMATCH(LOWER(Raw_Data!C230),""electronic money transfer levy""),""Electronic Money Tr"&amp;"ansfer Levy"",IF(REGEXMATCH(LOWER(Raw_Data!C230),""transfer|trf|send""),""Transfer"",""Other"")))),""Other"")"),"Transfer")</f>
        <v>Transfer</v>
      </c>
      <c r="E224" s="20">
        <v>750.0</v>
      </c>
      <c r="F224" s="20">
        <v>0.0</v>
      </c>
      <c r="G224" s="12" t="str">
        <f t="shared" si="3"/>
        <v>Withdrawal</v>
      </c>
      <c r="H224" s="12" t="str">
        <f>TEXT(Raw_Data!A230,"hh:mm:ss")
</f>
        <v>09:46:19</v>
      </c>
      <c r="I224" s="20">
        <f t="shared" si="4"/>
        <v>750</v>
      </c>
    </row>
    <row r="225">
      <c r="A225" s="12" t="str">
        <f>Raw_Data!A231</f>
        <v>25 Jan 2025 12:25:44</v>
      </c>
      <c r="B225" s="12" t="str">
        <f t="shared" si="1"/>
        <v>January</v>
      </c>
      <c r="C225" s="12">
        <f t="shared" si="2"/>
        <v>1</v>
      </c>
      <c r="D225" s="12" t="str">
        <f>IFERROR(__xludf.DUMMYFUNCTION("IFERROR(IF(REGEXMATCH(LOWER(Raw_Data!C231),""fixed deposit|owealth|savings|target""),""Fixed Deposit"",IF(REGEXMATCH(LOWER(Raw_Data!C231),""airtime""),""Airtime"",IF(REGEXMATCH(LOWER(Raw_Data!C231),""electronic money transfer levy""),""Electronic Money Tr"&amp;"ansfer Levy"",IF(REGEXMATCH(LOWER(Raw_Data!C231),""transfer|trf|send""),""Transfer"",""Other"")))),""Other"")"),"Transfer")</f>
        <v>Transfer</v>
      </c>
      <c r="E225" s="20">
        <v>2390.0</v>
      </c>
      <c r="F225" s="20">
        <v>0.0</v>
      </c>
      <c r="G225" s="12" t="str">
        <f t="shared" si="3"/>
        <v>Withdrawal</v>
      </c>
      <c r="H225" s="12" t="str">
        <f>TEXT(Raw_Data!A231,"hh:mm:ss")
</f>
        <v>12:25:44</v>
      </c>
      <c r="I225" s="20">
        <f t="shared" si="4"/>
        <v>2390</v>
      </c>
    </row>
    <row r="226">
      <c r="A226" s="12" t="str">
        <f>Raw_Data!A232</f>
        <v>25 Jan 2025 12:27:28</v>
      </c>
      <c r="B226" s="12" t="str">
        <f t="shared" si="1"/>
        <v>January</v>
      </c>
      <c r="C226" s="12">
        <f t="shared" si="2"/>
        <v>1</v>
      </c>
      <c r="D226" s="12" t="str">
        <f>IFERROR(__xludf.DUMMYFUNCTION("IFERROR(IF(REGEXMATCH(LOWER(Raw_Data!C232),""fixed deposit|owealth|savings|target""),""Fixed Deposit"",IF(REGEXMATCH(LOWER(Raw_Data!C232),""airtime""),""Airtime"",IF(REGEXMATCH(LOWER(Raw_Data!C232),""electronic money transfer levy""),""Electronic Money Tr"&amp;"ansfer Levy"",IF(REGEXMATCH(LOWER(Raw_Data!C232),""transfer|trf|send""),""Transfer"",""Other"")))),""Other"")"),"Transfer")</f>
        <v>Transfer</v>
      </c>
      <c r="E226" s="20">
        <v>750.0</v>
      </c>
      <c r="F226" s="20">
        <v>0.0</v>
      </c>
      <c r="G226" s="12" t="str">
        <f t="shared" si="3"/>
        <v>Withdrawal</v>
      </c>
      <c r="H226" s="12" t="str">
        <f>TEXT(Raw_Data!A232,"hh:mm:ss")
</f>
        <v>12:27:28</v>
      </c>
      <c r="I226" s="20">
        <f t="shared" si="4"/>
        <v>750</v>
      </c>
    </row>
    <row r="227">
      <c r="A227" s="12" t="str">
        <f>Raw_Data!A233</f>
        <v>25 Jan 2025 12:43:20</v>
      </c>
      <c r="B227" s="12" t="str">
        <f t="shared" si="1"/>
        <v>January</v>
      </c>
      <c r="C227" s="12">
        <f t="shared" si="2"/>
        <v>1</v>
      </c>
      <c r="D227" s="12" t="str">
        <f>IFERROR(__xludf.DUMMYFUNCTION("IFERROR(IF(REGEXMATCH(LOWER(Raw_Data!C233),""fixed deposit|owealth|savings|target""),""Fixed Deposit"",IF(REGEXMATCH(LOWER(Raw_Data!C233),""airtime""),""Airtime"",IF(REGEXMATCH(LOWER(Raw_Data!C233),""electronic money transfer levy""),""Electronic Money Tr"&amp;"ansfer Levy"",IF(REGEXMATCH(LOWER(Raw_Data!C233),""transfer|trf|send""),""Transfer"",""Other"")))),""Other"")"),"Transfer")</f>
        <v>Transfer</v>
      </c>
      <c r="E227" s="20">
        <v>1310.0</v>
      </c>
      <c r="F227" s="20">
        <v>0.0</v>
      </c>
      <c r="G227" s="12" t="str">
        <f t="shared" si="3"/>
        <v>Withdrawal</v>
      </c>
      <c r="H227" s="12" t="str">
        <f>TEXT(Raw_Data!A233,"hh:mm:ss")
</f>
        <v>12:43:20</v>
      </c>
      <c r="I227" s="20">
        <f t="shared" si="4"/>
        <v>1310</v>
      </c>
    </row>
    <row r="228">
      <c r="A228" s="12" t="str">
        <f>Raw_Data!A234</f>
        <v>25 Jan 2025 16:01:24</v>
      </c>
      <c r="B228" s="12" t="str">
        <f t="shared" si="1"/>
        <v>January</v>
      </c>
      <c r="C228" s="12">
        <f t="shared" si="2"/>
        <v>1</v>
      </c>
      <c r="D228" s="12" t="str">
        <f>IFERROR(__xludf.DUMMYFUNCTION("IFERROR(IF(REGEXMATCH(LOWER(Raw_Data!C234),""fixed deposit|owealth|savings|target""),""Fixed Deposit"",IF(REGEXMATCH(LOWER(Raw_Data!C234),""airtime""),""Airtime"",IF(REGEXMATCH(LOWER(Raw_Data!C234),""electronic money transfer levy""),""Electronic Money Tr"&amp;"ansfer Levy"",IF(REGEXMATCH(LOWER(Raw_Data!C234),""transfer|trf|send""),""Transfer"",""Other"")))),""Other"")"),"Transfer")</f>
        <v>Transfer</v>
      </c>
      <c r="E228" s="20">
        <v>0.0</v>
      </c>
      <c r="F228" s="20">
        <v>24333.0</v>
      </c>
      <c r="G228" s="12" t="str">
        <f t="shared" si="3"/>
        <v>Deposit</v>
      </c>
      <c r="H228" s="12" t="str">
        <f>TEXT(Raw_Data!A234,"hh:mm:ss")
</f>
        <v>16:01:24</v>
      </c>
      <c r="I228" s="20">
        <f t="shared" si="4"/>
        <v>24333</v>
      </c>
    </row>
    <row r="229">
      <c r="A229" s="12" t="str">
        <f>Raw_Data!A235</f>
        <v>25 Jan 2025 16:01:29</v>
      </c>
      <c r="B229" s="12" t="str">
        <f t="shared" si="1"/>
        <v>January</v>
      </c>
      <c r="C229" s="12">
        <f t="shared" si="2"/>
        <v>1</v>
      </c>
      <c r="D229" s="12" t="str">
        <f>IFERROR(__xludf.DUMMYFUNCTION("IFERROR(IF(REGEXMATCH(LOWER(Raw_Data!C235),""fixed deposit|owealth|savings|target""),""Fixed Deposit"",IF(REGEXMATCH(LOWER(Raw_Data!C235),""airtime""),""Airtime"",IF(REGEXMATCH(LOWER(Raw_Data!C235),""electronic money transfer levy""),""Electronic Money Tr"&amp;"ansfer Levy"",IF(REGEXMATCH(LOWER(Raw_Data!C235),""transfer|trf|send""),""Transfer"",""Other"")))),""Other"")"),"Electronic Money Transfer Levy")</f>
        <v>Electronic Money Transfer Levy</v>
      </c>
      <c r="E229" s="20">
        <v>50.0</v>
      </c>
      <c r="F229" s="20">
        <v>0.0</v>
      </c>
      <c r="G229" s="12" t="str">
        <f t="shared" si="3"/>
        <v>Withdrawal</v>
      </c>
      <c r="H229" s="12" t="str">
        <f>TEXT(Raw_Data!A235,"hh:mm:ss")
</f>
        <v>16:01:29</v>
      </c>
      <c r="I229" s="20">
        <f t="shared" si="4"/>
        <v>50</v>
      </c>
    </row>
    <row r="230">
      <c r="A230" s="12" t="str">
        <f>Raw_Data!A236</f>
        <v>25 Jan 2025 16:18:07</v>
      </c>
      <c r="B230" s="12" t="str">
        <f t="shared" si="1"/>
        <v>January</v>
      </c>
      <c r="C230" s="12">
        <f t="shared" si="2"/>
        <v>1</v>
      </c>
      <c r="D230" s="12" t="str">
        <f>IFERROR(__xludf.DUMMYFUNCTION("IFERROR(IF(REGEXMATCH(LOWER(Raw_Data!C236),""fixed deposit|owealth|savings|target""),""Fixed Deposit"",IF(REGEXMATCH(LOWER(Raw_Data!C236),""airtime""),""Airtime"",IF(REGEXMATCH(LOWER(Raw_Data!C236),""electronic money transfer levy""),""Electronic Money Tr"&amp;"ansfer Levy"",IF(REGEXMATCH(LOWER(Raw_Data!C236),""transfer|trf|send""),""Transfer"",""Other"")))),""Other"")"),"Transfer")</f>
        <v>Transfer</v>
      </c>
      <c r="E230" s="20">
        <v>200.0</v>
      </c>
      <c r="F230" s="20">
        <v>0.0</v>
      </c>
      <c r="G230" s="12" t="str">
        <f t="shared" si="3"/>
        <v>Withdrawal</v>
      </c>
      <c r="H230" s="12" t="str">
        <f>TEXT(Raw_Data!A236,"hh:mm:ss")
</f>
        <v>16:18:07</v>
      </c>
      <c r="I230" s="20">
        <f t="shared" si="4"/>
        <v>200</v>
      </c>
    </row>
    <row r="231">
      <c r="A231" s="12" t="str">
        <f>Raw_Data!A237</f>
        <v>25 Jan 2025 17:10:22</v>
      </c>
      <c r="B231" s="12" t="str">
        <f t="shared" si="1"/>
        <v>January</v>
      </c>
      <c r="C231" s="12">
        <f t="shared" si="2"/>
        <v>1</v>
      </c>
      <c r="D231" s="12" t="str">
        <f>IFERROR(__xludf.DUMMYFUNCTION("IFERROR(IF(REGEXMATCH(LOWER(Raw_Data!C237),""fixed deposit|owealth|savings|target""),""Fixed Deposit"",IF(REGEXMATCH(LOWER(Raw_Data!C237),""airtime""),""Airtime"",IF(REGEXMATCH(LOWER(Raw_Data!C237),""electronic money transfer levy""),""Electronic Money Tr"&amp;"ansfer Levy"",IF(REGEXMATCH(LOWER(Raw_Data!C237),""transfer|trf|send""),""Transfer"",""Other"")))),""Other"")"),"Transfer")</f>
        <v>Transfer</v>
      </c>
      <c r="E231" s="20">
        <v>3010.0</v>
      </c>
      <c r="F231" s="20">
        <v>0.0</v>
      </c>
      <c r="G231" s="12" t="str">
        <f t="shared" si="3"/>
        <v>Withdrawal</v>
      </c>
      <c r="H231" s="12" t="str">
        <f>TEXT(Raw_Data!A237,"hh:mm:ss")
</f>
        <v>17:10:22</v>
      </c>
      <c r="I231" s="20">
        <f t="shared" si="4"/>
        <v>3010</v>
      </c>
    </row>
    <row r="232">
      <c r="A232" s="12" t="str">
        <f>Raw_Data!A238</f>
        <v>25 Jan 2025 17:11:46</v>
      </c>
      <c r="B232" s="12" t="str">
        <f t="shared" si="1"/>
        <v>January</v>
      </c>
      <c r="C232" s="12">
        <f t="shared" si="2"/>
        <v>1</v>
      </c>
      <c r="D232" s="12" t="str">
        <f>IFERROR(__xludf.DUMMYFUNCTION("IFERROR(IF(REGEXMATCH(LOWER(Raw_Data!C238),""fixed deposit|owealth|savings|target""),""Fixed Deposit"",IF(REGEXMATCH(LOWER(Raw_Data!C238),""airtime""),""Airtime"",IF(REGEXMATCH(LOWER(Raw_Data!C238),""electronic money transfer levy""),""Electronic Money Tr"&amp;"ansfer Levy"",IF(REGEXMATCH(LOWER(Raw_Data!C238),""transfer|trf|send""),""Transfer"",""Other"")))),""Other"")"),"Transfer")</f>
        <v>Transfer</v>
      </c>
      <c r="E232" s="20">
        <v>2200.0</v>
      </c>
      <c r="F232" s="20">
        <v>0.0</v>
      </c>
      <c r="G232" s="12" t="str">
        <f t="shared" si="3"/>
        <v>Withdrawal</v>
      </c>
      <c r="H232" s="12" t="str">
        <f>TEXT(Raw_Data!A238,"hh:mm:ss")
</f>
        <v>17:11:46</v>
      </c>
      <c r="I232" s="20">
        <f t="shared" si="4"/>
        <v>2200</v>
      </c>
    </row>
    <row r="233">
      <c r="A233" s="12" t="str">
        <f>Raw_Data!A239</f>
        <v>25 Jan 2025 18:28:39</v>
      </c>
      <c r="B233" s="12" t="str">
        <f t="shared" si="1"/>
        <v>January</v>
      </c>
      <c r="C233" s="12">
        <f t="shared" si="2"/>
        <v>1</v>
      </c>
      <c r="D233" s="12" t="str">
        <f>IFERROR(__xludf.DUMMYFUNCTION("IFERROR(IF(REGEXMATCH(LOWER(Raw_Data!C239),""fixed deposit|owealth|savings|target""),""Fixed Deposit"",IF(REGEXMATCH(LOWER(Raw_Data!C239),""airtime""),""Airtime"",IF(REGEXMATCH(LOWER(Raw_Data!C239),""electronic money transfer levy""),""Electronic Money Tr"&amp;"ansfer Levy"",IF(REGEXMATCH(LOWER(Raw_Data!C239),""transfer|trf|send""),""Transfer"",""Other"")))),""Other"")"),"Transfer")</f>
        <v>Transfer</v>
      </c>
      <c r="E233" s="20">
        <v>2000.0</v>
      </c>
      <c r="F233" s="20">
        <v>0.0</v>
      </c>
      <c r="G233" s="12" t="str">
        <f t="shared" si="3"/>
        <v>Withdrawal</v>
      </c>
      <c r="H233" s="12" t="str">
        <f>TEXT(Raw_Data!A239,"hh:mm:ss")
</f>
        <v>18:28:39</v>
      </c>
      <c r="I233" s="20">
        <f t="shared" si="4"/>
        <v>2000</v>
      </c>
    </row>
    <row r="234">
      <c r="A234" s="12" t="str">
        <f>Raw_Data!A240</f>
        <v>25 Jan 2025 19:12:33</v>
      </c>
      <c r="B234" s="12" t="str">
        <f t="shared" si="1"/>
        <v>January</v>
      </c>
      <c r="C234" s="12">
        <f t="shared" si="2"/>
        <v>1</v>
      </c>
      <c r="D234" s="12" t="str">
        <f>IFERROR(__xludf.DUMMYFUNCTION("IFERROR(IF(REGEXMATCH(LOWER(Raw_Data!C240),""fixed deposit|owealth|savings|target""),""Fixed Deposit"",IF(REGEXMATCH(LOWER(Raw_Data!C240),""airtime""),""Airtime"",IF(REGEXMATCH(LOWER(Raw_Data!C240),""electronic money transfer levy""),""Electronic Money Tr"&amp;"ansfer Levy"",IF(REGEXMATCH(LOWER(Raw_Data!C240),""transfer|trf|send""),""Transfer"",""Other"")))),""Other"")"),"Transfer")</f>
        <v>Transfer</v>
      </c>
      <c r="E234" s="20">
        <v>1100.0</v>
      </c>
      <c r="F234" s="20">
        <v>0.0</v>
      </c>
      <c r="G234" s="12" t="str">
        <f t="shared" si="3"/>
        <v>Withdrawal</v>
      </c>
      <c r="H234" s="12" t="str">
        <f>TEXT(Raw_Data!A240,"hh:mm:ss")
</f>
        <v>19:12:33</v>
      </c>
      <c r="I234" s="20">
        <f t="shared" si="4"/>
        <v>1100</v>
      </c>
    </row>
    <row r="235">
      <c r="A235" s="12" t="str">
        <f>Raw_Data!A241</f>
        <v>25 Jan 2025 19:55:30</v>
      </c>
      <c r="B235" s="12" t="str">
        <f t="shared" si="1"/>
        <v>January</v>
      </c>
      <c r="C235" s="12">
        <f t="shared" si="2"/>
        <v>1</v>
      </c>
      <c r="D235" s="12" t="str">
        <f>IFERROR(__xludf.DUMMYFUNCTION("IFERROR(IF(REGEXMATCH(LOWER(Raw_Data!C241),""fixed deposit|owealth|savings|target""),""Fixed Deposit"",IF(REGEXMATCH(LOWER(Raw_Data!C241),""airtime""),""Airtime"",IF(REGEXMATCH(LOWER(Raw_Data!C241),""electronic money transfer levy""),""Electronic Money Tr"&amp;"ansfer Levy"",IF(REGEXMATCH(LOWER(Raw_Data!C241),""transfer|trf|send""),""Transfer"",""Other"")))),""Other"")"),"Transfer")</f>
        <v>Transfer</v>
      </c>
      <c r="E235" s="20">
        <v>500.0</v>
      </c>
      <c r="F235" s="20">
        <v>0.0</v>
      </c>
      <c r="G235" s="12" t="str">
        <f t="shared" si="3"/>
        <v>Withdrawal</v>
      </c>
      <c r="H235" s="12" t="str">
        <f>TEXT(Raw_Data!A241,"hh:mm:ss")
</f>
        <v>19:55:30</v>
      </c>
      <c r="I235" s="20">
        <f t="shared" si="4"/>
        <v>500</v>
      </c>
    </row>
    <row r="236">
      <c r="A236" s="12" t="str">
        <f>Raw_Data!A242</f>
        <v>25 Jan 2025 20:38:25</v>
      </c>
      <c r="B236" s="12" t="str">
        <f t="shared" si="1"/>
        <v>January</v>
      </c>
      <c r="C236" s="12">
        <f t="shared" si="2"/>
        <v>1</v>
      </c>
      <c r="D236" s="12" t="str">
        <f>IFERROR(__xludf.DUMMYFUNCTION("IFERROR(IF(REGEXMATCH(LOWER(Raw_Data!C242),""fixed deposit|owealth|savings|target""),""Fixed Deposit"",IF(REGEXMATCH(LOWER(Raw_Data!C242),""airtime""),""Airtime"",IF(REGEXMATCH(LOWER(Raw_Data!C242),""electronic money transfer levy""),""Electronic Money Tr"&amp;"ansfer Levy"",IF(REGEXMATCH(LOWER(Raw_Data!C242),""transfer|trf|send""),""Transfer"",""Other"")))),""Other"")"),"Transfer")</f>
        <v>Transfer</v>
      </c>
      <c r="E236" s="20">
        <v>100.0</v>
      </c>
      <c r="F236" s="20">
        <v>0.0</v>
      </c>
      <c r="G236" s="12" t="str">
        <f t="shared" si="3"/>
        <v>Withdrawal</v>
      </c>
      <c r="H236" s="12" t="str">
        <f>TEXT(Raw_Data!A242,"hh:mm:ss")
</f>
        <v>20:38:25</v>
      </c>
      <c r="I236" s="20">
        <f t="shared" si="4"/>
        <v>100</v>
      </c>
    </row>
    <row r="237">
      <c r="A237" s="12" t="str">
        <f>Raw_Data!A243</f>
        <v>26 Jan 2025 03:24:41</v>
      </c>
      <c r="B237" s="12" t="str">
        <f t="shared" si="1"/>
        <v>January</v>
      </c>
      <c r="C237" s="12">
        <f t="shared" si="2"/>
        <v>1</v>
      </c>
      <c r="D237" s="12" t="str">
        <f>IFERROR(__xludf.DUMMYFUNCTION("IFERROR(IF(REGEXMATCH(LOWER(Raw_Data!C243),""fixed deposit|owealth|savings|target""),""Fixed Deposit"",IF(REGEXMATCH(LOWER(Raw_Data!C243),""airtime""),""Airtime"",IF(REGEXMATCH(LOWER(Raw_Data!C243),""electronic money transfer levy""),""Electronic Money Tr"&amp;"ansfer Levy"",IF(REGEXMATCH(LOWER(Raw_Data!C243),""transfer|trf|send""),""Transfer"",""Other"")))),""Other"")"),"Airtime")</f>
        <v>Airtime</v>
      </c>
      <c r="E237" s="20">
        <v>500.0</v>
      </c>
      <c r="F237" s="20">
        <v>0.0</v>
      </c>
      <c r="G237" s="12" t="str">
        <f t="shared" si="3"/>
        <v>Withdrawal</v>
      </c>
      <c r="H237" s="12" t="str">
        <f>TEXT(Raw_Data!A243,"hh:mm:ss")
</f>
        <v>03:24:41</v>
      </c>
      <c r="I237" s="20">
        <f t="shared" si="4"/>
        <v>500</v>
      </c>
    </row>
    <row r="238">
      <c r="A238" s="12" t="str">
        <f>Raw_Data!A244</f>
        <v>26 Jan 2025 08:35:16</v>
      </c>
      <c r="B238" s="12" t="str">
        <f t="shared" si="1"/>
        <v>January</v>
      </c>
      <c r="C238" s="12">
        <f t="shared" si="2"/>
        <v>1</v>
      </c>
      <c r="D238" s="12" t="str">
        <f>IFERROR(__xludf.DUMMYFUNCTION("IFERROR(IF(REGEXMATCH(LOWER(Raw_Data!C244),""fixed deposit|owealth|savings|target""),""Fixed Deposit"",IF(REGEXMATCH(LOWER(Raw_Data!C244),""airtime""),""Airtime"",IF(REGEXMATCH(LOWER(Raw_Data!C244),""electronic money transfer levy""),""Electronic Money Tr"&amp;"ansfer Levy"",IF(REGEXMATCH(LOWER(Raw_Data!C244),""transfer|trf|send""),""Transfer"",""Other"")))),""Other"")"),"Transfer")</f>
        <v>Transfer</v>
      </c>
      <c r="E238" s="20">
        <v>4500.0</v>
      </c>
      <c r="F238" s="20">
        <v>0.0</v>
      </c>
      <c r="G238" s="12" t="str">
        <f t="shared" si="3"/>
        <v>Withdrawal</v>
      </c>
      <c r="H238" s="12" t="str">
        <f>TEXT(Raw_Data!A244,"hh:mm:ss")
</f>
        <v>08:35:16</v>
      </c>
      <c r="I238" s="20">
        <f t="shared" si="4"/>
        <v>4500</v>
      </c>
    </row>
    <row r="239">
      <c r="A239" s="12" t="str">
        <f>Raw_Data!A245</f>
        <v>26 Jan 2025 08:44:19</v>
      </c>
      <c r="B239" s="12" t="str">
        <f t="shared" si="1"/>
        <v>January</v>
      </c>
      <c r="C239" s="12">
        <f t="shared" si="2"/>
        <v>1</v>
      </c>
      <c r="D239" s="12" t="str">
        <f>IFERROR(__xludf.DUMMYFUNCTION("IFERROR(IF(REGEXMATCH(LOWER(Raw_Data!C245),""fixed deposit|owealth|savings|target""),""Fixed Deposit"",IF(REGEXMATCH(LOWER(Raw_Data!C245),""airtime""),""Airtime"",IF(REGEXMATCH(LOWER(Raw_Data!C245),""electronic money transfer levy""),""Electronic Money Tr"&amp;"ansfer Levy"",IF(REGEXMATCH(LOWER(Raw_Data!C245),""transfer|trf|send""),""Transfer"",""Other"")))),""Other"")"),"Transfer")</f>
        <v>Transfer</v>
      </c>
      <c r="E239" s="20">
        <v>450.0</v>
      </c>
      <c r="F239" s="20">
        <v>0.0</v>
      </c>
      <c r="G239" s="12" t="str">
        <f t="shared" si="3"/>
        <v>Withdrawal</v>
      </c>
      <c r="H239" s="12" t="str">
        <f>TEXT(Raw_Data!A245,"hh:mm:ss")
</f>
        <v>08:44:19</v>
      </c>
      <c r="I239" s="20">
        <f t="shared" si="4"/>
        <v>450</v>
      </c>
    </row>
    <row r="240">
      <c r="A240" s="12" t="str">
        <f>Raw_Data!A246</f>
        <v>26 Jan 2025 08:49:43</v>
      </c>
      <c r="B240" s="12" t="str">
        <f t="shared" si="1"/>
        <v>January</v>
      </c>
      <c r="C240" s="12">
        <f t="shared" si="2"/>
        <v>1</v>
      </c>
      <c r="D240" s="12" t="str">
        <f>IFERROR(__xludf.DUMMYFUNCTION("IFERROR(IF(REGEXMATCH(LOWER(Raw_Data!C246),""fixed deposit|owealth|savings|target""),""Fixed Deposit"",IF(REGEXMATCH(LOWER(Raw_Data!C246),""airtime""),""Airtime"",IF(REGEXMATCH(LOWER(Raw_Data!C246),""electronic money transfer levy""),""Electronic Money Tr"&amp;"ansfer Levy"",IF(REGEXMATCH(LOWER(Raw_Data!C246),""transfer|trf|send""),""Transfer"",""Other"")))),""Other"")"),"Airtime")</f>
        <v>Airtime</v>
      </c>
      <c r="E240" s="20">
        <v>300.0</v>
      </c>
      <c r="F240" s="20">
        <v>0.0</v>
      </c>
      <c r="G240" s="12" t="str">
        <f t="shared" si="3"/>
        <v>Withdrawal</v>
      </c>
      <c r="H240" s="12" t="str">
        <f>TEXT(Raw_Data!A246,"hh:mm:ss")
</f>
        <v>08:49:43</v>
      </c>
      <c r="I240" s="20">
        <f t="shared" si="4"/>
        <v>300</v>
      </c>
    </row>
    <row r="241">
      <c r="A241" s="12" t="str">
        <f>Raw_Data!A247</f>
        <v>26 Jan 2025 08:51:56</v>
      </c>
      <c r="B241" s="12" t="str">
        <f t="shared" si="1"/>
        <v>January</v>
      </c>
      <c r="C241" s="12">
        <f t="shared" si="2"/>
        <v>1</v>
      </c>
      <c r="D241" s="12" t="str">
        <f>IFERROR(__xludf.DUMMYFUNCTION("IFERROR(IF(REGEXMATCH(LOWER(Raw_Data!C247),""fixed deposit|owealth|savings|target""),""Fixed Deposit"",IF(REGEXMATCH(LOWER(Raw_Data!C247),""airtime""),""Airtime"",IF(REGEXMATCH(LOWER(Raw_Data!C247),""electronic money transfer levy""),""Electronic Money Tr"&amp;"ansfer Levy"",IF(REGEXMATCH(LOWER(Raw_Data!C247),""transfer|trf|send""),""Transfer"",""Other"")))),""Other"")"),"Transfer")</f>
        <v>Transfer</v>
      </c>
      <c r="E241" s="20">
        <v>1050.0</v>
      </c>
      <c r="F241" s="20">
        <v>0.0</v>
      </c>
      <c r="G241" s="12" t="str">
        <f t="shared" si="3"/>
        <v>Withdrawal</v>
      </c>
      <c r="H241" s="12" t="str">
        <f>TEXT(Raw_Data!A247,"hh:mm:ss")
</f>
        <v>08:51:56</v>
      </c>
      <c r="I241" s="20">
        <f t="shared" si="4"/>
        <v>1050</v>
      </c>
    </row>
    <row r="242">
      <c r="A242" s="12" t="str">
        <f>Raw_Data!A248</f>
        <v>26 Jan 2025 15:04:46</v>
      </c>
      <c r="B242" s="12" t="str">
        <f t="shared" si="1"/>
        <v>January</v>
      </c>
      <c r="C242" s="12">
        <f t="shared" si="2"/>
        <v>1</v>
      </c>
      <c r="D242" s="12" t="str">
        <f>IFERROR(__xludf.DUMMYFUNCTION("IFERROR(IF(REGEXMATCH(LOWER(Raw_Data!C248),""fixed deposit|owealth|savings|target""),""Fixed Deposit"",IF(REGEXMATCH(LOWER(Raw_Data!C248),""airtime""),""Airtime"",IF(REGEXMATCH(LOWER(Raw_Data!C248),""electronic money transfer levy""),""Electronic Money Tr"&amp;"ansfer Levy"",IF(REGEXMATCH(LOWER(Raw_Data!C248),""transfer|trf|send""),""Transfer"",""Other"")))),""Other"")"),"Transfer")</f>
        <v>Transfer</v>
      </c>
      <c r="E242" s="20">
        <v>500.0</v>
      </c>
      <c r="F242" s="20">
        <v>0.0</v>
      </c>
      <c r="G242" s="12" t="str">
        <f t="shared" si="3"/>
        <v>Withdrawal</v>
      </c>
      <c r="H242" s="12" t="str">
        <f>TEXT(Raw_Data!A248,"hh:mm:ss")
</f>
        <v>15:04:46</v>
      </c>
      <c r="I242" s="20">
        <f t="shared" si="4"/>
        <v>500</v>
      </c>
    </row>
    <row r="243">
      <c r="A243" s="12" t="str">
        <f>Raw_Data!A249</f>
        <v>26 Jan 2025 20:23:14</v>
      </c>
      <c r="B243" s="12" t="str">
        <f t="shared" si="1"/>
        <v>January</v>
      </c>
      <c r="C243" s="12">
        <f t="shared" si="2"/>
        <v>1</v>
      </c>
      <c r="D243" s="12" t="str">
        <f>IFERROR(__xludf.DUMMYFUNCTION("IFERROR(IF(REGEXMATCH(LOWER(Raw_Data!C249),""fixed deposit|owealth|savings|target""),""Fixed Deposit"",IF(REGEXMATCH(LOWER(Raw_Data!C249),""airtime""),""Airtime"",IF(REGEXMATCH(LOWER(Raw_Data!C249),""electronic money transfer levy""),""Electronic Money Tr"&amp;"ansfer Levy"",IF(REGEXMATCH(LOWER(Raw_Data!C249),""transfer|trf|send""),""Transfer"",""Other"")))),""Other"")"),"Transfer")</f>
        <v>Transfer</v>
      </c>
      <c r="E243" s="20">
        <v>1060.0</v>
      </c>
      <c r="F243" s="20">
        <v>0.0</v>
      </c>
      <c r="G243" s="12" t="str">
        <f t="shared" si="3"/>
        <v>Withdrawal</v>
      </c>
      <c r="H243" s="12" t="str">
        <f>TEXT(Raw_Data!A249,"hh:mm:ss")
</f>
        <v>20:23:14</v>
      </c>
      <c r="I243" s="20">
        <f t="shared" si="4"/>
        <v>1060</v>
      </c>
    </row>
    <row r="244">
      <c r="A244" s="12" t="str">
        <f>Raw_Data!A250</f>
        <v>27 Jan 2025 08:33:03</v>
      </c>
      <c r="B244" s="12" t="str">
        <f t="shared" si="1"/>
        <v>January</v>
      </c>
      <c r="C244" s="12">
        <f t="shared" si="2"/>
        <v>1</v>
      </c>
      <c r="D244" s="12" t="str">
        <f>IFERROR(__xludf.DUMMYFUNCTION("IFERROR(IF(REGEXMATCH(LOWER(Raw_Data!C250),""fixed deposit|owealth|savings|target""),""Fixed Deposit"",IF(REGEXMATCH(LOWER(Raw_Data!C250),""airtime""),""Airtime"",IF(REGEXMATCH(LOWER(Raw_Data!C250),""electronic money transfer levy""),""Electronic Money Tr"&amp;"ansfer Levy"",IF(REGEXMATCH(LOWER(Raw_Data!C250),""transfer|trf|send""),""Transfer"",""Other"")))),""Other"")"),"Transfer")</f>
        <v>Transfer</v>
      </c>
      <c r="E244" s="20">
        <v>150.0</v>
      </c>
      <c r="F244" s="20">
        <v>0.0</v>
      </c>
      <c r="G244" s="12" t="str">
        <f t="shared" si="3"/>
        <v>Withdrawal</v>
      </c>
      <c r="H244" s="12" t="str">
        <f>TEXT(Raw_Data!A250,"hh:mm:ss")
</f>
        <v>08:33:03</v>
      </c>
      <c r="I244" s="20">
        <f t="shared" si="4"/>
        <v>150</v>
      </c>
    </row>
    <row r="245">
      <c r="A245" s="12" t="str">
        <f>Raw_Data!A251</f>
        <v>27 Jan 2025 13:27:55</v>
      </c>
      <c r="B245" s="12" t="str">
        <f t="shared" si="1"/>
        <v>January</v>
      </c>
      <c r="C245" s="12">
        <f t="shared" si="2"/>
        <v>1</v>
      </c>
      <c r="D245" s="12" t="str">
        <f>IFERROR(__xludf.DUMMYFUNCTION("IFERROR(IF(REGEXMATCH(LOWER(Raw_Data!C251),""fixed deposit|owealth|savings|target""),""Fixed Deposit"",IF(REGEXMATCH(LOWER(Raw_Data!C251),""airtime""),""Airtime"",IF(REGEXMATCH(LOWER(Raw_Data!C251),""electronic money transfer levy""),""Electronic Money Tr"&amp;"ansfer Levy"",IF(REGEXMATCH(LOWER(Raw_Data!C251),""transfer|trf|send""),""Transfer"",""Other"")))),""Other"")"),"Transfer")</f>
        <v>Transfer</v>
      </c>
      <c r="E245" s="20">
        <v>400.0</v>
      </c>
      <c r="F245" s="20">
        <v>0.0</v>
      </c>
      <c r="G245" s="12" t="str">
        <f t="shared" si="3"/>
        <v>Withdrawal</v>
      </c>
      <c r="H245" s="12" t="str">
        <f>TEXT(Raw_Data!A251,"hh:mm:ss")
</f>
        <v>13:27:55</v>
      </c>
      <c r="I245" s="20">
        <f t="shared" si="4"/>
        <v>400</v>
      </c>
    </row>
    <row r="246">
      <c r="A246" s="12" t="str">
        <f>Raw_Data!A252</f>
        <v>27 Jan 2025 13:55:03</v>
      </c>
      <c r="B246" s="12" t="str">
        <f t="shared" si="1"/>
        <v>January</v>
      </c>
      <c r="C246" s="12">
        <f t="shared" si="2"/>
        <v>1</v>
      </c>
      <c r="D246" s="12" t="str">
        <f>IFERROR(__xludf.DUMMYFUNCTION("IFERROR(IF(REGEXMATCH(LOWER(Raw_Data!C252),""fixed deposit|owealth|savings|target""),""Fixed Deposit"",IF(REGEXMATCH(LOWER(Raw_Data!C252),""airtime""),""Airtime"",IF(REGEXMATCH(LOWER(Raw_Data!C252),""electronic money transfer levy""),""Electronic Money Tr"&amp;"ansfer Levy"",IF(REGEXMATCH(LOWER(Raw_Data!C252),""transfer|trf|send""),""Transfer"",""Other"")))),""Other"")"),"Transfer")</f>
        <v>Transfer</v>
      </c>
      <c r="E246" s="20">
        <v>2200.0</v>
      </c>
      <c r="F246" s="20">
        <v>0.0</v>
      </c>
      <c r="G246" s="12" t="str">
        <f t="shared" si="3"/>
        <v>Withdrawal</v>
      </c>
      <c r="H246" s="12" t="str">
        <f>TEXT(Raw_Data!A252,"hh:mm:ss")
</f>
        <v>13:55:03</v>
      </c>
      <c r="I246" s="20">
        <f t="shared" si="4"/>
        <v>2200</v>
      </c>
    </row>
    <row r="247">
      <c r="A247" s="12" t="str">
        <f>Raw_Data!A253</f>
        <v>27 Jan 2025 15:59:59</v>
      </c>
      <c r="B247" s="12" t="str">
        <f t="shared" si="1"/>
        <v>January</v>
      </c>
      <c r="C247" s="12">
        <f t="shared" si="2"/>
        <v>1</v>
      </c>
      <c r="D247" s="12" t="str">
        <f>IFERROR(__xludf.DUMMYFUNCTION("IFERROR(IF(REGEXMATCH(LOWER(Raw_Data!C253),""fixed deposit|owealth|savings|target""),""Fixed Deposit"",IF(REGEXMATCH(LOWER(Raw_Data!C253),""airtime""),""Airtime"",IF(REGEXMATCH(LOWER(Raw_Data!C253),""electronic money transfer levy""),""Electronic Money Tr"&amp;"ansfer Levy"",IF(REGEXMATCH(LOWER(Raw_Data!C253),""transfer|trf|send""),""Transfer"",""Other"")))),""Other"")"),"Transfer")</f>
        <v>Transfer</v>
      </c>
      <c r="E247" s="20">
        <v>200.0</v>
      </c>
      <c r="F247" s="20">
        <v>0.0</v>
      </c>
      <c r="G247" s="12" t="str">
        <f t="shared" si="3"/>
        <v>Withdrawal</v>
      </c>
      <c r="H247" s="12" t="str">
        <f>TEXT(Raw_Data!A253,"hh:mm:ss")
</f>
        <v>15:59:59</v>
      </c>
      <c r="I247" s="20">
        <f t="shared" si="4"/>
        <v>200</v>
      </c>
    </row>
    <row r="248">
      <c r="A248" s="12" t="str">
        <f>Raw_Data!A254</f>
        <v>27 Jan 2025 17:44:27</v>
      </c>
      <c r="B248" s="12" t="str">
        <f t="shared" si="1"/>
        <v>January</v>
      </c>
      <c r="C248" s="12">
        <f t="shared" si="2"/>
        <v>1</v>
      </c>
      <c r="D248" s="12" t="str">
        <f>IFERROR(__xludf.DUMMYFUNCTION("IFERROR(IF(REGEXMATCH(LOWER(Raw_Data!C254),""fixed deposit|owealth|savings|target""),""Fixed Deposit"",IF(REGEXMATCH(LOWER(Raw_Data!C254),""airtime""),""Airtime"",IF(REGEXMATCH(LOWER(Raw_Data!C254),""electronic money transfer levy""),""Electronic Money Tr"&amp;"ansfer Levy"",IF(REGEXMATCH(LOWER(Raw_Data!C254),""transfer|trf|send""),""Transfer"",""Other"")))),""Other"")"),"Transfer")</f>
        <v>Transfer</v>
      </c>
      <c r="E248" s="20">
        <v>0.0</v>
      </c>
      <c r="F248" s="20">
        <v>9682.0</v>
      </c>
      <c r="G248" s="12" t="str">
        <f t="shared" si="3"/>
        <v>Deposit</v>
      </c>
      <c r="H248" s="12" t="str">
        <f>TEXT(Raw_Data!A254,"hh:mm:ss")
</f>
        <v>17:44:27</v>
      </c>
      <c r="I248" s="20">
        <f t="shared" si="4"/>
        <v>9682</v>
      </c>
    </row>
    <row r="249">
      <c r="A249" s="12" t="str">
        <f>Raw_Data!A255</f>
        <v>27 Jan 2025 17:45:27</v>
      </c>
      <c r="B249" s="12" t="str">
        <f t="shared" si="1"/>
        <v>January</v>
      </c>
      <c r="C249" s="12">
        <f t="shared" si="2"/>
        <v>1</v>
      </c>
      <c r="D249" s="12" t="str">
        <f>IFERROR(__xludf.DUMMYFUNCTION("IFERROR(IF(REGEXMATCH(LOWER(Raw_Data!C255),""fixed deposit|owealth|savings|target""),""Fixed Deposit"",IF(REGEXMATCH(LOWER(Raw_Data!C255),""airtime""),""Airtime"",IF(REGEXMATCH(LOWER(Raw_Data!C255),""electronic money transfer levy""),""Electronic Money Tr"&amp;"ansfer Levy"",IF(REGEXMATCH(LOWER(Raw_Data!C255),""transfer|trf|send""),""Transfer"",""Other"")))),""Other"")"),"Transfer")</f>
        <v>Transfer</v>
      </c>
      <c r="E249" s="20">
        <v>9600.0</v>
      </c>
      <c r="F249" s="20">
        <v>0.0</v>
      </c>
      <c r="G249" s="12" t="str">
        <f t="shared" si="3"/>
        <v>Withdrawal</v>
      </c>
      <c r="H249" s="12" t="str">
        <f>TEXT(Raw_Data!A255,"hh:mm:ss")
</f>
        <v>17:45:27</v>
      </c>
      <c r="I249" s="20">
        <f t="shared" si="4"/>
        <v>9600</v>
      </c>
    </row>
    <row r="250">
      <c r="A250" s="12" t="str">
        <f>Raw_Data!A256</f>
        <v>27 Jan 2025 19:22:42</v>
      </c>
      <c r="B250" s="12" t="str">
        <f t="shared" si="1"/>
        <v>January</v>
      </c>
      <c r="C250" s="12">
        <f t="shared" si="2"/>
        <v>1</v>
      </c>
      <c r="D250" s="12" t="str">
        <f>IFERROR(__xludf.DUMMYFUNCTION("IFERROR(IF(REGEXMATCH(LOWER(Raw_Data!C256),""fixed deposit|owealth|savings|target""),""Fixed Deposit"",IF(REGEXMATCH(LOWER(Raw_Data!C256),""airtime""),""Airtime"",IF(REGEXMATCH(LOWER(Raw_Data!C256),""electronic money transfer levy""),""Electronic Money Tr"&amp;"ansfer Levy"",IF(REGEXMATCH(LOWER(Raw_Data!C256),""transfer|trf|send""),""Transfer"",""Other"")))),""Other"")"),"Transfer")</f>
        <v>Transfer</v>
      </c>
      <c r="E250" s="20">
        <v>500.0</v>
      </c>
      <c r="F250" s="20">
        <v>0.0</v>
      </c>
      <c r="G250" s="12" t="str">
        <f t="shared" si="3"/>
        <v>Withdrawal</v>
      </c>
      <c r="H250" s="12" t="str">
        <f>TEXT(Raw_Data!A256,"hh:mm:ss")
</f>
        <v>19:22:42</v>
      </c>
      <c r="I250" s="20">
        <f t="shared" si="4"/>
        <v>500</v>
      </c>
    </row>
    <row r="251">
      <c r="A251" s="12" t="str">
        <f>Raw_Data!A257</f>
        <v>28 Jan 2025 05:12:35</v>
      </c>
      <c r="B251" s="12" t="str">
        <f t="shared" si="1"/>
        <v>January</v>
      </c>
      <c r="C251" s="12">
        <f t="shared" si="2"/>
        <v>1</v>
      </c>
      <c r="D251" s="12" t="str">
        <f>IFERROR(__xludf.DUMMYFUNCTION("IFERROR(IF(REGEXMATCH(LOWER(Raw_Data!C257),""fixed deposit|owealth|savings|target""),""Fixed Deposit"",IF(REGEXMATCH(LOWER(Raw_Data!C257),""airtime""),""Airtime"",IF(REGEXMATCH(LOWER(Raw_Data!C257),""electronic money transfer levy""),""Electronic Money Tr"&amp;"ansfer Levy"",IF(REGEXMATCH(LOWER(Raw_Data!C257),""transfer|trf|send""),""Transfer"",""Other"")))),""Other"")"),"Airtime")</f>
        <v>Airtime</v>
      </c>
      <c r="E251" s="20">
        <v>100.0</v>
      </c>
      <c r="F251" s="20">
        <v>0.0</v>
      </c>
      <c r="G251" s="12" t="str">
        <f t="shared" si="3"/>
        <v>Withdrawal</v>
      </c>
      <c r="H251" s="12" t="str">
        <f>TEXT(Raw_Data!A257,"hh:mm:ss")
</f>
        <v>05:12:35</v>
      </c>
      <c r="I251" s="20">
        <f t="shared" si="4"/>
        <v>100</v>
      </c>
    </row>
    <row r="252">
      <c r="A252" s="12" t="str">
        <f>Raw_Data!A258</f>
        <v>28 Jan 2025 05:13:12</v>
      </c>
      <c r="B252" s="12" t="str">
        <f t="shared" si="1"/>
        <v>January</v>
      </c>
      <c r="C252" s="12">
        <f t="shared" si="2"/>
        <v>1</v>
      </c>
      <c r="D252" s="12" t="str">
        <f>IFERROR(__xludf.DUMMYFUNCTION("IFERROR(IF(REGEXMATCH(LOWER(Raw_Data!C258),""fixed deposit|owealth|savings|target""),""Fixed Deposit"",IF(REGEXMATCH(LOWER(Raw_Data!C258),""airtime""),""Airtime"",IF(REGEXMATCH(LOWER(Raw_Data!C258),""electronic money transfer levy""),""Electronic Money Tr"&amp;"ansfer Levy"",IF(REGEXMATCH(LOWER(Raw_Data!C258),""transfer|trf|send""),""Transfer"",""Other"")))),""Other"")"),"Transfer")</f>
        <v>Transfer</v>
      </c>
      <c r="E252" s="20">
        <v>200.0</v>
      </c>
      <c r="F252" s="20">
        <v>0.0</v>
      </c>
      <c r="G252" s="12" t="str">
        <f t="shared" si="3"/>
        <v>Withdrawal</v>
      </c>
      <c r="H252" s="12" t="str">
        <f>TEXT(Raw_Data!A258,"hh:mm:ss")
</f>
        <v>05:13:12</v>
      </c>
      <c r="I252" s="20">
        <f t="shared" si="4"/>
        <v>200</v>
      </c>
    </row>
    <row r="253">
      <c r="A253" s="12" t="str">
        <f>Raw_Data!A259</f>
        <v>28 Jan 2025 05:26:01</v>
      </c>
      <c r="B253" s="12" t="str">
        <f t="shared" si="1"/>
        <v>January</v>
      </c>
      <c r="C253" s="12">
        <f t="shared" si="2"/>
        <v>1</v>
      </c>
      <c r="D253" s="12" t="str">
        <f>IFERROR(__xludf.DUMMYFUNCTION("IFERROR(IF(REGEXMATCH(LOWER(Raw_Data!C259),""fixed deposit|owealth|savings|target""),""Fixed Deposit"",IF(REGEXMATCH(LOWER(Raw_Data!C259),""airtime""),""Airtime"",IF(REGEXMATCH(LOWER(Raw_Data!C259),""electronic money transfer levy""),""Electronic Money Tr"&amp;"ansfer Levy"",IF(REGEXMATCH(LOWER(Raw_Data!C259),""transfer|trf|send""),""Transfer"",""Other"")))),""Other"")"),"Transfer")</f>
        <v>Transfer</v>
      </c>
      <c r="E253" s="20">
        <v>300.0</v>
      </c>
      <c r="F253" s="20">
        <v>0.0</v>
      </c>
      <c r="G253" s="12" t="str">
        <f t="shared" si="3"/>
        <v>Withdrawal</v>
      </c>
      <c r="H253" s="12" t="str">
        <f>TEXT(Raw_Data!A259,"hh:mm:ss")
</f>
        <v>05:26:01</v>
      </c>
      <c r="I253" s="20">
        <f t="shared" si="4"/>
        <v>300</v>
      </c>
    </row>
    <row r="254">
      <c r="A254" s="12" t="str">
        <f>Raw_Data!A260</f>
        <v>28 Jan 2025 12:24:35</v>
      </c>
      <c r="B254" s="12" t="str">
        <f t="shared" si="1"/>
        <v>January</v>
      </c>
      <c r="C254" s="12">
        <f t="shared" si="2"/>
        <v>1</v>
      </c>
      <c r="D254" s="12" t="str">
        <f>IFERROR(__xludf.DUMMYFUNCTION("IFERROR(IF(REGEXMATCH(LOWER(Raw_Data!C260),""fixed deposit|owealth|savings|target""),""Fixed Deposit"",IF(REGEXMATCH(LOWER(Raw_Data!C260),""airtime""),""Airtime"",IF(REGEXMATCH(LOWER(Raw_Data!C260),""electronic money transfer levy""),""Electronic Money Tr"&amp;"ansfer Levy"",IF(REGEXMATCH(LOWER(Raw_Data!C260),""transfer|trf|send""),""Transfer"",""Other"")))),""Other"")"),"Transfer")</f>
        <v>Transfer</v>
      </c>
      <c r="E254" s="20">
        <v>5000.0</v>
      </c>
      <c r="F254" s="20">
        <v>0.0</v>
      </c>
      <c r="G254" s="12" t="str">
        <f t="shared" si="3"/>
        <v>Withdrawal</v>
      </c>
      <c r="H254" s="12" t="str">
        <f>TEXT(Raw_Data!A260,"hh:mm:ss")
</f>
        <v>12:24:35</v>
      </c>
      <c r="I254" s="20">
        <f t="shared" si="4"/>
        <v>5000</v>
      </c>
    </row>
    <row r="255">
      <c r="A255" s="12" t="str">
        <f>Raw_Data!A261</f>
        <v>28 Jan 2025 13:19:49</v>
      </c>
      <c r="B255" s="12" t="str">
        <f t="shared" si="1"/>
        <v>January</v>
      </c>
      <c r="C255" s="12">
        <f t="shared" si="2"/>
        <v>1</v>
      </c>
      <c r="D255" s="12" t="str">
        <f>IFERROR(__xludf.DUMMYFUNCTION("IFERROR(IF(REGEXMATCH(LOWER(Raw_Data!C261),""fixed deposit|owealth|savings|target""),""Fixed Deposit"",IF(REGEXMATCH(LOWER(Raw_Data!C261),""airtime""),""Airtime"",IF(REGEXMATCH(LOWER(Raw_Data!C261),""electronic money transfer levy""),""Electronic Money Tr"&amp;"ansfer Levy"",IF(REGEXMATCH(LOWER(Raw_Data!C261),""transfer|trf|send""),""Transfer"",""Other"")))),""Other"")"),"Transfer")</f>
        <v>Transfer</v>
      </c>
      <c r="E255" s="20">
        <v>100.0</v>
      </c>
      <c r="F255" s="20">
        <v>0.0</v>
      </c>
      <c r="G255" s="12" t="str">
        <f t="shared" si="3"/>
        <v>Withdrawal</v>
      </c>
      <c r="H255" s="12" t="str">
        <f>TEXT(Raw_Data!A261,"hh:mm:ss")
</f>
        <v>13:19:49</v>
      </c>
      <c r="I255" s="20">
        <f t="shared" si="4"/>
        <v>100</v>
      </c>
    </row>
    <row r="256">
      <c r="A256" s="12" t="str">
        <f>Raw_Data!A262</f>
        <v>28 Jan 2025 13:40:44</v>
      </c>
      <c r="B256" s="12" t="str">
        <f t="shared" si="1"/>
        <v>January</v>
      </c>
      <c r="C256" s="12">
        <f t="shared" si="2"/>
        <v>1</v>
      </c>
      <c r="D256" s="12" t="str">
        <f>IFERROR(__xludf.DUMMYFUNCTION("IFERROR(IF(REGEXMATCH(LOWER(Raw_Data!C262),""fixed deposit|owealth|savings|target""),""Fixed Deposit"",IF(REGEXMATCH(LOWER(Raw_Data!C262),""airtime""),""Airtime"",IF(REGEXMATCH(LOWER(Raw_Data!C262),""electronic money transfer levy""),""Electronic Money Tr"&amp;"ansfer Levy"",IF(REGEXMATCH(LOWER(Raw_Data!C262),""transfer|trf|send""),""Transfer"",""Other"")))),""Other"")"),"Transfer")</f>
        <v>Transfer</v>
      </c>
      <c r="E256" s="20">
        <v>0.0</v>
      </c>
      <c r="F256" s="20">
        <v>1650.0</v>
      </c>
      <c r="G256" s="12" t="str">
        <f t="shared" si="3"/>
        <v>Deposit</v>
      </c>
      <c r="H256" s="12" t="str">
        <f>TEXT(Raw_Data!A262,"hh:mm:ss")
</f>
        <v>13:40:44</v>
      </c>
      <c r="I256" s="20">
        <f t="shared" si="4"/>
        <v>1650</v>
      </c>
    </row>
    <row r="257">
      <c r="A257" s="12" t="str">
        <f>Raw_Data!A263</f>
        <v>28 Jan 2025 13:41:49</v>
      </c>
      <c r="B257" s="12" t="str">
        <f t="shared" si="1"/>
        <v>January</v>
      </c>
      <c r="C257" s="12">
        <f t="shared" si="2"/>
        <v>1</v>
      </c>
      <c r="D257" s="12" t="str">
        <f>IFERROR(__xludf.DUMMYFUNCTION("IFERROR(IF(REGEXMATCH(LOWER(Raw_Data!C263),""fixed deposit|owealth|savings|target""),""Fixed Deposit"",IF(REGEXMATCH(LOWER(Raw_Data!C263),""airtime""),""Airtime"",IF(REGEXMATCH(LOWER(Raw_Data!C263),""electronic money transfer levy""),""Electronic Money Tr"&amp;"ansfer Levy"",IF(REGEXMATCH(LOWER(Raw_Data!C263),""transfer|trf|send""),""Transfer"",""Other"")))),""Other"")"),"Transfer")</f>
        <v>Transfer</v>
      </c>
      <c r="E257" s="20">
        <v>2150.0</v>
      </c>
      <c r="F257" s="20">
        <v>0.0</v>
      </c>
      <c r="G257" s="12" t="str">
        <f t="shared" si="3"/>
        <v>Withdrawal</v>
      </c>
      <c r="H257" s="12" t="str">
        <f>TEXT(Raw_Data!A263,"hh:mm:ss")
</f>
        <v>13:41:49</v>
      </c>
      <c r="I257" s="20">
        <f t="shared" si="4"/>
        <v>2150</v>
      </c>
    </row>
    <row r="258">
      <c r="A258" s="12" t="str">
        <f>Raw_Data!A264</f>
        <v>28 Jan 2025 22:20:00</v>
      </c>
      <c r="B258" s="12" t="str">
        <f t="shared" si="1"/>
        <v>January</v>
      </c>
      <c r="C258" s="12">
        <f t="shared" si="2"/>
        <v>1</v>
      </c>
      <c r="D258" s="12" t="str">
        <f>IFERROR(__xludf.DUMMYFUNCTION("IFERROR(IF(REGEXMATCH(LOWER(Raw_Data!C264),""fixed deposit|owealth|savings|target""),""Fixed Deposit"",IF(REGEXMATCH(LOWER(Raw_Data!C264),""airtime""),""Airtime"",IF(REGEXMATCH(LOWER(Raw_Data!C264),""electronic money transfer levy""),""Electronic Money Tr"&amp;"ansfer Levy"",IF(REGEXMATCH(LOWER(Raw_Data!C264),""transfer|trf|send""),""Transfer"",""Other"")))),""Other"")"),"Transfer")</f>
        <v>Transfer</v>
      </c>
      <c r="E258" s="20">
        <v>200.0</v>
      </c>
      <c r="F258" s="20">
        <v>0.0</v>
      </c>
      <c r="G258" s="12" t="str">
        <f t="shared" si="3"/>
        <v>Withdrawal</v>
      </c>
      <c r="H258" s="12" t="str">
        <f>TEXT(Raw_Data!A264,"hh:mm:ss")
</f>
        <v>22:20:00</v>
      </c>
      <c r="I258" s="20">
        <f t="shared" si="4"/>
        <v>200</v>
      </c>
    </row>
    <row r="259">
      <c r="A259" s="12" t="str">
        <f>Raw_Data!A265</f>
        <v>29 Jan 2025 07:22:55</v>
      </c>
      <c r="B259" s="12" t="str">
        <f t="shared" si="1"/>
        <v>January</v>
      </c>
      <c r="C259" s="12">
        <f t="shared" si="2"/>
        <v>1</v>
      </c>
      <c r="D259" s="12" t="str">
        <f>IFERROR(__xludf.DUMMYFUNCTION("IFERROR(IF(REGEXMATCH(LOWER(Raw_Data!C265),""fixed deposit|owealth|savings|target""),""Fixed Deposit"",IF(REGEXMATCH(LOWER(Raw_Data!C265),""airtime""),""Airtime"",IF(REGEXMATCH(LOWER(Raw_Data!C265),""electronic money transfer levy""),""Electronic Money Tr"&amp;"ansfer Levy"",IF(REGEXMATCH(LOWER(Raw_Data!C265),""transfer|trf|send""),""Transfer"",""Other"")))),""Other"")"),"Transfer")</f>
        <v>Transfer</v>
      </c>
      <c r="E259" s="20">
        <v>400.0</v>
      </c>
      <c r="F259" s="20">
        <v>0.0</v>
      </c>
      <c r="G259" s="12" t="str">
        <f t="shared" si="3"/>
        <v>Withdrawal</v>
      </c>
      <c r="H259" s="12" t="str">
        <f>TEXT(Raw_Data!A265,"hh:mm:ss")
</f>
        <v>07:22:55</v>
      </c>
      <c r="I259" s="20">
        <f t="shared" si="4"/>
        <v>400</v>
      </c>
    </row>
    <row r="260">
      <c r="A260" s="12" t="str">
        <f>Raw_Data!A266</f>
        <v>29 Jan 2025 09:31:30</v>
      </c>
      <c r="B260" s="12" t="str">
        <f t="shared" si="1"/>
        <v>January</v>
      </c>
      <c r="C260" s="12">
        <f t="shared" si="2"/>
        <v>1</v>
      </c>
      <c r="D260" s="12" t="str">
        <f>IFERROR(__xludf.DUMMYFUNCTION("IFERROR(IF(REGEXMATCH(LOWER(Raw_Data!C266),""fixed deposit|owealth|savings|target""),""Fixed Deposit"",IF(REGEXMATCH(LOWER(Raw_Data!C266),""airtime""),""Airtime"",IF(REGEXMATCH(LOWER(Raw_Data!C266),""electronic money transfer levy""),""Electronic Money Tr"&amp;"ansfer Levy"",IF(REGEXMATCH(LOWER(Raw_Data!C266),""transfer|trf|send""),""Transfer"",""Other"")))),""Other"")"),"Transfer")</f>
        <v>Transfer</v>
      </c>
      <c r="E260" s="20">
        <v>0.0</v>
      </c>
      <c r="F260" s="20">
        <v>800.0</v>
      </c>
      <c r="G260" s="12" t="str">
        <f t="shared" si="3"/>
        <v>Deposit</v>
      </c>
      <c r="H260" s="12" t="str">
        <f>TEXT(Raw_Data!A266,"hh:mm:ss")
</f>
        <v>09:31:30</v>
      </c>
      <c r="I260" s="20">
        <f t="shared" si="4"/>
        <v>800</v>
      </c>
    </row>
    <row r="261">
      <c r="A261" s="12" t="str">
        <f>Raw_Data!A267</f>
        <v>29 Jan 2025 09:34:25</v>
      </c>
      <c r="B261" s="12" t="str">
        <f t="shared" si="1"/>
        <v>January</v>
      </c>
      <c r="C261" s="12">
        <f t="shared" si="2"/>
        <v>1</v>
      </c>
      <c r="D261" s="12" t="str">
        <f>IFERROR(__xludf.DUMMYFUNCTION("IFERROR(IF(REGEXMATCH(LOWER(Raw_Data!C267),""fixed deposit|owealth|savings|target""),""Fixed Deposit"",IF(REGEXMATCH(LOWER(Raw_Data!C267),""airtime""),""Airtime"",IF(REGEXMATCH(LOWER(Raw_Data!C267),""electronic money transfer levy""),""Electronic Money Tr"&amp;"ansfer Levy"",IF(REGEXMATCH(LOWER(Raw_Data!C267),""transfer|trf|send""),""Transfer"",""Other"")))),""Other"")"),"Transfer")</f>
        <v>Transfer</v>
      </c>
      <c r="E261" s="20">
        <v>800.0</v>
      </c>
      <c r="F261" s="20">
        <v>0.0</v>
      </c>
      <c r="G261" s="12" t="str">
        <f t="shared" si="3"/>
        <v>Withdrawal</v>
      </c>
      <c r="H261" s="12" t="str">
        <f>TEXT(Raw_Data!A267,"hh:mm:ss")
</f>
        <v>09:34:25</v>
      </c>
      <c r="I261" s="20">
        <f t="shared" si="4"/>
        <v>800</v>
      </c>
    </row>
    <row r="262">
      <c r="A262" s="12" t="str">
        <f>Raw_Data!A268</f>
        <v>29 Jan 2025 21:19:03</v>
      </c>
      <c r="B262" s="12" t="str">
        <f t="shared" si="1"/>
        <v>January</v>
      </c>
      <c r="C262" s="12">
        <f t="shared" si="2"/>
        <v>1</v>
      </c>
      <c r="D262" s="12" t="str">
        <f>IFERROR(__xludf.DUMMYFUNCTION("IFERROR(IF(REGEXMATCH(LOWER(Raw_Data!C268),""fixed deposit|owealth|savings|target""),""Fixed Deposit"",IF(REGEXMATCH(LOWER(Raw_Data!C268),""airtime""),""Airtime"",IF(REGEXMATCH(LOWER(Raw_Data!C268),""electronic money transfer levy""),""Electronic Money Tr"&amp;"ansfer Levy"",IF(REGEXMATCH(LOWER(Raw_Data!C268),""transfer|trf|send""),""Transfer"",""Other"")))),""Other"")"),"Transfer")</f>
        <v>Transfer</v>
      </c>
      <c r="E262" s="20">
        <v>0.0</v>
      </c>
      <c r="F262" s="20">
        <v>1000.0</v>
      </c>
      <c r="G262" s="12" t="str">
        <f t="shared" si="3"/>
        <v>Deposit</v>
      </c>
      <c r="H262" s="12" t="str">
        <f>TEXT(Raw_Data!A268,"hh:mm:ss")
</f>
        <v>21:19:03</v>
      </c>
      <c r="I262" s="20">
        <f t="shared" si="4"/>
        <v>1000</v>
      </c>
    </row>
    <row r="263">
      <c r="A263" s="12" t="str">
        <f>Raw_Data!A269</f>
        <v>29 Jan 2025 21:25:48</v>
      </c>
      <c r="B263" s="12" t="str">
        <f t="shared" si="1"/>
        <v>January</v>
      </c>
      <c r="C263" s="12">
        <f t="shared" si="2"/>
        <v>1</v>
      </c>
      <c r="D263" s="12" t="str">
        <f>IFERROR(__xludf.DUMMYFUNCTION("IFERROR(IF(REGEXMATCH(LOWER(Raw_Data!C269),""fixed deposit|owealth|savings|target""),""Fixed Deposit"",IF(REGEXMATCH(LOWER(Raw_Data!C269),""airtime""),""Airtime"",IF(REGEXMATCH(LOWER(Raw_Data!C269),""electronic money transfer levy""),""Electronic Money Tr"&amp;"ansfer Levy"",IF(REGEXMATCH(LOWER(Raw_Data!C269),""transfer|trf|send""),""Transfer"",""Other"")))),""Other"")"),"Transfer")</f>
        <v>Transfer</v>
      </c>
      <c r="E263" s="20">
        <v>250.0</v>
      </c>
      <c r="F263" s="20">
        <v>0.0</v>
      </c>
      <c r="G263" s="12" t="str">
        <f t="shared" si="3"/>
        <v>Withdrawal</v>
      </c>
      <c r="H263" s="12" t="str">
        <f>TEXT(Raw_Data!A269,"hh:mm:ss")
</f>
        <v>21:25:48</v>
      </c>
      <c r="I263" s="20">
        <f t="shared" si="4"/>
        <v>250</v>
      </c>
    </row>
    <row r="264">
      <c r="A264" s="12" t="str">
        <f>Raw_Data!A270</f>
        <v>30 Jan 2025 09:35:11</v>
      </c>
      <c r="B264" s="12" t="str">
        <f t="shared" si="1"/>
        <v>January</v>
      </c>
      <c r="C264" s="12">
        <f t="shared" si="2"/>
        <v>1</v>
      </c>
      <c r="D264" s="12" t="str">
        <f>IFERROR(__xludf.DUMMYFUNCTION("IFERROR(IF(REGEXMATCH(LOWER(Raw_Data!C270),""fixed deposit|owealth|savings|target""),""Fixed Deposit"",IF(REGEXMATCH(LOWER(Raw_Data!C270),""airtime""),""Airtime"",IF(REGEXMATCH(LOWER(Raw_Data!C270),""electronic money transfer levy""),""Electronic Money Tr"&amp;"ansfer Levy"",IF(REGEXMATCH(LOWER(Raw_Data!C270),""transfer|trf|send""),""Transfer"",""Other"")))),""Other"")"),"Transfer")</f>
        <v>Transfer</v>
      </c>
      <c r="E264" s="20">
        <v>300.0</v>
      </c>
      <c r="F264" s="20">
        <v>0.0</v>
      </c>
      <c r="G264" s="12" t="str">
        <f t="shared" si="3"/>
        <v>Withdrawal</v>
      </c>
      <c r="H264" s="12" t="str">
        <f>TEXT(Raw_Data!A270,"hh:mm:ss")
</f>
        <v>09:35:11</v>
      </c>
      <c r="I264" s="20">
        <f t="shared" si="4"/>
        <v>300</v>
      </c>
    </row>
    <row r="265">
      <c r="A265" s="12" t="str">
        <f>Raw_Data!A271</f>
        <v>30 Jan 2025 16:03:40</v>
      </c>
      <c r="B265" s="12" t="str">
        <f t="shared" si="1"/>
        <v>January</v>
      </c>
      <c r="C265" s="12">
        <f t="shared" si="2"/>
        <v>1</v>
      </c>
      <c r="D265" s="12" t="str">
        <f>IFERROR(__xludf.DUMMYFUNCTION("IFERROR(IF(REGEXMATCH(LOWER(Raw_Data!C271),""fixed deposit|owealth|savings|target""),""Fixed Deposit"",IF(REGEXMATCH(LOWER(Raw_Data!C271),""airtime""),""Airtime"",IF(REGEXMATCH(LOWER(Raw_Data!C271),""electronic money transfer levy""),""Electronic Money Tr"&amp;"ansfer Levy"",IF(REGEXMATCH(LOWER(Raw_Data!C271),""transfer|trf|send""),""Transfer"",""Other"")))),""Other"")"),"Transfer")</f>
        <v>Transfer</v>
      </c>
      <c r="E265" s="20">
        <v>0.0</v>
      </c>
      <c r="F265" s="20">
        <v>1000.0</v>
      </c>
      <c r="G265" s="12" t="str">
        <f t="shared" si="3"/>
        <v>Deposit</v>
      </c>
      <c r="H265" s="12" t="str">
        <f>TEXT(Raw_Data!A271,"hh:mm:ss")
</f>
        <v>16:03:40</v>
      </c>
      <c r="I265" s="20">
        <f t="shared" si="4"/>
        <v>1000</v>
      </c>
    </row>
    <row r="266">
      <c r="A266" s="12" t="str">
        <f>Raw_Data!A272</f>
        <v>30 Jan 2025 16:06:29</v>
      </c>
      <c r="B266" s="12" t="str">
        <f t="shared" si="1"/>
        <v>January</v>
      </c>
      <c r="C266" s="12">
        <f t="shared" si="2"/>
        <v>1</v>
      </c>
      <c r="D266" s="12" t="str">
        <f>IFERROR(__xludf.DUMMYFUNCTION("IFERROR(IF(REGEXMATCH(LOWER(Raw_Data!C272),""fixed deposit|owealth|savings|target""),""Fixed Deposit"",IF(REGEXMATCH(LOWER(Raw_Data!C272),""airtime""),""Airtime"",IF(REGEXMATCH(LOWER(Raw_Data!C272),""electronic money transfer levy""),""Electronic Money Tr"&amp;"ansfer Levy"",IF(REGEXMATCH(LOWER(Raw_Data!C272),""transfer|trf|send""),""Transfer"",""Other"")))),""Other"")"),"Transfer")</f>
        <v>Transfer</v>
      </c>
      <c r="E266" s="20">
        <v>1000.0</v>
      </c>
      <c r="F266" s="20">
        <v>0.0</v>
      </c>
      <c r="G266" s="12" t="str">
        <f t="shared" si="3"/>
        <v>Withdrawal</v>
      </c>
      <c r="H266" s="12" t="str">
        <f>TEXT(Raw_Data!A272,"hh:mm:ss")
</f>
        <v>16:06:29</v>
      </c>
      <c r="I266" s="20">
        <f t="shared" si="4"/>
        <v>1000</v>
      </c>
    </row>
    <row r="267">
      <c r="A267" s="12" t="str">
        <f>Raw_Data!A273</f>
        <v>31 Jan 2025 08:34:01</v>
      </c>
      <c r="B267" s="12" t="str">
        <f t="shared" si="1"/>
        <v>January</v>
      </c>
      <c r="C267" s="12">
        <f t="shared" si="2"/>
        <v>1</v>
      </c>
      <c r="D267" s="12" t="str">
        <f>IFERROR(__xludf.DUMMYFUNCTION("IFERROR(IF(REGEXMATCH(LOWER(Raw_Data!C273),""fixed deposit|owealth|savings|target""),""Fixed Deposit"",IF(REGEXMATCH(LOWER(Raw_Data!C273),""airtime""),""Airtime"",IF(REGEXMATCH(LOWER(Raw_Data!C273),""electronic money transfer levy""),""Electronic Money Tr"&amp;"ansfer Levy"",IF(REGEXMATCH(LOWER(Raw_Data!C273),""transfer|trf|send""),""Transfer"",""Other"")))),""Other"")"),"Transfer")</f>
        <v>Transfer</v>
      </c>
      <c r="E267" s="20">
        <v>500.0</v>
      </c>
      <c r="F267" s="20">
        <v>0.0</v>
      </c>
      <c r="G267" s="12" t="str">
        <f t="shared" si="3"/>
        <v>Withdrawal</v>
      </c>
      <c r="H267" s="12" t="str">
        <f>TEXT(Raw_Data!A273,"hh:mm:ss")
</f>
        <v>08:34:01</v>
      </c>
      <c r="I267" s="20">
        <f t="shared" si="4"/>
        <v>500</v>
      </c>
    </row>
    <row r="268">
      <c r="A268" s="12" t="str">
        <f>Raw_Data!A274</f>
        <v>31 Jan 2025 20:13:11</v>
      </c>
      <c r="B268" s="12" t="str">
        <f t="shared" si="1"/>
        <v>January</v>
      </c>
      <c r="C268" s="12">
        <f t="shared" si="2"/>
        <v>1</v>
      </c>
      <c r="D268" s="12" t="str">
        <f>IFERROR(__xludf.DUMMYFUNCTION("IFERROR(IF(REGEXMATCH(LOWER(Raw_Data!C274),""fixed deposit|owealth|savings|target""),""Fixed Deposit"",IF(REGEXMATCH(LOWER(Raw_Data!C274),""airtime""),""Airtime"",IF(REGEXMATCH(LOWER(Raw_Data!C274),""electronic money transfer levy""),""Electronic Money Tr"&amp;"ansfer Levy"",IF(REGEXMATCH(LOWER(Raw_Data!C274),""transfer|trf|send""),""Transfer"",""Other"")))),""Other"")"),"Transfer")</f>
        <v>Transfer</v>
      </c>
      <c r="E268" s="20">
        <v>0.0</v>
      </c>
      <c r="F268" s="20">
        <v>20000.0</v>
      </c>
      <c r="G268" s="12" t="str">
        <f t="shared" si="3"/>
        <v>Deposit</v>
      </c>
      <c r="H268" s="12" t="str">
        <f>TEXT(Raw_Data!A274,"hh:mm:ss")
</f>
        <v>20:13:11</v>
      </c>
      <c r="I268" s="20">
        <f t="shared" si="4"/>
        <v>20000</v>
      </c>
    </row>
    <row r="269">
      <c r="A269" s="12" t="str">
        <f>Raw_Data!A275</f>
        <v>31 Jan 2025 20:13:16</v>
      </c>
      <c r="B269" s="12" t="str">
        <f t="shared" si="1"/>
        <v>January</v>
      </c>
      <c r="C269" s="12">
        <f t="shared" si="2"/>
        <v>1</v>
      </c>
      <c r="D269" s="12" t="str">
        <f>IFERROR(__xludf.DUMMYFUNCTION("IFERROR(IF(REGEXMATCH(LOWER(Raw_Data!C275),""fixed deposit|owealth|savings|target""),""Fixed Deposit"",IF(REGEXMATCH(LOWER(Raw_Data!C275),""airtime""),""Airtime"",IF(REGEXMATCH(LOWER(Raw_Data!C275),""electronic money transfer levy""),""Electronic Money Tr"&amp;"ansfer Levy"",IF(REGEXMATCH(LOWER(Raw_Data!C275),""transfer|trf|send""),""Transfer"",""Other"")))),""Other"")"),"Electronic Money Transfer Levy")</f>
        <v>Electronic Money Transfer Levy</v>
      </c>
      <c r="E269" s="20">
        <v>50.0</v>
      </c>
      <c r="F269" s="20">
        <v>0.0</v>
      </c>
      <c r="G269" s="12" t="str">
        <f t="shared" si="3"/>
        <v>Withdrawal</v>
      </c>
      <c r="H269" s="12" t="str">
        <f>TEXT(Raw_Data!A275,"hh:mm:ss")
</f>
        <v>20:13:16</v>
      </c>
      <c r="I269" s="20">
        <f t="shared" si="4"/>
        <v>50</v>
      </c>
    </row>
    <row r="270">
      <c r="A270" s="12" t="str">
        <f>Raw_Data!A276</f>
        <v>31 Jan 2025 20:18:37</v>
      </c>
      <c r="B270" s="12" t="str">
        <f t="shared" si="1"/>
        <v>January</v>
      </c>
      <c r="C270" s="12">
        <f t="shared" si="2"/>
        <v>1</v>
      </c>
      <c r="D270" s="12" t="str">
        <f>IFERROR(__xludf.DUMMYFUNCTION("IFERROR(IF(REGEXMATCH(LOWER(Raw_Data!C276),""fixed deposit|owealth|savings|target""),""Fixed Deposit"",IF(REGEXMATCH(LOWER(Raw_Data!C276),""airtime""),""Airtime"",IF(REGEXMATCH(LOWER(Raw_Data!C276),""electronic money transfer levy""),""Electronic Money Tr"&amp;"ansfer Levy"",IF(REGEXMATCH(LOWER(Raw_Data!C276),""transfer|trf|send""),""Transfer"",""Other"")))),""Other"")"),"Transfer")</f>
        <v>Transfer</v>
      </c>
      <c r="E270" s="20">
        <v>0.0</v>
      </c>
      <c r="F270" s="20">
        <v>100.0</v>
      </c>
      <c r="G270" s="12" t="str">
        <f t="shared" si="3"/>
        <v>Deposit</v>
      </c>
      <c r="H270" s="12" t="str">
        <f>TEXT(Raw_Data!A276,"hh:mm:ss")
</f>
        <v>20:18:37</v>
      </c>
      <c r="I270" s="20">
        <f t="shared" si="4"/>
        <v>100</v>
      </c>
    </row>
    <row r="271">
      <c r="A271" s="12" t="str">
        <f>Raw_Data!A277</f>
        <v>31 Jan 2025 20:19:11</v>
      </c>
      <c r="B271" s="12" t="str">
        <f t="shared" si="1"/>
        <v>January</v>
      </c>
      <c r="C271" s="12">
        <f t="shared" si="2"/>
        <v>1</v>
      </c>
      <c r="D271" s="12" t="str">
        <f>IFERROR(__xludf.DUMMYFUNCTION("IFERROR(IF(REGEXMATCH(LOWER(Raw_Data!C277),""fixed deposit|owealth|savings|target""),""Fixed Deposit"",IF(REGEXMATCH(LOWER(Raw_Data!C277),""airtime""),""Airtime"",IF(REGEXMATCH(LOWER(Raw_Data!C277),""electronic money transfer levy""),""Electronic Money Tr"&amp;"ansfer Levy"",IF(REGEXMATCH(LOWER(Raw_Data!C277),""transfer|trf|send""),""Transfer"",""Other"")))),""Other"")"),"Transfer")</f>
        <v>Transfer</v>
      </c>
      <c r="E271" s="20">
        <v>20000.0</v>
      </c>
      <c r="F271" s="20">
        <v>0.0</v>
      </c>
      <c r="G271" s="12" t="str">
        <f t="shared" si="3"/>
        <v>Withdrawal</v>
      </c>
      <c r="H271" s="12" t="str">
        <f>TEXT(Raw_Data!A277,"hh:mm:ss")
</f>
        <v>20:19:11</v>
      </c>
      <c r="I271" s="20">
        <f t="shared" si="4"/>
        <v>20000</v>
      </c>
    </row>
    <row r="272">
      <c r="A272" s="12" t="str">
        <f>Raw_Data!A278</f>
        <v>01 Feb 2025 08:31:00</v>
      </c>
      <c r="B272" s="12" t="str">
        <f t="shared" si="1"/>
        <v>February</v>
      </c>
      <c r="C272" s="12">
        <f t="shared" si="2"/>
        <v>2</v>
      </c>
      <c r="D272" s="12" t="str">
        <f>IFERROR(__xludf.DUMMYFUNCTION("IFERROR(IF(REGEXMATCH(LOWER(Raw_Data!C278),""fixed deposit|owealth|savings|target""),""Fixed Deposit"",IF(REGEXMATCH(LOWER(Raw_Data!C278),""airtime""),""Airtime"",IF(REGEXMATCH(LOWER(Raw_Data!C278),""electronic money transfer levy""),""Electronic Money Tr"&amp;"ansfer Levy"",IF(REGEXMATCH(LOWER(Raw_Data!C278),""transfer|trf|send""),""Transfer"",""Other"")))),""Other"")"),"Transfer")</f>
        <v>Transfer</v>
      </c>
      <c r="E272" s="20">
        <v>0.0</v>
      </c>
      <c r="F272" s="20">
        <v>36340.0</v>
      </c>
      <c r="G272" s="12" t="str">
        <f t="shared" si="3"/>
        <v>Deposit</v>
      </c>
      <c r="H272" s="12" t="str">
        <f>TEXT(Raw_Data!A278,"hh:mm:ss")
</f>
        <v>08:31:00</v>
      </c>
      <c r="I272" s="20">
        <f t="shared" si="4"/>
        <v>36340</v>
      </c>
    </row>
    <row r="273">
      <c r="A273" s="12" t="str">
        <f>Raw_Data!A279</f>
        <v>01 Feb 2025 08:31:06</v>
      </c>
      <c r="B273" s="12" t="str">
        <f t="shared" si="1"/>
        <v>February</v>
      </c>
      <c r="C273" s="12">
        <f t="shared" si="2"/>
        <v>2</v>
      </c>
      <c r="D273" s="12" t="str">
        <f>IFERROR(__xludf.DUMMYFUNCTION("IFERROR(IF(REGEXMATCH(LOWER(Raw_Data!C279),""fixed deposit|owealth|savings|target""),""Fixed Deposit"",IF(REGEXMATCH(LOWER(Raw_Data!C279),""airtime""),""Airtime"",IF(REGEXMATCH(LOWER(Raw_Data!C279),""electronic money transfer levy""),""Electronic Money Tr"&amp;"ansfer Levy"",IF(REGEXMATCH(LOWER(Raw_Data!C279),""transfer|trf|send""),""Transfer"",""Other"")))),""Other"")"),"Electronic Money Transfer Levy")</f>
        <v>Electronic Money Transfer Levy</v>
      </c>
      <c r="E273" s="20">
        <v>50.0</v>
      </c>
      <c r="F273" s="20">
        <v>0.0</v>
      </c>
      <c r="G273" s="12" t="str">
        <f t="shared" si="3"/>
        <v>Withdrawal</v>
      </c>
      <c r="H273" s="12" t="str">
        <f>TEXT(Raw_Data!A279,"hh:mm:ss")
</f>
        <v>08:31:06</v>
      </c>
      <c r="I273" s="20">
        <f t="shared" si="4"/>
        <v>50</v>
      </c>
    </row>
    <row r="274">
      <c r="A274" s="12" t="str">
        <f>Raw_Data!A280</f>
        <v>01 Feb 2025 08:49:57</v>
      </c>
      <c r="B274" s="12" t="str">
        <f t="shared" si="1"/>
        <v>February</v>
      </c>
      <c r="C274" s="12">
        <f t="shared" si="2"/>
        <v>2</v>
      </c>
      <c r="D274" s="12" t="str">
        <f>IFERROR(__xludf.DUMMYFUNCTION("IFERROR(IF(REGEXMATCH(LOWER(Raw_Data!C280),""fixed deposit|owealth|savings|target""),""Fixed Deposit"",IF(REGEXMATCH(LOWER(Raw_Data!C280),""airtime""),""Airtime"",IF(REGEXMATCH(LOWER(Raw_Data!C280),""electronic money transfer levy""),""Electronic Money Tr"&amp;"ansfer Levy"",IF(REGEXMATCH(LOWER(Raw_Data!C280),""transfer|trf|send""),""Transfer"",""Other"")))),""Other"")"),"Transfer")</f>
        <v>Transfer</v>
      </c>
      <c r="E274" s="20">
        <v>1000.0</v>
      </c>
      <c r="F274" s="20">
        <v>0.0</v>
      </c>
      <c r="G274" s="12" t="str">
        <f t="shared" si="3"/>
        <v>Withdrawal</v>
      </c>
      <c r="H274" s="12" t="str">
        <f>TEXT(Raw_Data!A280,"hh:mm:ss")
</f>
        <v>08:49:57</v>
      </c>
      <c r="I274" s="20">
        <f t="shared" si="4"/>
        <v>1000</v>
      </c>
    </row>
    <row r="275">
      <c r="A275" s="12" t="str">
        <f>Raw_Data!A281</f>
        <v>01 Feb 2025 08:50:17</v>
      </c>
      <c r="B275" s="12" t="str">
        <f t="shared" si="1"/>
        <v>February</v>
      </c>
      <c r="C275" s="12">
        <f t="shared" si="2"/>
        <v>2</v>
      </c>
      <c r="D275" s="12" t="str">
        <f>IFERROR(__xludf.DUMMYFUNCTION("IFERROR(IF(REGEXMATCH(LOWER(Raw_Data!C281),""fixed deposit|owealth|savings|target""),""Fixed Deposit"",IF(REGEXMATCH(LOWER(Raw_Data!C281),""airtime""),""Airtime"",IF(REGEXMATCH(LOWER(Raw_Data!C281),""electronic money transfer levy""),""Electronic Money Tr"&amp;"ansfer Levy"",IF(REGEXMATCH(LOWER(Raw_Data!C281),""transfer|trf|send""),""Transfer"",""Other"")))),""Other"")"),"Transfer")</f>
        <v>Transfer</v>
      </c>
      <c r="E275" s="20">
        <v>2300.0</v>
      </c>
      <c r="F275" s="20">
        <v>0.0</v>
      </c>
      <c r="G275" s="12" t="str">
        <f t="shared" si="3"/>
        <v>Withdrawal</v>
      </c>
      <c r="H275" s="12" t="str">
        <f>TEXT(Raw_Data!A281,"hh:mm:ss")
</f>
        <v>08:50:17</v>
      </c>
      <c r="I275" s="20">
        <f t="shared" si="4"/>
        <v>2300</v>
      </c>
    </row>
    <row r="276">
      <c r="A276" s="12" t="str">
        <f>Raw_Data!A282</f>
        <v>01 Feb 2025 12:59:20</v>
      </c>
      <c r="B276" s="12" t="str">
        <f t="shared" si="1"/>
        <v>February</v>
      </c>
      <c r="C276" s="12">
        <f t="shared" si="2"/>
        <v>2</v>
      </c>
      <c r="D276" s="12" t="str">
        <f>IFERROR(__xludf.DUMMYFUNCTION("IFERROR(IF(REGEXMATCH(LOWER(Raw_Data!C282),""fixed deposit|owealth|savings|target""),""Fixed Deposit"",IF(REGEXMATCH(LOWER(Raw_Data!C282),""airtime""),""Airtime"",IF(REGEXMATCH(LOWER(Raw_Data!C282),""electronic money transfer levy""),""Electronic Money Tr"&amp;"ansfer Levy"",IF(REGEXMATCH(LOWER(Raw_Data!C282),""transfer|trf|send""),""Transfer"",""Other"")))),""Other"")"),"Transfer")</f>
        <v>Transfer</v>
      </c>
      <c r="E276" s="20">
        <v>2000.0</v>
      </c>
      <c r="F276" s="20">
        <v>0.0</v>
      </c>
      <c r="G276" s="12" t="str">
        <f t="shared" si="3"/>
        <v>Withdrawal</v>
      </c>
      <c r="H276" s="12" t="str">
        <f>TEXT(Raw_Data!A282,"hh:mm:ss")
</f>
        <v>12:59:20</v>
      </c>
      <c r="I276" s="20">
        <f t="shared" si="4"/>
        <v>2000</v>
      </c>
    </row>
    <row r="277">
      <c r="A277" s="12" t="str">
        <f>Raw_Data!A283</f>
        <v>01 Feb 2025 13:57:32</v>
      </c>
      <c r="B277" s="12" t="str">
        <f t="shared" si="1"/>
        <v>February</v>
      </c>
      <c r="C277" s="12">
        <f t="shared" si="2"/>
        <v>2</v>
      </c>
      <c r="D277" s="12" t="str">
        <f>IFERROR(__xludf.DUMMYFUNCTION("IFERROR(IF(REGEXMATCH(LOWER(Raw_Data!C283),""fixed deposit|owealth|savings|target""),""Fixed Deposit"",IF(REGEXMATCH(LOWER(Raw_Data!C283),""airtime""),""Airtime"",IF(REGEXMATCH(LOWER(Raw_Data!C283),""electronic money transfer levy""),""Electronic Money Tr"&amp;"ansfer Levy"",IF(REGEXMATCH(LOWER(Raw_Data!C283),""transfer|trf|send""),""Transfer"",""Other"")))),""Other"")"),"Transfer")</f>
        <v>Transfer</v>
      </c>
      <c r="E277" s="20">
        <v>700.0</v>
      </c>
      <c r="F277" s="20">
        <v>0.0</v>
      </c>
      <c r="G277" s="12" t="str">
        <f t="shared" si="3"/>
        <v>Withdrawal</v>
      </c>
      <c r="H277" s="12" t="str">
        <f>TEXT(Raw_Data!A283,"hh:mm:ss")
</f>
        <v>13:57:32</v>
      </c>
      <c r="I277" s="20">
        <f t="shared" si="4"/>
        <v>700</v>
      </c>
    </row>
    <row r="278">
      <c r="A278" s="12" t="str">
        <f>Raw_Data!A284</f>
        <v>02 Feb 2025 05:22:35</v>
      </c>
      <c r="B278" s="12" t="str">
        <f t="shared" si="1"/>
        <v>February</v>
      </c>
      <c r="C278" s="12">
        <f t="shared" si="2"/>
        <v>2</v>
      </c>
      <c r="D278" s="12" t="str">
        <f>IFERROR(__xludf.DUMMYFUNCTION("IFERROR(IF(REGEXMATCH(LOWER(Raw_Data!C284),""fixed deposit|owealth|savings|target""),""Fixed Deposit"",IF(REGEXMATCH(LOWER(Raw_Data!C284),""airtime""),""Airtime"",IF(REGEXMATCH(LOWER(Raw_Data!C284),""electronic money transfer levy""),""Electronic Money Tr"&amp;"ansfer Levy"",IF(REGEXMATCH(LOWER(Raw_Data!C284),""transfer|trf|send""),""Transfer"",""Other"")))),""Other"")"),"Transfer")</f>
        <v>Transfer</v>
      </c>
      <c r="E278" s="20">
        <v>1050.0</v>
      </c>
      <c r="F278" s="20">
        <v>0.0</v>
      </c>
      <c r="G278" s="12" t="str">
        <f t="shared" si="3"/>
        <v>Withdrawal</v>
      </c>
      <c r="H278" s="12" t="str">
        <f>TEXT(Raw_Data!A284,"hh:mm:ss")
</f>
        <v>05:22:35</v>
      </c>
      <c r="I278" s="20">
        <f t="shared" si="4"/>
        <v>1050</v>
      </c>
    </row>
    <row r="279">
      <c r="A279" s="12" t="str">
        <f>Raw_Data!A285</f>
        <v>02 Feb 2025 06:37:46</v>
      </c>
      <c r="B279" s="12" t="str">
        <f t="shared" si="1"/>
        <v>February</v>
      </c>
      <c r="C279" s="12">
        <f t="shared" si="2"/>
        <v>2</v>
      </c>
      <c r="D279" s="12" t="str">
        <f>IFERROR(__xludf.DUMMYFUNCTION("IFERROR(IF(REGEXMATCH(LOWER(Raw_Data!C285),""fixed deposit|owealth|savings|target""),""Fixed Deposit"",IF(REGEXMATCH(LOWER(Raw_Data!C285),""airtime""),""Airtime"",IF(REGEXMATCH(LOWER(Raw_Data!C285),""electronic money transfer levy""),""Electronic Money Tr"&amp;"ansfer Levy"",IF(REGEXMATCH(LOWER(Raw_Data!C285),""transfer|trf|send""),""Transfer"",""Other"")))),""Other"")"),"Transfer")</f>
        <v>Transfer</v>
      </c>
      <c r="E279" s="20">
        <v>500.0</v>
      </c>
      <c r="F279" s="20">
        <v>0.0</v>
      </c>
      <c r="G279" s="12" t="str">
        <f t="shared" si="3"/>
        <v>Withdrawal</v>
      </c>
      <c r="H279" s="12" t="str">
        <f>TEXT(Raw_Data!A285,"hh:mm:ss")
</f>
        <v>06:37:46</v>
      </c>
      <c r="I279" s="20">
        <f t="shared" si="4"/>
        <v>500</v>
      </c>
    </row>
    <row r="280">
      <c r="A280" s="12" t="str">
        <f>Raw_Data!A286</f>
        <v>02 Feb 2025 08:04:52</v>
      </c>
      <c r="B280" s="12" t="str">
        <f t="shared" si="1"/>
        <v>February</v>
      </c>
      <c r="C280" s="12">
        <f t="shared" si="2"/>
        <v>2</v>
      </c>
      <c r="D280" s="12" t="str">
        <f>IFERROR(__xludf.DUMMYFUNCTION("IFERROR(IF(REGEXMATCH(LOWER(Raw_Data!C286),""fixed deposit|owealth|savings|target""),""Fixed Deposit"",IF(REGEXMATCH(LOWER(Raw_Data!C286),""airtime""),""Airtime"",IF(REGEXMATCH(LOWER(Raw_Data!C286),""electronic money transfer levy""),""Electronic Money Tr"&amp;"ansfer Levy"",IF(REGEXMATCH(LOWER(Raw_Data!C286),""transfer|trf|send""),""Transfer"",""Other"")))),""Other"")"),"Transfer")</f>
        <v>Transfer</v>
      </c>
      <c r="E280" s="20">
        <v>1000.0</v>
      </c>
      <c r="F280" s="20">
        <v>0.0</v>
      </c>
      <c r="G280" s="12" t="str">
        <f t="shared" si="3"/>
        <v>Withdrawal</v>
      </c>
      <c r="H280" s="12" t="str">
        <f>TEXT(Raw_Data!A286,"hh:mm:ss")
</f>
        <v>08:04:52</v>
      </c>
      <c r="I280" s="20">
        <f t="shared" si="4"/>
        <v>1000</v>
      </c>
    </row>
    <row r="281">
      <c r="A281" s="12" t="str">
        <f>Raw_Data!A287</f>
        <v>02 Feb 2025 09:00:55</v>
      </c>
      <c r="B281" s="12" t="str">
        <f t="shared" si="1"/>
        <v>February</v>
      </c>
      <c r="C281" s="12">
        <f t="shared" si="2"/>
        <v>2</v>
      </c>
      <c r="D281" s="12" t="str">
        <f>IFERROR(__xludf.DUMMYFUNCTION("IFERROR(IF(REGEXMATCH(LOWER(Raw_Data!C287),""fixed deposit|owealth|savings|target""),""Fixed Deposit"",IF(REGEXMATCH(LOWER(Raw_Data!C287),""airtime""),""Airtime"",IF(REGEXMATCH(LOWER(Raw_Data!C287),""electronic money transfer levy""),""Electronic Money Tr"&amp;"ansfer Levy"",IF(REGEXMATCH(LOWER(Raw_Data!C287),""transfer|trf|send""),""Transfer"",""Other"")))),""Other"")"),"Transfer")</f>
        <v>Transfer</v>
      </c>
      <c r="E281" s="20">
        <v>1000.0</v>
      </c>
      <c r="F281" s="20">
        <v>0.0</v>
      </c>
      <c r="G281" s="12" t="str">
        <f t="shared" si="3"/>
        <v>Withdrawal</v>
      </c>
      <c r="H281" s="12" t="str">
        <f>TEXT(Raw_Data!A287,"hh:mm:ss")
</f>
        <v>09:00:55</v>
      </c>
      <c r="I281" s="20">
        <f t="shared" si="4"/>
        <v>1000</v>
      </c>
    </row>
    <row r="282">
      <c r="A282" s="12" t="str">
        <f>Raw_Data!A288</f>
        <v>02 Feb 2025 14:44:28</v>
      </c>
      <c r="B282" s="12" t="str">
        <f t="shared" si="1"/>
        <v>February</v>
      </c>
      <c r="C282" s="12">
        <f t="shared" si="2"/>
        <v>2</v>
      </c>
      <c r="D282" s="12" t="str">
        <f>IFERROR(__xludf.DUMMYFUNCTION("IFERROR(IF(REGEXMATCH(LOWER(Raw_Data!C288),""fixed deposit|owealth|savings|target""),""Fixed Deposit"",IF(REGEXMATCH(LOWER(Raw_Data!C288),""airtime""),""Airtime"",IF(REGEXMATCH(LOWER(Raw_Data!C288),""electronic money transfer levy""),""Electronic Money Tr"&amp;"ansfer Levy"",IF(REGEXMATCH(LOWER(Raw_Data!C288),""transfer|trf|send""),""Transfer"",""Other"")))),""Other"")"),"Other")</f>
        <v>Other</v>
      </c>
      <c r="E282" s="20">
        <v>810.0</v>
      </c>
      <c r="F282" s="20">
        <v>0.0</v>
      </c>
      <c r="G282" s="12" t="str">
        <f t="shared" si="3"/>
        <v>Withdrawal</v>
      </c>
      <c r="H282" s="12" t="str">
        <f>TEXT(Raw_Data!A288,"hh:mm:ss")
</f>
        <v>14:44:28</v>
      </c>
      <c r="I282" s="20">
        <f t="shared" si="4"/>
        <v>810</v>
      </c>
    </row>
    <row r="283">
      <c r="A283" s="12" t="str">
        <f>Raw_Data!A289</f>
        <v>02 Feb 2025 16:46:40</v>
      </c>
      <c r="B283" s="12" t="str">
        <f t="shared" si="1"/>
        <v>February</v>
      </c>
      <c r="C283" s="12">
        <f t="shared" si="2"/>
        <v>2</v>
      </c>
      <c r="D283" s="12" t="str">
        <f>IFERROR(__xludf.DUMMYFUNCTION("IFERROR(IF(REGEXMATCH(LOWER(Raw_Data!C289),""fixed deposit|owealth|savings|target""),""Fixed Deposit"",IF(REGEXMATCH(LOWER(Raw_Data!C289),""airtime""),""Airtime"",IF(REGEXMATCH(LOWER(Raw_Data!C289),""electronic money transfer levy""),""Electronic Money Tr"&amp;"ansfer Levy"",IF(REGEXMATCH(LOWER(Raw_Data!C289),""transfer|trf|send""),""Transfer"",""Other"")))),""Other"")"),"Airtime")</f>
        <v>Airtime</v>
      </c>
      <c r="E283" s="20">
        <v>200.0</v>
      </c>
      <c r="F283" s="20">
        <v>0.0</v>
      </c>
      <c r="G283" s="12" t="str">
        <f t="shared" si="3"/>
        <v>Withdrawal</v>
      </c>
      <c r="H283" s="12" t="str">
        <f>TEXT(Raw_Data!A289,"hh:mm:ss")
</f>
        <v>16:46:40</v>
      </c>
      <c r="I283" s="20">
        <f t="shared" si="4"/>
        <v>200</v>
      </c>
    </row>
    <row r="284">
      <c r="A284" s="12" t="str">
        <f>Raw_Data!A290</f>
        <v>03 Feb 2025 09:53:45</v>
      </c>
      <c r="B284" s="12" t="str">
        <f t="shared" si="1"/>
        <v>February</v>
      </c>
      <c r="C284" s="12">
        <f t="shared" si="2"/>
        <v>2</v>
      </c>
      <c r="D284" s="12" t="str">
        <f>IFERROR(__xludf.DUMMYFUNCTION("IFERROR(IF(REGEXMATCH(LOWER(Raw_Data!C290),""fixed deposit|owealth|savings|target""),""Fixed Deposit"",IF(REGEXMATCH(LOWER(Raw_Data!C290),""airtime""),""Airtime"",IF(REGEXMATCH(LOWER(Raw_Data!C290),""electronic money transfer levy""),""Electronic Money Tr"&amp;"ansfer Levy"",IF(REGEXMATCH(LOWER(Raw_Data!C290),""transfer|trf|send""),""Transfer"",""Other"")))),""Other"")"),"Transfer")</f>
        <v>Transfer</v>
      </c>
      <c r="E284" s="20">
        <v>250.0</v>
      </c>
      <c r="F284" s="20">
        <v>0.0</v>
      </c>
      <c r="G284" s="12" t="str">
        <f t="shared" si="3"/>
        <v>Withdrawal</v>
      </c>
      <c r="H284" s="12" t="str">
        <f>TEXT(Raw_Data!A290,"hh:mm:ss")
</f>
        <v>09:53:45</v>
      </c>
      <c r="I284" s="20">
        <f t="shared" si="4"/>
        <v>250</v>
      </c>
    </row>
    <row r="285">
      <c r="A285" s="12" t="str">
        <f>Raw_Data!A291</f>
        <v>03 Feb 2025 10:36:18</v>
      </c>
      <c r="B285" s="12" t="str">
        <f t="shared" si="1"/>
        <v>February</v>
      </c>
      <c r="C285" s="12">
        <f t="shared" si="2"/>
        <v>2</v>
      </c>
      <c r="D285" s="12" t="str">
        <f>IFERROR(__xludf.DUMMYFUNCTION("IFERROR(IF(REGEXMATCH(LOWER(Raw_Data!C291),""fixed deposit|owealth|savings|target""),""Fixed Deposit"",IF(REGEXMATCH(LOWER(Raw_Data!C291),""airtime""),""Airtime"",IF(REGEXMATCH(LOWER(Raw_Data!C291),""electronic money transfer levy""),""Electronic Money Tr"&amp;"ansfer Levy"",IF(REGEXMATCH(LOWER(Raw_Data!C291),""transfer|trf|send""),""Transfer"",""Other"")))),""Other"")"),"Transfer")</f>
        <v>Transfer</v>
      </c>
      <c r="E285" s="20">
        <v>2450.0</v>
      </c>
      <c r="F285" s="20">
        <v>0.0</v>
      </c>
      <c r="G285" s="12" t="str">
        <f t="shared" si="3"/>
        <v>Withdrawal</v>
      </c>
      <c r="H285" s="12" t="str">
        <f>TEXT(Raw_Data!A291,"hh:mm:ss")
</f>
        <v>10:36:18</v>
      </c>
      <c r="I285" s="20">
        <f t="shared" si="4"/>
        <v>2450</v>
      </c>
    </row>
    <row r="286">
      <c r="A286" s="12" t="str">
        <f>Raw_Data!A292</f>
        <v>03 Feb 2025 12:59:18</v>
      </c>
      <c r="B286" s="12" t="str">
        <f t="shared" si="1"/>
        <v>February</v>
      </c>
      <c r="C286" s="12">
        <f t="shared" si="2"/>
        <v>2</v>
      </c>
      <c r="D286" s="12" t="str">
        <f>IFERROR(__xludf.DUMMYFUNCTION("IFERROR(IF(REGEXMATCH(LOWER(Raw_Data!C292),""fixed deposit|owealth|savings|target""),""Fixed Deposit"",IF(REGEXMATCH(LOWER(Raw_Data!C292),""airtime""),""Airtime"",IF(REGEXMATCH(LOWER(Raw_Data!C292),""electronic money transfer levy""),""Electronic Money Tr"&amp;"ansfer Levy"",IF(REGEXMATCH(LOWER(Raw_Data!C292),""transfer|trf|send""),""Transfer"",""Other"")))),""Other"")"),"Transfer")</f>
        <v>Transfer</v>
      </c>
      <c r="E286" s="20">
        <v>1000.0</v>
      </c>
      <c r="F286" s="20">
        <v>0.0</v>
      </c>
      <c r="G286" s="12" t="str">
        <f t="shared" si="3"/>
        <v>Withdrawal</v>
      </c>
      <c r="H286" s="12" t="str">
        <f>TEXT(Raw_Data!A292,"hh:mm:ss")
</f>
        <v>12:59:18</v>
      </c>
      <c r="I286" s="20">
        <f t="shared" si="4"/>
        <v>1000</v>
      </c>
    </row>
    <row r="287">
      <c r="A287" s="12" t="str">
        <f>Raw_Data!A293</f>
        <v>03 Feb 2025 16:45:02</v>
      </c>
      <c r="B287" s="12" t="str">
        <f t="shared" si="1"/>
        <v>February</v>
      </c>
      <c r="C287" s="12">
        <f t="shared" si="2"/>
        <v>2</v>
      </c>
      <c r="D287" s="12" t="str">
        <f>IFERROR(__xludf.DUMMYFUNCTION("IFERROR(IF(REGEXMATCH(LOWER(Raw_Data!C293),""fixed deposit|owealth|savings|target""),""Fixed Deposit"",IF(REGEXMATCH(LOWER(Raw_Data!C293),""airtime""),""Airtime"",IF(REGEXMATCH(LOWER(Raw_Data!C293),""electronic money transfer levy""),""Electronic Money Tr"&amp;"ansfer Levy"",IF(REGEXMATCH(LOWER(Raw_Data!C293),""transfer|trf|send""),""Transfer"",""Other"")))),""Other"")"),"Transfer")</f>
        <v>Transfer</v>
      </c>
      <c r="E287" s="20">
        <v>3000.0</v>
      </c>
      <c r="F287" s="20">
        <v>0.0</v>
      </c>
      <c r="G287" s="12" t="str">
        <f t="shared" si="3"/>
        <v>Withdrawal</v>
      </c>
      <c r="H287" s="12" t="str">
        <f>TEXT(Raw_Data!A293,"hh:mm:ss")
</f>
        <v>16:45:02</v>
      </c>
      <c r="I287" s="20">
        <f t="shared" si="4"/>
        <v>3000</v>
      </c>
    </row>
    <row r="288">
      <c r="A288" s="12" t="str">
        <f>Raw_Data!A294</f>
        <v>03 Feb 2025 17:53:45</v>
      </c>
      <c r="B288" s="12" t="str">
        <f t="shared" si="1"/>
        <v>February</v>
      </c>
      <c r="C288" s="12">
        <f t="shared" si="2"/>
        <v>2</v>
      </c>
      <c r="D288" s="12" t="str">
        <f>IFERROR(__xludf.DUMMYFUNCTION("IFERROR(IF(REGEXMATCH(LOWER(Raw_Data!C294),""fixed deposit|owealth|savings|target""),""Fixed Deposit"",IF(REGEXMATCH(LOWER(Raw_Data!C294),""airtime""),""Airtime"",IF(REGEXMATCH(LOWER(Raw_Data!C294),""electronic money transfer levy""),""Electronic Money Tr"&amp;"ansfer Levy"",IF(REGEXMATCH(LOWER(Raw_Data!C294),""transfer|trf|send""),""Transfer"",""Other"")))),""Other"")"),"Transfer")</f>
        <v>Transfer</v>
      </c>
      <c r="E288" s="20">
        <v>1000.0</v>
      </c>
      <c r="F288" s="20">
        <v>0.0</v>
      </c>
      <c r="G288" s="12" t="str">
        <f t="shared" si="3"/>
        <v>Withdrawal</v>
      </c>
      <c r="H288" s="12" t="str">
        <f>TEXT(Raw_Data!A294,"hh:mm:ss")
</f>
        <v>17:53:45</v>
      </c>
      <c r="I288" s="20">
        <f t="shared" si="4"/>
        <v>1000</v>
      </c>
    </row>
    <row r="289">
      <c r="A289" s="12" t="str">
        <f>Raw_Data!A295</f>
        <v>03 Feb 2025 17:54:25</v>
      </c>
      <c r="B289" s="12" t="str">
        <f t="shared" si="1"/>
        <v>February</v>
      </c>
      <c r="C289" s="12">
        <f t="shared" si="2"/>
        <v>2</v>
      </c>
      <c r="D289" s="12" t="str">
        <f>IFERROR(__xludf.DUMMYFUNCTION("IFERROR(IF(REGEXMATCH(LOWER(Raw_Data!C295),""fixed deposit|owealth|savings|target""),""Fixed Deposit"",IF(REGEXMATCH(LOWER(Raw_Data!C295),""airtime""),""Airtime"",IF(REGEXMATCH(LOWER(Raw_Data!C295),""electronic money transfer levy""),""Electronic Money Tr"&amp;"ansfer Levy"",IF(REGEXMATCH(LOWER(Raw_Data!C295),""transfer|trf|send""),""Transfer"",""Other"")))),""Other"")"),"Transfer")</f>
        <v>Transfer</v>
      </c>
      <c r="E289" s="20">
        <v>900.0</v>
      </c>
      <c r="F289" s="20">
        <v>0.0</v>
      </c>
      <c r="G289" s="12" t="str">
        <f t="shared" si="3"/>
        <v>Withdrawal</v>
      </c>
      <c r="H289" s="12" t="str">
        <f>TEXT(Raw_Data!A295,"hh:mm:ss")
</f>
        <v>17:54:25</v>
      </c>
      <c r="I289" s="20">
        <f t="shared" si="4"/>
        <v>900</v>
      </c>
    </row>
    <row r="290">
      <c r="A290" s="12" t="str">
        <f>Raw_Data!A296</f>
        <v>03 Feb 2025 19:08:05</v>
      </c>
      <c r="B290" s="12" t="str">
        <f t="shared" si="1"/>
        <v>February</v>
      </c>
      <c r="C290" s="12">
        <f t="shared" si="2"/>
        <v>2</v>
      </c>
      <c r="D290" s="12" t="str">
        <f>IFERROR(__xludf.DUMMYFUNCTION("IFERROR(IF(REGEXMATCH(LOWER(Raw_Data!C296),""fixed deposit|owealth|savings|target""),""Fixed Deposit"",IF(REGEXMATCH(LOWER(Raw_Data!C296),""airtime""),""Airtime"",IF(REGEXMATCH(LOWER(Raw_Data!C296),""electronic money transfer levy""),""Electronic Money Tr"&amp;"ansfer Levy"",IF(REGEXMATCH(LOWER(Raw_Data!C296),""transfer|trf|send""),""Transfer"",""Other"")))),""Other"")"),"Transfer")</f>
        <v>Transfer</v>
      </c>
      <c r="E290" s="20">
        <v>0.0</v>
      </c>
      <c r="F290" s="20">
        <v>450.0</v>
      </c>
      <c r="G290" s="12" t="str">
        <f t="shared" si="3"/>
        <v>Deposit</v>
      </c>
      <c r="H290" s="12" t="str">
        <f>TEXT(Raw_Data!A296,"hh:mm:ss")
</f>
        <v>19:08:05</v>
      </c>
      <c r="I290" s="20">
        <f t="shared" si="4"/>
        <v>450</v>
      </c>
    </row>
    <row r="291">
      <c r="A291" s="12" t="str">
        <f>Raw_Data!A297</f>
        <v>03 Feb 2025 19:11:24</v>
      </c>
      <c r="B291" s="12" t="str">
        <f t="shared" si="1"/>
        <v>February</v>
      </c>
      <c r="C291" s="12">
        <f t="shared" si="2"/>
        <v>2</v>
      </c>
      <c r="D291" s="12" t="str">
        <f>IFERROR(__xludf.DUMMYFUNCTION("IFERROR(IF(REGEXMATCH(LOWER(Raw_Data!C297),""fixed deposit|owealth|savings|target""),""Fixed Deposit"",IF(REGEXMATCH(LOWER(Raw_Data!C297),""airtime""),""Airtime"",IF(REGEXMATCH(LOWER(Raw_Data!C297),""electronic money transfer levy""),""Electronic Money Tr"&amp;"ansfer Levy"",IF(REGEXMATCH(LOWER(Raw_Data!C297),""transfer|trf|send""),""Transfer"",""Other"")))),""Other"")"),"Transfer")</f>
        <v>Transfer</v>
      </c>
      <c r="E291" s="20">
        <v>440.0</v>
      </c>
      <c r="F291" s="20">
        <v>0.0</v>
      </c>
      <c r="G291" s="12" t="str">
        <f t="shared" si="3"/>
        <v>Withdrawal</v>
      </c>
      <c r="H291" s="12" t="str">
        <f>TEXT(Raw_Data!A297,"hh:mm:ss")
</f>
        <v>19:11:24</v>
      </c>
      <c r="I291" s="20">
        <f t="shared" si="4"/>
        <v>440</v>
      </c>
    </row>
    <row r="292">
      <c r="A292" s="12" t="str">
        <f>Raw_Data!A298</f>
        <v>03 Feb 2025 20:13:46</v>
      </c>
      <c r="B292" s="12" t="str">
        <f t="shared" si="1"/>
        <v>February</v>
      </c>
      <c r="C292" s="12">
        <f t="shared" si="2"/>
        <v>2</v>
      </c>
      <c r="D292" s="12" t="str">
        <f>IFERROR(__xludf.DUMMYFUNCTION("IFERROR(IF(REGEXMATCH(LOWER(Raw_Data!C298),""fixed deposit|owealth|savings|target""),""Fixed Deposit"",IF(REGEXMATCH(LOWER(Raw_Data!C298),""airtime""),""Airtime"",IF(REGEXMATCH(LOWER(Raw_Data!C298),""electronic money transfer levy""),""Electronic Money Tr"&amp;"ansfer Levy"",IF(REGEXMATCH(LOWER(Raw_Data!C298),""transfer|trf|send""),""Transfer"",""Other"")))),""Other"")"),"Transfer")</f>
        <v>Transfer</v>
      </c>
      <c r="E292" s="20">
        <v>250.0</v>
      </c>
      <c r="F292" s="20">
        <v>0.0</v>
      </c>
      <c r="G292" s="12" t="str">
        <f t="shared" si="3"/>
        <v>Withdrawal</v>
      </c>
      <c r="H292" s="12" t="str">
        <f>TEXT(Raw_Data!A298,"hh:mm:ss")
</f>
        <v>20:13:46</v>
      </c>
      <c r="I292" s="20">
        <f t="shared" si="4"/>
        <v>250</v>
      </c>
    </row>
    <row r="293">
      <c r="A293" s="12" t="str">
        <f>Raw_Data!A299</f>
        <v>04 Feb 2025 07:24:53</v>
      </c>
      <c r="B293" s="12" t="str">
        <f t="shared" si="1"/>
        <v>February</v>
      </c>
      <c r="C293" s="12">
        <f t="shared" si="2"/>
        <v>2</v>
      </c>
      <c r="D293" s="12" t="str">
        <f>IFERROR(__xludf.DUMMYFUNCTION("IFERROR(IF(REGEXMATCH(LOWER(Raw_Data!C299),""fixed deposit|owealth|savings|target""),""Fixed Deposit"",IF(REGEXMATCH(LOWER(Raw_Data!C299),""airtime""),""Airtime"",IF(REGEXMATCH(LOWER(Raw_Data!C299),""electronic money transfer levy""),""Electronic Money Tr"&amp;"ansfer Levy"",IF(REGEXMATCH(LOWER(Raw_Data!C299),""transfer|trf|send""),""Transfer"",""Other"")))),""Other"")"),"Transfer")</f>
        <v>Transfer</v>
      </c>
      <c r="E293" s="20">
        <v>0.0</v>
      </c>
      <c r="F293" s="20">
        <v>37934.0</v>
      </c>
      <c r="G293" s="12" t="str">
        <f t="shared" si="3"/>
        <v>Deposit</v>
      </c>
      <c r="H293" s="12" t="str">
        <f>TEXT(Raw_Data!A299,"hh:mm:ss")
</f>
        <v>07:24:53</v>
      </c>
      <c r="I293" s="20">
        <f t="shared" si="4"/>
        <v>37934</v>
      </c>
    </row>
    <row r="294">
      <c r="A294" s="12" t="str">
        <f>Raw_Data!A300</f>
        <v>04 Feb 2025 07:24:57</v>
      </c>
      <c r="B294" s="12" t="str">
        <f t="shared" si="1"/>
        <v>February</v>
      </c>
      <c r="C294" s="12">
        <f t="shared" si="2"/>
        <v>2</v>
      </c>
      <c r="D294" s="12" t="str">
        <f>IFERROR(__xludf.DUMMYFUNCTION("IFERROR(IF(REGEXMATCH(LOWER(Raw_Data!C300),""fixed deposit|owealth|savings|target""),""Fixed Deposit"",IF(REGEXMATCH(LOWER(Raw_Data!C300),""airtime""),""Airtime"",IF(REGEXMATCH(LOWER(Raw_Data!C300),""electronic money transfer levy""),""Electronic Money Tr"&amp;"ansfer Levy"",IF(REGEXMATCH(LOWER(Raw_Data!C300),""transfer|trf|send""),""Transfer"",""Other"")))),""Other"")"),"Electronic Money Transfer Levy")</f>
        <v>Electronic Money Transfer Levy</v>
      </c>
      <c r="E294" s="20">
        <v>50.0</v>
      </c>
      <c r="F294" s="20">
        <v>0.0</v>
      </c>
      <c r="G294" s="12" t="str">
        <f t="shared" si="3"/>
        <v>Withdrawal</v>
      </c>
      <c r="H294" s="12" t="str">
        <f>TEXT(Raw_Data!A300,"hh:mm:ss")
</f>
        <v>07:24:57</v>
      </c>
      <c r="I294" s="20">
        <f t="shared" si="4"/>
        <v>50</v>
      </c>
    </row>
    <row r="295">
      <c r="A295" s="12" t="str">
        <f>Raw_Data!A301</f>
        <v>04 Feb 2025 07:25:45</v>
      </c>
      <c r="B295" s="12" t="str">
        <f t="shared" si="1"/>
        <v>February</v>
      </c>
      <c r="C295" s="12">
        <f t="shared" si="2"/>
        <v>2</v>
      </c>
      <c r="D295" s="12" t="str">
        <f>IFERROR(__xludf.DUMMYFUNCTION("IFERROR(IF(REGEXMATCH(LOWER(Raw_Data!C301),""fixed deposit|owealth|savings|target""),""Fixed Deposit"",IF(REGEXMATCH(LOWER(Raw_Data!C301),""airtime""),""Airtime"",IF(REGEXMATCH(LOWER(Raw_Data!C301),""electronic money transfer levy""),""Electronic Money Tr"&amp;"ansfer Levy"",IF(REGEXMATCH(LOWER(Raw_Data!C301),""transfer|trf|send""),""Transfer"",""Other"")))),""Other"")"),"Transfer")</f>
        <v>Transfer</v>
      </c>
      <c r="E295" s="20">
        <v>6500.0</v>
      </c>
      <c r="F295" s="20">
        <v>0.0</v>
      </c>
      <c r="G295" s="12" t="str">
        <f t="shared" si="3"/>
        <v>Withdrawal</v>
      </c>
      <c r="H295" s="12" t="str">
        <f>TEXT(Raw_Data!A301,"hh:mm:ss")
</f>
        <v>07:25:45</v>
      </c>
      <c r="I295" s="20">
        <f t="shared" si="4"/>
        <v>6500</v>
      </c>
    </row>
    <row r="296">
      <c r="A296" s="12" t="str">
        <f>Raw_Data!A302</f>
        <v>04 Feb 2025 07:26:54</v>
      </c>
      <c r="B296" s="12" t="str">
        <f t="shared" si="1"/>
        <v>February</v>
      </c>
      <c r="C296" s="12">
        <f t="shared" si="2"/>
        <v>2</v>
      </c>
      <c r="D296" s="12" t="str">
        <f>IFERROR(__xludf.DUMMYFUNCTION("IFERROR(IF(REGEXMATCH(LOWER(Raw_Data!C302),""fixed deposit|owealth|savings|target""),""Fixed Deposit"",IF(REGEXMATCH(LOWER(Raw_Data!C302),""airtime""),""Airtime"",IF(REGEXMATCH(LOWER(Raw_Data!C302),""electronic money transfer levy""),""Electronic Money Tr"&amp;"ansfer Levy"",IF(REGEXMATCH(LOWER(Raw_Data!C302),""transfer|trf|send""),""Transfer"",""Other"")))),""Other"")"),"Transfer")</f>
        <v>Transfer</v>
      </c>
      <c r="E296" s="20">
        <v>30000.0</v>
      </c>
      <c r="F296" s="20">
        <v>0.0</v>
      </c>
      <c r="G296" s="12" t="str">
        <f t="shared" si="3"/>
        <v>Withdrawal</v>
      </c>
      <c r="H296" s="12" t="str">
        <f>TEXT(Raw_Data!A302,"hh:mm:ss")
</f>
        <v>07:26:54</v>
      </c>
      <c r="I296" s="20">
        <f t="shared" si="4"/>
        <v>30000</v>
      </c>
    </row>
    <row r="297">
      <c r="A297" s="12" t="str">
        <f>Raw_Data!A303</f>
        <v>04 Feb 2025 07:34:33</v>
      </c>
      <c r="B297" s="12" t="str">
        <f t="shared" si="1"/>
        <v>February</v>
      </c>
      <c r="C297" s="12">
        <f t="shared" si="2"/>
        <v>2</v>
      </c>
      <c r="D297" s="12" t="str">
        <f>IFERROR(__xludf.DUMMYFUNCTION("IFERROR(IF(REGEXMATCH(LOWER(Raw_Data!C303),""fixed deposit|owealth|savings|target""),""Fixed Deposit"",IF(REGEXMATCH(LOWER(Raw_Data!C303),""airtime""),""Airtime"",IF(REGEXMATCH(LOWER(Raw_Data!C303),""electronic money transfer levy""),""Electronic Money Tr"&amp;"ansfer Levy"",IF(REGEXMATCH(LOWER(Raw_Data!C303),""transfer|trf|send""),""Transfer"",""Other"")))),""Other"")"),"Airtime")</f>
        <v>Airtime</v>
      </c>
      <c r="E297" s="20">
        <v>500.0</v>
      </c>
      <c r="F297" s="20">
        <v>0.0</v>
      </c>
      <c r="G297" s="12" t="str">
        <f t="shared" si="3"/>
        <v>Withdrawal</v>
      </c>
      <c r="H297" s="12" t="str">
        <f>TEXT(Raw_Data!A303,"hh:mm:ss")
</f>
        <v>07:34:33</v>
      </c>
      <c r="I297" s="20">
        <f t="shared" si="4"/>
        <v>500</v>
      </c>
    </row>
    <row r="298">
      <c r="A298" s="12" t="str">
        <f>Raw_Data!A304</f>
        <v>04 Feb 2025 09:07:42</v>
      </c>
      <c r="B298" s="12" t="str">
        <f t="shared" si="1"/>
        <v>February</v>
      </c>
      <c r="C298" s="12">
        <f t="shared" si="2"/>
        <v>2</v>
      </c>
      <c r="D298" s="12" t="str">
        <f>IFERROR(__xludf.DUMMYFUNCTION("IFERROR(IF(REGEXMATCH(LOWER(Raw_Data!C304),""fixed deposit|owealth|savings|target""),""Fixed Deposit"",IF(REGEXMATCH(LOWER(Raw_Data!C304),""airtime""),""Airtime"",IF(REGEXMATCH(LOWER(Raw_Data!C304),""electronic money transfer levy""),""Electronic Money Tr"&amp;"ansfer Levy"",IF(REGEXMATCH(LOWER(Raw_Data!C304),""transfer|trf|send""),""Transfer"",""Other"")))),""Other"")"),"Other")</f>
        <v>Other</v>
      </c>
      <c r="E298" s="20">
        <v>800.0</v>
      </c>
      <c r="F298" s="20">
        <v>0.0</v>
      </c>
      <c r="G298" s="12" t="str">
        <f t="shared" si="3"/>
        <v>Withdrawal</v>
      </c>
      <c r="H298" s="12" t="str">
        <f>TEXT(Raw_Data!A304,"hh:mm:ss")
</f>
        <v>09:07:42</v>
      </c>
      <c r="I298" s="20">
        <f t="shared" si="4"/>
        <v>800</v>
      </c>
    </row>
    <row r="299">
      <c r="A299" s="12" t="str">
        <f>Raw_Data!A305</f>
        <v>04 Feb 2025 15:18:27</v>
      </c>
      <c r="B299" s="12" t="str">
        <f t="shared" si="1"/>
        <v>February</v>
      </c>
      <c r="C299" s="12">
        <f t="shared" si="2"/>
        <v>2</v>
      </c>
      <c r="D299" s="12" t="str">
        <f>IFERROR(__xludf.DUMMYFUNCTION("IFERROR(IF(REGEXMATCH(LOWER(Raw_Data!C305),""fixed deposit|owealth|savings|target""),""Fixed Deposit"",IF(REGEXMATCH(LOWER(Raw_Data!C305),""airtime""),""Airtime"",IF(REGEXMATCH(LOWER(Raw_Data!C305),""electronic money transfer levy""),""Electronic Money Tr"&amp;"ansfer Levy"",IF(REGEXMATCH(LOWER(Raw_Data!C305),""transfer|trf|send""),""Transfer"",""Other"")))),""Other"")"),"Transfer")</f>
        <v>Transfer</v>
      </c>
      <c r="E299" s="20">
        <v>200.0</v>
      </c>
      <c r="F299" s="20">
        <v>0.0</v>
      </c>
      <c r="G299" s="12" t="str">
        <f t="shared" si="3"/>
        <v>Withdrawal</v>
      </c>
      <c r="H299" s="12" t="str">
        <f>TEXT(Raw_Data!A305,"hh:mm:ss")
</f>
        <v>15:18:27</v>
      </c>
      <c r="I299" s="20">
        <f t="shared" si="4"/>
        <v>200</v>
      </c>
    </row>
    <row r="300">
      <c r="A300" s="12" t="str">
        <f>Raw_Data!A306</f>
        <v>04 Feb 2025 15:35:24</v>
      </c>
      <c r="B300" s="12" t="str">
        <f t="shared" si="1"/>
        <v>February</v>
      </c>
      <c r="C300" s="12">
        <f t="shared" si="2"/>
        <v>2</v>
      </c>
      <c r="D300" s="12" t="str">
        <f>IFERROR(__xludf.DUMMYFUNCTION("IFERROR(IF(REGEXMATCH(LOWER(Raw_Data!C306),""fixed deposit|owealth|savings|target""),""Fixed Deposit"",IF(REGEXMATCH(LOWER(Raw_Data!C306),""airtime""),""Airtime"",IF(REGEXMATCH(LOWER(Raw_Data!C306),""electronic money transfer levy""),""Electronic Money Tr"&amp;"ansfer Levy"",IF(REGEXMATCH(LOWER(Raw_Data!C306),""transfer|trf|send""),""Transfer"",""Other"")))),""Other"")"),"Transfer")</f>
        <v>Transfer</v>
      </c>
      <c r="E300" s="20">
        <v>2200.0</v>
      </c>
      <c r="F300" s="20">
        <v>0.0</v>
      </c>
      <c r="G300" s="12" t="str">
        <f t="shared" si="3"/>
        <v>Withdrawal</v>
      </c>
      <c r="H300" s="12" t="str">
        <f>TEXT(Raw_Data!A306,"hh:mm:ss")
</f>
        <v>15:35:24</v>
      </c>
      <c r="I300" s="20">
        <f t="shared" si="4"/>
        <v>2200</v>
      </c>
    </row>
    <row r="301">
      <c r="A301" s="12" t="str">
        <f>Raw_Data!A307</f>
        <v>04 Feb 2025 15:54:40</v>
      </c>
      <c r="B301" s="12" t="str">
        <f t="shared" si="1"/>
        <v>February</v>
      </c>
      <c r="C301" s="12">
        <f t="shared" si="2"/>
        <v>2</v>
      </c>
      <c r="D301" s="12" t="str">
        <f>IFERROR(__xludf.DUMMYFUNCTION("IFERROR(IF(REGEXMATCH(LOWER(Raw_Data!C307),""fixed deposit|owealth|savings|target""),""Fixed Deposit"",IF(REGEXMATCH(LOWER(Raw_Data!C307),""airtime""),""Airtime"",IF(REGEXMATCH(LOWER(Raw_Data!C307),""electronic money transfer levy""),""Electronic Money Tr"&amp;"ansfer Levy"",IF(REGEXMATCH(LOWER(Raw_Data!C307),""transfer|trf|send""),""Transfer"",""Other"")))),""Other"")"),"Transfer")</f>
        <v>Transfer</v>
      </c>
      <c r="E301" s="20">
        <v>500.0</v>
      </c>
      <c r="F301" s="20">
        <v>0.0</v>
      </c>
      <c r="G301" s="12" t="str">
        <f t="shared" si="3"/>
        <v>Withdrawal</v>
      </c>
      <c r="H301" s="12" t="str">
        <f>TEXT(Raw_Data!A307,"hh:mm:ss")
</f>
        <v>15:54:40</v>
      </c>
      <c r="I301" s="20">
        <f t="shared" si="4"/>
        <v>500</v>
      </c>
    </row>
    <row r="302">
      <c r="A302" s="12" t="str">
        <f>Raw_Data!A308</f>
        <v>04 Feb 2025 20:27:21</v>
      </c>
      <c r="B302" s="12" t="str">
        <f t="shared" si="1"/>
        <v>February</v>
      </c>
      <c r="C302" s="12">
        <f t="shared" si="2"/>
        <v>2</v>
      </c>
      <c r="D302" s="12" t="str">
        <f>IFERROR(__xludf.DUMMYFUNCTION("IFERROR(IF(REGEXMATCH(LOWER(Raw_Data!C308),""fixed deposit|owealth|savings|target""),""Fixed Deposit"",IF(REGEXMATCH(LOWER(Raw_Data!C308),""airtime""),""Airtime"",IF(REGEXMATCH(LOWER(Raw_Data!C308),""electronic money transfer levy""),""Electronic Money Tr"&amp;"ansfer Levy"",IF(REGEXMATCH(LOWER(Raw_Data!C308),""transfer|trf|send""),""Transfer"",""Other"")))),""Other"")"),"Transfer")</f>
        <v>Transfer</v>
      </c>
      <c r="E302" s="20">
        <v>1900.0</v>
      </c>
      <c r="F302" s="20">
        <v>0.0</v>
      </c>
      <c r="G302" s="12" t="str">
        <f t="shared" si="3"/>
        <v>Withdrawal</v>
      </c>
      <c r="H302" s="12" t="str">
        <f>TEXT(Raw_Data!A308,"hh:mm:ss")
</f>
        <v>20:27:21</v>
      </c>
      <c r="I302" s="20">
        <f t="shared" si="4"/>
        <v>1900</v>
      </c>
    </row>
    <row r="303">
      <c r="A303" s="12" t="str">
        <f>Raw_Data!A309</f>
        <v>05 Feb 2025 10:29:32</v>
      </c>
      <c r="B303" s="12" t="str">
        <f t="shared" si="1"/>
        <v>February</v>
      </c>
      <c r="C303" s="12">
        <f t="shared" si="2"/>
        <v>2</v>
      </c>
      <c r="D303" s="12" t="str">
        <f>IFERROR(__xludf.DUMMYFUNCTION("IFERROR(IF(REGEXMATCH(LOWER(Raw_Data!C309),""fixed deposit|owealth|savings|target""),""Fixed Deposit"",IF(REGEXMATCH(LOWER(Raw_Data!C309),""airtime""),""Airtime"",IF(REGEXMATCH(LOWER(Raw_Data!C309),""electronic money transfer levy""),""Electronic Money Tr"&amp;"ansfer Levy"",IF(REGEXMATCH(LOWER(Raw_Data!C309),""transfer|trf|send""),""Transfer"",""Other"")))),""Other"")"),"Transfer")</f>
        <v>Transfer</v>
      </c>
      <c r="E303" s="20">
        <v>760.0</v>
      </c>
      <c r="F303" s="20">
        <v>0.0</v>
      </c>
      <c r="G303" s="12" t="str">
        <f t="shared" si="3"/>
        <v>Withdrawal</v>
      </c>
      <c r="H303" s="12" t="str">
        <f>TEXT(Raw_Data!A309,"hh:mm:ss")
</f>
        <v>10:29:32</v>
      </c>
      <c r="I303" s="20">
        <f t="shared" si="4"/>
        <v>760</v>
      </c>
    </row>
    <row r="304">
      <c r="A304" s="12" t="str">
        <f>Raw_Data!A310</f>
        <v>05 Feb 2025 12:17:19</v>
      </c>
      <c r="B304" s="12" t="str">
        <f t="shared" si="1"/>
        <v>February</v>
      </c>
      <c r="C304" s="12">
        <f t="shared" si="2"/>
        <v>2</v>
      </c>
      <c r="D304" s="12" t="str">
        <f>IFERROR(__xludf.DUMMYFUNCTION("IFERROR(IF(REGEXMATCH(LOWER(Raw_Data!C310),""fixed deposit|owealth|savings|target""),""Fixed Deposit"",IF(REGEXMATCH(LOWER(Raw_Data!C310),""airtime""),""Airtime"",IF(REGEXMATCH(LOWER(Raw_Data!C310),""electronic money transfer levy""),""Electronic Money Tr"&amp;"ansfer Levy"",IF(REGEXMATCH(LOWER(Raw_Data!C310),""transfer|trf|send""),""Transfer"",""Other"")))),""Other"")"),"Transfer")</f>
        <v>Transfer</v>
      </c>
      <c r="E304" s="20">
        <v>500.0</v>
      </c>
      <c r="F304" s="20">
        <v>0.0</v>
      </c>
      <c r="G304" s="12" t="str">
        <f t="shared" si="3"/>
        <v>Withdrawal</v>
      </c>
      <c r="H304" s="12" t="str">
        <f>TEXT(Raw_Data!A310,"hh:mm:ss")
</f>
        <v>12:17:19</v>
      </c>
      <c r="I304" s="20">
        <f t="shared" si="4"/>
        <v>500</v>
      </c>
    </row>
    <row r="305">
      <c r="A305" s="12" t="str">
        <f>Raw_Data!A311</f>
        <v>05 Feb 2025 13:45:13</v>
      </c>
      <c r="B305" s="12" t="str">
        <f t="shared" si="1"/>
        <v>February</v>
      </c>
      <c r="C305" s="12">
        <f t="shared" si="2"/>
        <v>2</v>
      </c>
      <c r="D305" s="12" t="str">
        <f>IFERROR(__xludf.DUMMYFUNCTION("IFERROR(IF(REGEXMATCH(LOWER(Raw_Data!C311),""fixed deposit|owealth|savings|target""),""Fixed Deposit"",IF(REGEXMATCH(LOWER(Raw_Data!C311),""airtime""),""Airtime"",IF(REGEXMATCH(LOWER(Raw_Data!C311),""electronic money transfer levy""),""Electronic Money Tr"&amp;"ansfer Levy"",IF(REGEXMATCH(LOWER(Raw_Data!C311),""transfer|trf|send""),""Transfer"",""Other"")))),""Other"")"),"Transfer")</f>
        <v>Transfer</v>
      </c>
      <c r="E305" s="20">
        <v>300.0</v>
      </c>
      <c r="F305" s="20">
        <v>0.0</v>
      </c>
      <c r="G305" s="12" t="str">
        <f t="shared" si="3"/>
        <v>Withdrawal</v>
      </c>
      <c r="H305" s="12" t="str">
        <f>TEXT(Raw_Data!A311,"hh:mm:ss")
</f>
        <v>13:45:13</v>
      </c>
      <c r="I305" s="20">
        <f t="shared" si="4"/>
        <v>300</v>
      </c>
    </row>
    <row r="306">
      <c r="A306" s="12" t="str">
        <f>Raw_Data!A312</f>
        <v>05 Feb 2025 14:45:00</v>
      </c>
      <c r="B306" s="12" t="str">
        <f t="shared" si="1"/>
        <v>February</v>
      </c>
      <c r="C306" s="12">
        <f t="shared" si="2"/>
        <v>2</v>
      </c>
      <c r="D306" s="12" t="str">
        <f>IFERROR(__xludf.DUMMYFUNCTION("IFERROR(IF(REGEXMATCH(LOWER(Raw_Data!C312),""fixed deposit|owealth|savings|target""),""Fixed Deposit"",IF(REGEXMATCH(LOWER(Raw_Data!C312),""airtime""),""Airtime"",IF(REGEXMATCH(LOWER(Raw_Data!C312),""electronic money transfer levy""),""Electronic Money Tr"&amp;"ansfer Levy"",IF(REGEXMATCH(LOWER(Raw_Data!C312),""transfer|trf|send""),""Transfer"",""Other"")))),""Other"")"),"Transfer")</f>
        <v>Transfer</v>
      </c>
      <c r="E306" s="20">
        <v>2000.0</v>
      </c>
      <c r="F306" s="20">
        <v>0.0</v>
      </c>
      <c r="G306" s="12" t="str">
        <f t="shared" si="3"/>
        <v>Withdrawal</v>
      </c>
      <c r="H306" s="12" t="str">
        <f>TEXT(Raw_Data!A312,"hh:mm:ss")
</f>
        <v>14:45:00</v>
      </c>
      <c r="I306" s="20">
        <f t="shared" si="4"/>
        <v>2000</v>
      </c>
    </row>
    <row r="307">
      <c r="A307" s="12" t="str">
        <f>Raw_Data!A313</f>
        <v>06 Feb 2025 08:22:09</v>
      </c>
      <c r="B307" s="12" t="str">
        <f t="shared" si="1"/>
        <v>February</v>
      </c>
      <c r="C307" s="12">
        <f t="shared" si="2"/>
        <v>2</v>
      </c>
      <c r="D307" s="12" t="str">
        <f>IFERROR(__xludf.DUMMYFUNCTION("IFERROR(IF(REGEXMATCH(LOWER(Raw_Data!C313),""fixed deposit|owealth|savings|target""),""Fixed Deposit"",IF(REGEXMATCH(LOWER(Raw_Data!C313),""airtime""),""Airtime"",IF(REGEXMATCH(LOWER(Raw_Data!C313),""electronic money transfer levy""),""Electronic Money Tr"&amp;"ansfer Levy"",IF(REGEXMATCH(LOWER(Raw_Data!C313),""transfer|trf|send""),""Transfer"",""Other"")))),""Other"")"),"Airtime")</f>
        <v>Airtime</v>
      </c>
      <c r="E307" s="20">
        <v>1000.0</v>
      </c>
      <c r="F307" s="20">
        <v>0.0</v>
      </c>
      <c r="G307" s="12" t="str">
        <f t="shared" si="3"/>
        <v>Withdrawal</v>
      </c>
      <c r="H307" s="12" t="str">
        <f>TEXT(Raw_Data!A313,"hh:mm:ss")
</f>
        <v>08:22:09</v>
      </c>
      <c r="I307" s="20">
        <f t="shared" si="4"/>
        <v>1000</v>
      </c>
    </row>
    <row r="308">
      <c r="A308" s="12" t="str">
        <f>Raw_Data!A314</f>
        <v>06 Feb 2025 09:37:56</v>
      </c>
      <c r="B308" s="12" t="str">
        <f t="shared" si="1"/>
        <v>February</v>
      </c>
      <c r="C308" s="12">
        <f t="shared" si="2"/>
        <v>2</v>
      </c>
      <c r="D308" s="12" t="str">
        <f>IFERROR(__xludf.DUMMYFUNCTION("IFERROR(IF(REGEXMATCH(LOWER(Raw_Data!C314),""fixed deposit|owealth|savings|target""),""Fixed Deposit"",IF(REGEXMATCH(LOWER(Raw_Data!C314),""airtime""),""Airtime"",IF(REGEXMATCH(LOWER(Raw_Data!C314),""electronic money transfer levy""),""Electronic Money Tr"&amp;"ansfer Levy"",IF(REGEXMATCH(LOWER(Raw_Data!C314),""transfer|trf|send""),""Transfer"",""Other"")))),""Other"")"),"Transfer")</f>
        <v>Transfer</v>
      </c>
      <c r="E308" s="20">
        <v>180.0</v>
      </c>
      <c r="F308" s="20">
        <v>0.0</v>
      </c>
      <c r="G308" s="12" t="str">
        <f t="shared" si="3"/>
        <v>Withdrawal</v>
      </c>
      <c r="H308" s="12" t="str">
        <f>TEXT(Raw_Data!A314,"hh:mm:ss")
</f>
        <v>09:37:56</v>
      </c>
      <c r="I308" s="20">
        <f t="shared" si="4"/>
        <v>180</v>
      </c>
    </row>
    <row r="309">
      <c r="A309" s="12" t="str">
        <f>Raw_Data!A315</f>
        <v>06 Feb 2025 10:24:35</v>
      </c>
      <c r="B309" s="12" t="str">
        <f t="shared" si="1"/>
        <v>February</v>
      </c>
      <c r="C309" s="12">
        <f t="shared" si="2"/>
        <v>2</v>
      </c>
      <c r="D309" s="12" t="str">
        <f>IFERROR(__xludf.DUMMYFUNCTION("IFERROR(IF(REGEXMATCH(LOWER(Raw_Data!C315),""fixed deposit|owealth|savings|target""),""Fixed Deposit"",IF(REGEXMATCH(LOWER(Raw_Data!C315),""airtime""),""Airtime"",IF(REGEXMATCH(LOWER(Raw_Data!C315),""electronic money transfer levy""),""Electronic Money Tr"&amp;"ansfer Levy"",IF(REGEXMATCH(LOWER(Raw_Data!C315),""transfer|trf|send""),""Transfer"",""Other"")))),""Other"")"),"Transfer")</f>
        <v>Transfer</v>
      </c>
      <c r="E309" s="20">
        <v>200.0</v>
      </c>
      <c r="F309" s="20">
        <v>0.0</v>
      </c>
      <c r="G309" s="12" t="str">
        <f t="shared" si="3"/>
        <v>Withdrawal</v>
      </c>
      <c r="H309" s="12" t="str">
        <f>TEXT(Raw_Data!A315,"hh:mm:ss")
</f>
        <v>10:24:35</v>
      </c>
      <c r="I309" s="20">
        <f t="shared" si="4"/>
        <v>200</v>
      </c>
    </row>
    <row r="310">
      <c r="A310" s="12" t="str">
        <f>Raw_Data!A316</f>
        <v>06 Feb 2025 10:45:13</v>
      </c>
      <c r="B310" s="12" t="str">
        <f t="shared" si="1"/>
        <v>February</v>
      </c>
      <c r="C310" s="12">
        <f t="shared" si="2"/>
        <v>2</v>
      </c>
      <c r="D310" s="12" t="str">
        <f>IFERROR(__xludf.DUMMYFUNCTION("IFERROR(IF(REGEXMATCH(LOWER(Raw_Data!C316),""fixed deposit|owealth|savings|target""),""Fixed Deposit"",IF(REGEXMATCH(LOWER(Raw_Data!C316),""airtime""),""Airtime"",IF(REGEXMATCH(LOWER(Raw_Data!C316),""electronic money transfer levy""),""Electronic Money Tr"&amp;"ansfer Levy"",IF(REGEXMATCH(LOWER(Raw_Data!C316),""transfer|trf|send""),""Transfer"",""Other"")))),""Other"")"),"Transfer")</f>
        <v>Transfer</v>
      </c>
      <c r="E310" s="20">
        <v>1000.0</v>
      </c>
      <c r="F310" s="20">
        <v>0.0</v>
      </c>
      <c r="G310" s="12" t="str">
        <f t="shared" si="3"/>
        <v>Withdrawal</v>
      </c>
      <c r="H310" s="12" t="str">
        <f>TEXT(Raw_Data!A316,"hh:mm:ss")
</f>
        <v>10:45:13</v>
      </c>
      <c r="I310" s="20">
        <f t="shared" si="4"/>
        <v>1000</v>
      </c>
    </row>
    <row r="311">
      <c r="A311" s="12" t="str">
        <f>Raw_Data!A317</f>
        <v>06 Feb 2025 11:43:23</v>
      </c>
      <c r="B311" s="12" t="str">
        <f t="shared" si="1"/>
        <v>February</v>
      </c>
      <c r="C311" s="12">
        <f t="shared" si="2"/>
        <v>2</v>
      </c>
      <c r="D311" s="12" t="str">
        <f>IFERROR(__xludf.DUMMYFUNCTION("IFERROR(IF(REGEXMATCH(LOWER(Raw_Data!C317),""fixed deposit|owealth|savings|target""),""Fixed Deposit"",IF(REGEXMATCH(LOWER(Raw_Data!C317),""airtime""),""Airtime"",IF(REGEXMATCH(LOWER(Raw_Data!C317),""electronic money transfer levy""),""Electronic Money Tr"&amp;"ansfer Levy"",IF(REGEXMATCH(LOWER(Raw_Data!C317),""transfer|trf|send""),""Transfer"",""Other"")))),""Other"")"),"Transfer")</f>
        <v>Transfer</v>
      </c>
      <c r="E311" s="20">
        <v>150.0</v>
      </c>
      <c r="F311" s="20">
        <v>0.0</v>
      </c>
      <c r="G311" s="12" t="str">
        <f t="shared" si="3"/>
        <v>Withdrawal</v>
      </c>
      <c r="H311" s="12" t="str">
        <f>TEXT(Raw_Data!A317,"hh:mm:ss")
</f>
        <v>11:43:23</v>
      </c>
      <c r="I311" s="20">
        <f t="shared" si="4"/>
        <v>150</v>
      </c>
    </row>
    <row r="312">
      <c r="A312" s="12" t="str">
        <f>Raw_Data!A318</f>
        <v>06 Feb 2025 15:10:14</v>
      </c>
      <c r="B312" s="12" t="str">
        <f t="shared" si="1"/>
        <v>February</v>
      </c>
      <c r="C312" s="12">
        <f t="shared" si="2"/>
        <v>2</v>
      </c>
      <c r="D312" s="12" t="str">
        <f>IFERROR(__xludf.DUMMYFUNCTION("IFERROR(IF(REGEXMATCH(LOWER(Raw_Data!C318),""fixed deposit|owealth|savings|target""),""Fixed Deposit"",IF(REGEXMATCH(LOWER(Raw_Data!C318),""airtime""),""Airtime"",IF(REGEXMATCH(LOWER(Raw_Data!C318),""electronic money transfer levy""),""Electronic Money Tr"&amp;"ansfer Levy"",IF(REGEXMATCH(LOWER(Raw_Data!C318),""transfer|trf|send""),""Transfer"",""Other"")))),""Other"")"),"Transfer")</f>
        <v>Transfer</v>
      </c>
      <c r="E312" s="20">
        <v>500.0</v>
      </c>
      <c r="F312" s="20">
        <v>0.0</v>
      </c>
      <c r="G312" s="12" t="str">
        <f t="shared" si="3"/>
        <v>Withdrawal</v>
      </c>
      <c r="H312" s="12" t="str">
        <f>TEXT(Raw_Data!A318,"hh:mm:ss")
</f>
        <v>15:10:14</v>
      </c>
      <c r="I312" s="20">
        <f t="shared" si="4"/>
        <v>500</v>
      </c>
    </row>
    <row r="313">
      <c r="A313" s="12" t="str">
        <f>Raw_Data!A319</f>
        <v>06 Feb 2025 15:10:39</v>
      </c>
      <c r="B313" s="12" t="str">
        <f t="shared" si="1"/>
        <v>February</v>
      </c>
      <c r="C313" s="12">
        <f t="shared" si="2"/>
        <v>2</v>
      </c>
      <c r="D313" s="12" t="str">
        <f>IFERROR(__xludf.DUMMYFUNCTION("IFERROR(IF(REGEXMATCH(LOWER(Raw_Data!C319),""fixed deposit|owealth|savings|target""),""Fixed Deposit"",IF(REGEXMATCH(LOWER(Raw_Data!C319),""airtime""),""Airtime"",IF(REGEXMATCH(LOWER(Raw_Data!C319),""electronic money transfer levy""),""Electronic Money Tr"&amp;"ansfer Levy"",IF(REGEXMATCH(LOWER(Raw_Data!C319),""transfer|trf|send""),""Transfer"",""Other"")))),""Other"")"),"Transfer")</f>
        <v>Transfer</v>
      </c>
      <c r="E313" s="20">
        <v>700.0</v>
      </c>
      <c r="F313" s="20">
        <v>0.0</v>
      </c>
      <c r="G313" s="12" t="str">
        <f t="shared" si="3"/>
        <v>Withdrawal</v>
      </c>
      <c r="H313" s="12" t="str">
        <f>TEXT(Raw_Data!A319,"hh:mm:ss")
</f>
        <v>15:10:39</v>
      </c>
      <c r="I313" s="20">
        <f t="shared" si="4"/>
        <v>700</v>
      </c>
    </row>
    <row r="314">
      <c r="A314" s="12" t="str">
        <f>Raw_Data!A320</f>
        <v>07 Feb 2025 15:50:52</v>
      </c>
      <c r="B314" s="12" t="str">
        <f t="shared" si="1"/>
        <v>February</v>
      </c>
      <c r="C314" s="12">
        <f t="shared" si="2"/>
        <v>2</v>
      </c>
      <c r="D314" s="12" t="str">
        <f>IFERROR(__xludf.DUMMYFUNCTION("IFERROR(IF(REGEXMATCH(LOWER(Raw_Data!C320),""fixed deposit|owealth|savings|target""),""Fixed Deposit"",IF(REGEXMATCH(LOWER(Raw_Data!C320),""airtime""),""Airtime"",IF(REGEXMATCH(LOWER(Raw_Data!C320),""electronic money transfer levy""),""Electronic Money Tr"&amp;"ansfer Levy"",IF(REGEXMATCH(LOWER(Raw_Data!C320),""transfer|trf|send""),""Transfer"",""Other"")))),""Other"")"),"Transfer")</f>
        <v>Transfer</v>
      </c>
      <c r="E314" s="20">
        <v>0.0</v>
      </c>
      <c r="F314" s="20">
        <v>5000.0</v>
      </c>
      <c r="G314" s="12" t="str">
        <f t="shared" si="3"/>
        <v>Deposit</v>
      </c>
      <c r="H314" s="12" t="str">
        <f>TEXT(Raw_Data!A320,"hh:mm:ss")
</f>
        <v>15:50:52</v>
      </c>
      <c r="I314" s="20">
        <f t="shared" si="4"/>
        <v>5000</v>
      </c>
    </row>
    <row r="315">
      <c r="A315" s="12" t="str">
        <f>Raw_Data!A321</f>
        <v>07 Feb 2025 17:21:52</v>
      </c>
      <c r="B315" s="12" t="str">
        <f t="shared" si="1"/>
        <v>February</v>
      </c>
      <c r="C315" s="12">
        <f t="shared" si="2"/>
        <v>2</v>
      </c>
      <c r="D315" s="12" t="str">
        <f>IFERROR(__xludf.DUMMYFUNCTION("IFERROR(IF(REGEXMATCH(LOWER(Raw_Data!C321),""fixed deposit|owealth|savings|target""),""Fixed Deposit"",IF(REGEXMATCH(LOWER(Raw_Data!C321),""airtime""),""Airtime"",IF(REGEXMATCH(LOWER(Raw_Data!C321),""electronic money transfer levy""),""Electronic Money Tr"&amp;"ansfer Levy"",IF(REGEXMATCH(LOWER(Raw_Data!C321),""transfer|trf|send""),""Transfer"",""Other"")))),""Other"")"),"Transfer")</f>
        <v>Transfer</v>
      </c>
      <c r="E315" s="20">
        <v>300.0</v>
      </c>
      <c r="F315" s="20">
        <v>0.0</v>
      </c>
      <c r="G315" s="12" t="str">
        <f t="shared" si="3"/>
        <v>Withdrawal</v>
      </c>
      <c r="H315" s="12" t="str">
        <f>TEXT(Raw_Data!A321,"hh:mm:ss")
</f>
        <v>17:21:52</v>
      </c>
      <c r="I315" s="20">
        <f t="shared" si="4"/>
        <v>300</v>
      </c>
    </row>
    <row r="316">
      <c r="A316" s="12" t="str">
        <f>Raw_Data!A322</f>
        <v>07 Feb 2025 17:22:07</v>
      </c>
      <c r="B316" s="12" t="str">
        <f t="shared" si="1"/>
        <v>February</v>
      </c>
      <c r="C316" s="12">
        <f t="shared" si="2"/>
        <v>2</v>
      </c>
      <c r="D316" s="12" t="str">
        <f>IFERROR(__xludf.DUMMYFUNCTION("IFERROR(IF(REGEXMATCH(LOWER(Raw_Data!C322),""fixed deposit|owealth|savings|target""),""Fixed Deposit"",IF(REGEXMATCH(LOWER(Raw_Data!C322),""airtime""),""Airtime"",IF(REGEXMATCH(LOWER(Raw_Data!C322),""electronic money transfer levy""),""Electronic Money Tr"&amp;"ansfer Levy"",IF(REGEXMATCH(LOWER(Raw_Data!C322),""transfer|trf|send""),""Transfer"",""Other"")))),""Other"")"),"Airtime")</f>
        <v>Airtime</v>
      </c>
      <c r="E316" s="20">
        <v>500.0</v>
      </c>
      <c r="F316" s="20">
        <v>0.0</v>
      </c>
      <c r="G316" s="12" t="str">
        <f t="shared" si="3"/>
        <v>Withdrawal</v>
      </c>
      <c r="H316" s="12" t="str">
        <f>TEXT(Raw_Data!A322,"hh:mm:ss")
</f>
        <v>17:22:07</v>
      </c>
      <c r="I316" s="20">
        <f t="shared" si="4"/>
        <v>500</v>
      </c>
    </row>
    <row r="317">
      <c r="A317" s="12" t="str">
        <f>Raw_Data!A323</f>
        <v>07 Feb 2025 21:26:52</v>
      </c>
      <c r="B317" s="12" t="str">
        <f t="shared" si="1"/>
        <v>February</v>
      </c>
      <c r="C317" s="12">
        <f t="shared" si="2"/>
        <v>2</v>
      </c>
      <c r="D317" s="12" t="str">
        <f>IFERROR(__xludf.DUMMYFUNCTION("IFERROR(IF(REGEXMATCH(LOWER(Raw_Data!C323),""fixed deposit|owealth|savings|target""),""Fixed Deposit"",IF(REGEXMATCH(LOWER(Raw_Data!C323),""airtime""),""Airtime"",IF(REGEXMATCH(LOWER(Raw_Data!C323),""electronic money transfer levy""),""Electronic Money Tr"&amp;"ansfer Levy"",IF(REGEXMATCH(LOWER(Raw_Data!C323),""transfer|trf|send""),""Transfer"",""Other"")))),""Other"")"),"Transfer")</f>
        <v>Transfer</v>
      </c>
      <c r="E317" s="20">
        <v>900.0</v>
      </c>
      <c r="F317" s="20">
        <v>0.0</v>
      </c>
      <c r="G317" s="12" t="str">
        <f t="shared" si="3"/>
        <v>Withdrawal</v>
      </c>
      <c r="H317" s="12" t="str">
        <f>TEXT(Raw_Data!A323,"hh:mm:ss")
</f>
        <v>21:26:52</v>
      </c>
      <c r="I317" s="20">
        <f t="shared" si="4"/>
        <v>900</v>
      </c>
    </row>
    <row r="318">
      <c r="A318" s="12" t="str">
        <f>Raw_Data!A324</f>
        <v>08 Feb 2025 09:46:22</v>
      </c>
      <c r="B318" s="12" t="str">
        <f t="shared" si="1"/>
        <v>February</v>
      </c>
      <c r="C318" s="12">
        <f t="shared" si="2"/>
        <v>2</v>
      </c>
      <c r="D318" s="12" t="str">
        <f>IFERROR(__xludf.DUMMYFUNCTION("IFERROR(IF(REGEXMATCH(LOWER(Raw_Data!C324),""fixed deposit|owealth|savings|target""),""Fixed Deposit"",IF(REGEXMATCH(LOWER(Raw_Data!C324),""airtime""),""Airtime"",IF(REGEXMATCH(LOWER(Raw_Data!C324),""electronic money transfer levy""),""Electronic Money Tr"&amp;"ansfer Levy"",IF(REGEXMATCH(LOWER(Raw_Data!C324),""transfer|trf|send""),""Transfer"",""Other"")))),""Other"")"),"Transfer")</f>
        <v>Transfer</v>
      </c>
      <c r="E318" s="20">
        <v>0.0</v>
      </c>
      <c r="F318" s="20">
        <v>2000.0</v>
      </c>
      <c r="G318" s="12" t="str">
        <f t="shared" si="3"/>
        <v>Deposit</v>
      </c>
      <c r="H318" s="12" t="str">
        <f>TEXT(Raw_Data!A324,"hh:mm:ss")
</f>
        <v>09:46:22</v>
      </c>
      <c r="I318" s="20">
        <f t="shared" si="4"/>
        <v>2000</v>
      </c>
    </row>
    <row r="319">
      <c r="A319" s="12" t="str">
        <f>Raw_Data!A325</f>
        <v>08 Feb 2025 09:58:10</v>
      </c>
      <c r="B319" s="12" t="str">
        <f t="shared" si="1"/>
        <v>February</v>
      </c>
      <c r="C319" s="12">
        <f t="shared" si="2"/>
        <v>2</v>
      </c>
      <c r="D319" s="12" t="str">
        <f>IFERROR(__xludf.DUMMYFUNCTION("IFERROR(IF(REGEXMATCH(LOWER(Raw_Data!C325),""fixed deposit|owealth|savings|target""),""Fixed Deposit"",IF(REGEXMATCH(LOWER(Raw_Data!C325),""airtime""),""Airtime"",IF(REGEXMATCH(LOWER(Raw_Data!C325),""electronic money transfer levy""),""Electronic Money Tr"&amp;"ansfer Levy"",IF(REGEXMATCH(LOWER(Raw_Data!C325),""transfer|trf|send""),""Transfer"",""Other"")))),""Other"")"),"Transfer")</f>
        <v>Transfer</v>
      </c>
      <c r="E319" s="20">
        <v>0.0</v>
      </c>
      <c r="F319" s="20">
        <v>3000.0</v>
      </c>
      <c r="G319" s="12" t="str">
        <f t="shared" si="3"/>
        <v>Deposit</v>
      </c>
      <c r="H319" s="12" t="str">
        <f>TEXT(Raw_Data!A325,"hh:mm:ss")
</f>
        <v>09:58:10</v>
      </c>
      <c r="I319" s="20">
        <f t="shared" si="4"/>
        <v>3000</v>
      </c>
    </row>
    <row r="320">
      <c r="A320" s="12" t="str">
        <f>Raw_Data!A326</f>
        <v>08 Feb 2025 10:19:07</v>
      </c>
      <c r="B320" s="12" t="str">
        <f t="shared" si="1"/>
        <v>February</v>
      </c>
      <c r="C320" s="12">
        <f t="shared" si="2"/>
        <v>2</v>
      </c>
      <c r="D320" s="12" t="str">
        <f>IFERROR(__xludf.DUMMYFUNCTION("IFERROR(IF(REGEXMATCH(LOWER(Raw_Data!C326),""fixed deposit|owealth|savings|target""),""Fixed Deposit"",IF(REGEXMATCH(LOWER(Raw_Data!C326),""airtime""),""Airtime"",IF(REGEXMATCH(LOWER(Raw_Data!C326),""electronic money transfer levy""),""Electronic Money Tr"&amp;"ansfer Levy"",IF(REGEXMATCH(LOWER(Raw_Data!C326),""transfer|trf|send""),""Transfer"",""Other"")))),""Other"")"),"Transfer")</f>
        <v>Transfer</v>
      </c>
      <c r="E320" s="20">
        <v>700.0</v>
      </c>
      <c r="F320" s="20">
        <v>0.0</v>
      </c>
      <c r="G320" s="12" t="str">
        <f t="shared" si="3"/>
        <v>Withdrawal</v>
      </c>
      <c r="H320" s="12" t="str">
        <f>TEXT(Raw_Data!A326,"hh:mm:ss")
</f>
        <v>10:19:07</v>
      </c>
      <c r="I320" s="20">
        <f t="shared" si="4"/>
        <v>700</v>
      </c>
    </row>
    <row r="321">
      <c r="A321" s="12" t="str">
        <f>Raw_Data!A327</f>
        <v>08 Feb 2025 10:26:25</v>
      </c>
      <c r="B321" s="12" t="str">
        <f t="shared" si="1"/>
        <v>February</v>
      </c>
      <c r="C321" s="12">
        <f t="shared" si="2"/>
        <v>2</v>
      </c>
      <c r="D321" s="12" t="str">
        <f>IFERROR(__xludf.DUMMYFUNCTION("IFERROR(IF(REGEXMATCH(LOWER(Raw_Data!C327),""fixed deposit|owealth|savings|target""),""Fixed Deposit"",IF(REGEXMATCH(LOWER(Raw_Data!C327),""airtime""),""Airtime"",IF(REGEXMATCH(LOWER(Raw_Data!C327),""electronic money transfer levy""),""Electronic Money Tr"&amp;"ansfer Levy"",IF(REGEXMATCH(LOWER(Raw_Data!C327),""transfer|trf|send""),""Transfer"",""Other"")))),""Other"")"),"Transfer")</f>
        <v>Transfer</v>
      </c>
      <c r="E321" s="20">
        <v>860.0</v>
      </c>
      <c r="F321" s="20">
        <v>0.0</v>
      </c>
      <c r="G321" s="12" t="str">
        <f t="shared" si="3"/>
        <v>Withdrawal</v>
      </c>
      <c r="H321" s="12" t="str">
        <f>TEXT(Raw_Data!A327,"hh:mm:ss")
</f>
        <v>10:26:25</v>
      </c>
      <c r="I321" s="20">
        <f t="shared" si="4"/>
        <v>860</v>
      </c>
    </row>
    <row r="322">
      <c r="A322" s="12" t="str">
        <f>Raw_Data!A328</f>
        <v>08 Feb 2025 13:37:29</v>
      </c>
      <c r="B322" s="12" t="str">
        <f t="shared" si="1"/>
        <v>February</v>
      </c>
      <c r="C322" s="12">
        <f t="shared" si="2"/>
        <v>2</v>
      </c>
      <c r="D322" s="12" t="str">
        <f>IFERROR(__xludf.DUMMYFUNCTION("IFERROR(IF(REGEXMATCH(LOWER(Raw_Data!C328),""fixed deposit|owealth|savings|target""),""Fixed Deposit"",IF(REGEXMATCH(LOWER(Raw_Data!C328),""airtime""),""Airtime"",IF(REGEXMATCH(LOWER(Raw_Data!C328),""electronic money transfer levy""),""Electronic Money Tr"&amp;"ansfer Levy"",IF(REGEXMATCH(LOWER(Raw_Data!C328),""transfer|trf|send""),""Transfer"",""Other"")))),""Other"")"),"Transfer")</f>
        <v>Transfer</v>
      </c>
      <c r="E322" s="20">
        <v>1000.0</v>
      </c>
      <c r="F322" s="20">
        <v>0.0</v>
      </c>
      <c r="G322" s="12" t="str">
        <f t="shared" si="3"/>
        <v>Withdrawal</v>
      </c>
      <c r="H322" s="12" t="str">
        <f>TEXT(Raw_Data!A328,"hh:mm:ss")
</f>
        <v>13:37:29</v>
      </c>
      <c r="I322" s="20">
        <f t="shared" si="4"/>
        <v>1000</v>
      </c>
    </row>
    <row r="323">
      <c r="A323" s="12" t="str">
        <f>Raw_Data!A329</f>
        <v>08 Feb 2025 16:19:24</v>
      </c>
      <c r="B323" s="12" t="str">
        <f t="shared" si="1"/>
        <v>February</v>
      </c>
      <c r="C323" s="12">
        <f t="shared" si="2"/>
        <v>2</v>
      </c>
      <c r="D323" s="12" t="str">
        <f>IFERROR(__xludf.DUMMYFUNCTION("IFERROR(IF(REGEXMATCH(LOWER(Raw_Data!C329),""fixed deposit|owealth|savings|target""),""Fixed Deposit"",IF(REGEXMATCH(LOWER(Raw_Data!C329),""airtime""),""Airtime"",IF(REGEXMATCH(LOWER(Raw_Data!C329),""electronic money transfer levy""),""Electronic Money Tr"&amp;"ansfer Levy"",IF(REGEXMATCH(LOWER(Raw_Data!C329),""transfer|trf|send""),""Transfer"",""Other"")))),""Other"")"),"Transfer")</f>
        <v>Transfer</v>
      </c>
      <c r="E323" s="20">
        <v>700.0</v>
      </c>
      <c r="F323" s="20">
        <v>0.0</v>
      </c>
      <c r="G323" s="12" t="str">
        <f t="shared" si="3"/>
        <v>Withdrawal</v>
      </c>
      <c r="H323" s="12" t="str">
        <f>TEXT(Raw_Data!A329,"hh:mm:ss")
</f>
        <v>16:19:24</v>
      </c>
      <c r="I323" s="20">
        <f t="shared" si="4"/>
        <v>700</v>
      </c>
    </row>
    <row r="324">
      <c r="A324" s="12" t="str">
        <f>Raw_Data!A330</f>
        <v>08 Feb 2025 16:19:53</v>
      </c>
      <c r="B324" s="12" t="str">
        <f t="shared" si="1"/>
        <v>February</v>
      </c>
      <c r="C324" s="12">
        <f t="shared" si="2"/>
        <v>2</v>
      </c>
      <c r="D324" s="12" t="str">
        <f>IFERROR(__xludf.DUMMYFUNCTION("IFERROR(IF(REGEXMATCH(LOWER(Raw_Data!C330),""fixed deposit|owealth|savings|target""),""Fixed Deposit"",IF(REGEXMATCH(LOWER(Raw_Data!C330),""airtime""),""Airtime"",IF(REGEXMATCH(LOWER(Raw_Data!C330),""electronic money transfer levy""),""Electronic Money Tr"&amp;"ansfer Levy"",IF(REGEXMATCH(LOWER(Raw_Data!C330),""transfer|trf|send""),""Transfer"",""Other"")))),""Other"")"),"Transfer")</f>
        <v>Transfer</v>
      </c>
      <c r="E324" s="20">
        <v>1000.0</v>
      </c>
      <c r="F324" s="20">
        <v>0.0</v>
      </c>
      <c r="G324" s="12" t="str">
        <f t="shared" si="3"/>
        <v>Withdrawal</v>
      </c>
      <c r="H324" s="12" t="str">
        <f>TEXT(Raw_Data!A330,"hh:mm:ss")
</f>
        <v>16:19:53</v>
      </c>
      <c r="I324" s="20">
        <f t="shared" si="4"/>
        <v>1000</v>
      </c>
    </row>
    <row r="325">
      <c r="A325" s="12" t="str">
        <f>Raw_Data!A331</f>
        <v>08 Feb 2025 16:33:30</v>
      </c>
      <c r="B325" s="12" t="str">
        <f t="shared" si="1"/>
        <v>February</v>
      </c>
      <c r="C325" s="12">
        <f t="shared" si="2"/>
        <v>2</v>
      </c>
      <c r="D325" s="12" t="str">
        <f>IFERROR(__xludf.DUMMYFUNCTION("IFERROR(IF(REGEXMATCH(LOWER(Raw_Data!C331),""fixed deposit|owealth|savings|target""),""Fixed Deposit"",IF(REGEXMATCH(LOWER(Raw_Data!C331),""airtime""),""Airtime"",IF(REGEXMATCH(LOWER(Raw_Data!C331),""electronic money transfer levy""),""Electronic Money Tr"&amp;"ansfer Levy"",IF(REGEXMATCH(LOWER(Raw_Data!C331),""transfer|trf|send""),""Transfer"",""Other"")))),""Other"")"),"Transfer")</f>
        <v>Transfer</v>
      </c>
      <c r="E325" s="20">
        <v>0.0</v>
      </c>
      <c r="F325" s="20">
        <v>100000.0</v>
      </c>
      <c r="G325" s="12" t="str">
        <f t="shared" si="3"/>
        <v>Deposit</v>
      </c>
      <c r="H325" s="12" t="str">
        <f>TEXT(Raw_Data!A331,"hh:mm:ss")
</f>
        <v>16:33:30</v>
      </c>
      <c r="I325" s="20">
        <f t="shared" si="4"/>
        <v>100000</v>
      </c>
    </row>
    <row r="326">
      <c r="A326" s="12" t="str">
        <f>Raw_Data!A332</f>
        <v>08 Feb 2025 16:33:35</v>
      </c>
      <c r="B326" s="12" t="str">
        <f t="shared" si="1"/>
        <v>February</v>
      </c>
      <c r="C326" s="12">
        <f t="shared" si="2"/>
        <v>2</v>
      </c>
      <c r="D326" s="12" t="str">
        <f>IFERROR(__xludf.DUMMYFUNCTION("IFERROR(IF(REGEXMATCH(LOWER(Raw_Data!C332),""fixed deposit|owealth|savings|target""),""Fixed Deposit"",IF(REGEXMATCH(LOWER(Raw_Data!C332),""airtime""),""Airtime"",IF(REGEXMATCH(LOWER(Raw_Data!C332),""electronic money transfer levy""),""Electronic Money Tr"&amp;"ansfer Levy"",IF(REGEXMATCH(LOWER(Raw_Data!C332),""transfer|trf|send""),""Transfer"",""Other"")))),""Other"")"),"Electronic Money Transfer Levy")</f>
        <v>Electronic Money Transfer Levy</v>
      </c>
      <c r="E326" s="20">
        <v>50.0</v>
      </c>
      <c r="F326" s="20">
        <v>0.0</v>
      </c>
      <c r="G326" s="12" t="str">
        <f t="shared" si="3"/>
        <v>Withdrawal</v>
      </c>
      <c r="H326" s="12" t="str">
        <f>TEXT(Raw_Data!A332,"hh:mm:ss")
</f>
        <v>16:33:35</v>
      </c>
      <c r="I326" s="20">
        <f t="shared" si="4"/>
        <v>50</v>
      </c>
    </row>
    <row r="327">
      <c r="A327" s="12" t="str">
        <f>Raw_Data!A333</f>
        <v>08 Feb 2025 16:35:09</v>
      </c>
      <c r="B327" s="12" t="str">
        <f t="shared" si="1"/>
        <v>February</v>
      </c>
      <c r="C327" s="12">
        <f t="shared" si="2"/>
        <v>2</v>
      </c>
      <c r="D327" s="12" t="str">
        <f>IFERROR(__xludf.DUMMYFUNCTION("IFERROR(IF(REGEXMATCH(LOWER(Raw_Data!C333),""fixed deposit|owealth|savings|target""),""Fixed Deposit"",IF(REGEXMATCH(LOWER(Raw_Data!C333),""airtime""),""Airtime"",IF(REGEXMATCH(LOWER(Raw_Data!C333),""electronic money transfer levy""),""Electronic Money Tr"&amp;"ansfer Levy"",IF(REGEXMATCH(LOWER(Raw_Data!C333),""transfer|trf|send""),""Transfer"",""Other"")))),""Other"")"),"Transfer")</f>
        <v>Transfer</v>
      </c>
      <c r="E327" s="20">
        <v>100000.0</v>
      </c>
      <c r="F327" s="20">
        <v>0.0</v>
      </c>
      <c r="G327" s="12" t="str">
        <f t="shared" si="3"/>
        <v>Withdrawal</v>
      </c>
      <c r="H327" s="12" t="str">
        <f>TEXT(Raw_Data!A333,"hh:mm:ss")
</f>
        <v>16:35:09</v>
      </c>
      <c r="I327" s="20">
        <f t="shared" si="4"/>
        <v>100000</v>
      </c>
    </row>
    <row r="328">
      <c r="A328" s="12" t="str">
        <f>Raw_Data!A334</f>
        <v>08 Feb 2025 16:37:05</v>
      </c>
      <c r="B328" s="12" t="str">
        <f t="shared" si="1"/>
        <v>February</v>
      </c>
      <c r="C328" s="12">
        <f t="shared" si="2"/>
        <v>2</v>
      </c>
      <c r="D328" s="12" t="str">
        <f>IFERROR(__xludf.DUMMYFUNCTION("IFERROR(IF(REGEXMATCH(LOWER(Raw_Data!C334),""fixed deposit|owealth|savings|target""),""Fixed Deposit"",IF(REGEXMATCH(LOWER(Raw_Data!C334),""airtime""),""Airtime"",IF(REGEXMATCH(LOWER(Raw_Data!C334),""electronic money transfer levy""),""Electronic Money Tr"&amp;"ansfer Levy"",IF(REGEXMATCH(LOWER(Raw_Data!C334),""transfer|trf|send""),""Transfer"",""Other"")))),""Other"")"),"Transfer")</f>
        <v>Transfer</v>
      </c>
      <c r="E328" s="20">
        <v>0.0</v>
      </c>
      <c r="F328" s="20">
        <v>100000.0</v>
      </c>
      <c r="G328" s="12" t="str">
        <f t="shared" si="3"/>
        <v>Deposit</v>
      </c>
      <c r="H328" s="12" t="str">
        <f>TEXT(Raw_Data!A334,"hh:mm:ss")
</f>
        <v>16:37:05</v>
      </c>
      <c r="I328" s="20">
        <f t="shared" si="4"/>
        <v>100000</v>
      </c>
    </row>
    <row r="329">
      <c r="A329" s="12" t="str">
        <f>Raw_Data!A335</f>
        <v>08 Feb 2025 16:37:11</v>
      </c>
      <c r="B329" s="12" t="str">
        <f t="shared" si="1"/>
        <v>February</v>
      </c>
      <c r="C329" s="12">
        <f t="shared" si="2"/>
        <v>2</v>
      </c>
      <c r="D329" s="12" t="str">
        <f>IFERROR(__xludf.DUMMYFUNCTION("IFERROR(IF(REGEXMATCH(LOWER(Raw_Data!C335),""fixed deposit|owealth|savings|target""),""Fixed Deposit"",IF(REGEXMATCH(LOWER(Raw_Data!C335),""airtime""),""Airtime"",IF(REGEXMATCH(LOWER(Raw_Data!C335),""electronic money transfer levy""),""Electronic Money Tr"&amp;"ansfer Levy"",IF(REGEXMATCH(LOWER(Raw_Data!C335),""transfer|trf|send""),""Transfer"",""Other"")))),""Other"")"),"Electronic Money Transfer Levy")</f>
        <v>Electronic Money Transfer Levy</v>
      </c>
      <c r="E329" s="20">
        <v>50.0</v>
      </c>
      <c r="F329" s="20">
        <v>0.0</v>
      </c>
      <c r="G329" s="12" t="str">
        <f t="shared" si="3"/>
        <v>Withdrawal</v>
      </c>
      <c r="H329" s="12" t="str">
        <f>TEXT(Raw_Data!A335,"hh:mm:ss")
</f>
        <v>16:37:11</v>
      </c>
      <c r="I329" s="20">
        <f t="shared" si="4"/>
        <v>50</v>
      </c>
    </row>
    <row r="330">
      <c r="A330" s="12" t="str">
        <f>Raw_Data!A336</f>
        <v>08 Feb 2025 16:38:00</v>
      </c>
      <c r="B330" s="12" t="str">
        <f t="shared" si="1"/>
        <v>February</v>
      </c>
      <c r="C330" s="12">
        <f t="shared" si="2"/>
        <v>2</v>
      </c>
      <c r="D330" s="12" t="str">
        <f>IFERROR(__xludf.DUMMYFUNCTION("IFERROR(IF(REGEXMATCH(LOWER(Raw_Data!C336),""fixed deposit|owealth|savings|target""),""Fixed Deposit"",IF(REGEXMATCH(LOWER(Raw_Data!C336),""airtime""),""Airtime"",IF(REGEXMATCH(LOWER(Raw_Data!C336),""electronic money transfer levy""),""Electronic Money Tr"&amp;"ansfer Levy"",IF(REGEXMATCH(LOWER(Raw_Data!C336),""transfer|trf|send""),""Transfer"",""Other"")))),""Other"")"),"Transfer")</f>
        <v>Transfer</v>
      </c>
      <c r="E330" s="20">
        <v>100000.0</v>
      </c>
      <c r="F330" s="20">
        <v>0.0</v>
      </c>
      <c r="G330" s="12" t="str">
        <f t="shared" si="3"/>
        <v>Withdrawal</v>
      </c>
      <c r="H330" s="12" t="str">
        <f>TEXT(Raw_Data!A336,"hh:mm:ss")
</f>
        <v>16:38:00</v>
      </c>
      <c r="I330" s="20">
        <f t="shared" si="4"/>
        <v>100000</v>
      </c>
    </row>
    <row r="331">
      <c r="A331" s="12" t="str">
        <f>Raw_Data!A337</f>
        <v>08 Feb 2025 17:52:40</v>
      </c>
      <c r="B331" s="12" t="str">
        <f t="shared" si="1"/>
        <v>February</v>
      </c>
      <c r="C331" s="12">
        <f t="shared" si="2"/>
        <v>2</v>
      </c>
      <c r="D331" s="12" t="str">
        <f>IFERROR(__xludf.DUMMYFUNCTION("IFERROR(IF(REGEXMATCH(LOWER(Raw_Data!C337),""fixed deposit|owealth|savings|target""),""Fixed Deposit"",IF(REGEXMATCH(LOWER(Raw_Data!C337),""airtime""),""Airtime"",IF(REGEXMATCH(LOWER(Raw_Data!C337),""electronic money transfer levy""),""Electronic Money Tr"&amp;"ansfer Levy"",IF(REGEXMATCH(LOWER(Raw_Data!C337),""transfer|trf|send""),""Transfer"",""Other"")))),""Other"")"),"Transfer")</f>
        <v>Transfer</v>
      </c>
      <c r="E331" s="20">
        <v>700.0</v>
      </c>
      <c r="F331" s="20">
        <v>0.0</v>
      </c>
      <c r="G331" s="12" t="str">
        <f t="shared" si="3"/>
        <v>Withdrawal</v>
      </c>
      <c r="H331" s="12" t="str">
        <f>TEXT(Raw_Data!A337,"hh:mm:ss")
</f>
        <v>17:52:40</v>
      </c>
      <c r="I331" s="20">
        <f t="shared" si="4"/>
        <v>700</v>
      </c>
    </row>
    <row r="332">
      <c r="A332" s="12" t="str">
        <f>Raw_Data!A338</f>
        <v>09 Feb 2025 08:18:46</v>
      </c>
      <c r="B332" s="12" t="str">
        <f t="shared" si="1"/>
        <v>February</v>
      </c>
      <c r="C332" s="12">
        <f t="shared" si="2"/>
        <v>2</v>
      </c>
      <c r="D332" s="12" t="str">
        <f>IFERROR(__xludf.DUMMYFUNCTION("IFERROR(IF(REGEXMATCH(LOWER(Raw_Data!C338),""fixed deposit|owealth|savings|target""),""Fixed Deposit"",IF(REGEXMATCH(LOWER(Raw_Data!C338),""airtime""),""Airtime"",IF(REGEXMATCH(LOWER(Raw_Data!C338),""electronic money transfer levy""),""Electronic Money Tr"&amp;"ansfer Levy"",IF(REGEXMATCH(LOWER(Raw_Data!C338),""transfer|trf|send""),""Transfer"",""Other"")))),""Other"")"),"Transfer")</f>
        <v>Transfer</v>
      </c>
      <c r="E332" s="20">
        <v>1500.0</v>
      </c>
      <c r="F332" s="20">
        <v>0.0</v>
      </c>
      <c r="G332" s="12" t="str">
        <f t="shared" si="3"/>
        <v>Withdrawal</v>
      </c>
      <c r="H332" s="12" t="str">
        <f>TEXT(Raw_Data!A338,"hh:mm:ss")
</f>
        <v>08:18:46</v>
      </c>
      <c r="I332" s="20">
        <f t="shared" si="4"/>
        <v>1500</v>
      </c>
    </row>
    <row r="333">
      <c r="A333" s="12" t="str">
        <f>Raw_Data!A339</f>
        <v>09 Feb 2025 16:26:43</v>
      </c>
      <c r="B333" s="12" t="str">
        <f t="shared" si="1"/>
        <v>February</v>
      </c>
      <c r="C333" s="12">
        <f t="shared" si="2"/>
        <v>2</v>
      </c>
      <c r="D333" s="12" t="str">
        <f>IFERROR(__xludf.DUMMYFUNCTION("IFERROR(IF(REGEXMATCH(LOWER(Raw_Data!C339),""fixed deposit|owealth|savings|target""),""Fixed Deposit"",IF(REGEXMATCH(LOWER(Raw_Data!C339),""airtime""),""Airtime"",IF(REGEXMATCH(LOWER(Raw_Data!C339),""electronic money transfer levy""),""Electronic Money Tr"&amp;"ansfer Levy"",IF(REGEXMATCH(LOWER(Raw_Data!C339),""transfer|trf|send""),""Transfer"",""Other"")))),""Other"")"),"Transfer")</f>
        <v>Transfer</v>
      </c>
      <c r="E333" s="20">
        <v>200.0</v>
      </c>
      <c r="F333" s="20">
        <v>0.0</v>
      </c>
      <c r="G333" s="12" t="str">
        <f t="shared" si="3"/>
        <v>Withdrawal</v>
      </c>
      <c r="H333" s="12" t="str">
        <f>TEXT(Raw_Data!A339,"hh:mm:ss")
</f>
        <v>16:26:43</v>
      </c>
      <c r="I333" s="20">
        <f t="shared" si="4"/>
        <v>200</v>
      </c>
    </row>
    <row r="334">
      <c r="A334" s="12" t="str">
        <f>Raw_Data!A340</f>
        <v>09 Feb 2025 16:28:50</v>
      </c>
      <c r="B334" s="12" t="str">
        <f t="shared" si="1"/>
        <v>February</v>
      </c>
      <c r="C334" s="12">
        <f t="shared" si="2"/>
        <v>2</v>
      </c>
      <c r="D334" s="12" t="str">
        <f>IFERROR(__xludf.DUMMYFUNCTION("IFERROR(IF(REGEXMATCH(LOWER(Raw_Data!C340),""fixed deposit|owealth|savings|target""),""Fixed Deposit"",IF(REGEXMATCH(LOWER(Raw_Data!C340),""airtime""),""Airtime"",IF(REGEXMATCH(LOWER(Raw_Data!C340),""electronic money transfer levy""),""Electronic Money Tr"&amp;"ansfer Levy"",IF(REGEXMATCH(LOWER(Raw_Data!C340),""transfer|trf|send""),""Transfer"",""Other"")))),""Other"")"),"Transfer")</f>
        <v>Transfer</v>
      </c>
      <c r="E334" s="20">
        <v>350.0</v>
      </c>
      <c r="F334" s="20">
        <v>0.0</v>
      </c>
      <c r="G334" s="12" t="str">
        <f t="shared" si="3"/>
        <v>Withdrawal</v>
      </c>
      <c r="H334" s="12" t="str">
        <f>TEXT(Raw_Data!A340,"hh:mm:ss")
</f>
        <v>16:28:50</v>
      </c>
      <c r="I334" s="20">
        <f t="shared" si="4"/>
        <v>350</v>
      </c>
    </row>
    <row r="335">
      <c r="A335" s="12" t="str">
        <f>Raw_Data!A341</f>
        <v>09 Feb 2025 16:30:06</v>
      </c>
      <c r="B335" s="12" t="str">
        <f t="shared" si="1"/>
        <v>February</v>
      </c>
      <c r="C335" s="12">
        <f t="shared" si="2"/>
        <v>2</v>
      </c>
      <c r="D335" s="12" t="str">
        <f>IFERROR(__xludf.DUMMYFUNCTION("IFERROR(IF(REGEXMATCH(LOWER(Raw_Data!C341),""fixed deposit|owealth|savings|target""),""Fixed Deposit"",IF(REGEXMATCH(LOWER(Raw_Data!C341),""airtime""),""Airtime"",IF(REGEXMATCH(LOWER(Raw_Data!C341),""electronic money transfer levy""),""Electronic Money Tr"&amp;"ansfer Levy"",IF(REGEXMATCH(LOWER(Raw_Data!C341),""transfer|trf|send""),""Transfer"",""Other"")))),""Other"")"),"Transfer")</f>
        <v>Transfer</v>
      </c>
      <c r="E335" s="20">
        <v>200.0</v>
      </c>
      <c r="F335" s="20">
        <v>0.0</v>
      </c>
      <c r="G335" s="12" t="str">
        <f t="shared" si="3"/>
        <v>Withdrawal</v>
      </c>
      <c r="H335" s="12" t="str">
        <f>TEXT(Raw_Data!A341,"hh:mm:ss")
</f>
        <v>16:30:06</v>
      </c>
      <c r="I335" s="20">
        <f t="shared" si="4"/>
        <v>200</v>
      </c>
    </row>
    <row r="336">
      <c r="A336" s="12" t="str">
        <f>Raw_Data!A342</f>
        <v>09 Feb 2025 16:42:10</v>
      </c>
      <c r="B336" s="12" t="str">
        <f t="shared" si="1"/>
        <v>February</v>
      </c>
      <c r="C336" s="12">
        <f t="shared" si="2"/>
        <v>2</v>
      </c>
      <c r="D336" s="12" t="str">
        <f>IFERROR(__xludf.DUMMYFUNCTION("IFERROR(IF(REGEXMATCH(LOWER(Raw_Data!C342),""fixed deposit|owealth|savings|target""),""Fixed Deposit"",IF(REGEXMATCH(LOWER(Raw_Data!C342),""airtime""),""Airtime"",IF(REGEXMATCH(LOWER(Raw_Data!C342),""electronic money transfer levy""),""Electronic Money Tr"&amp;"ansfer Levy"",IF(REGEXMATCH(LOWER(Raw_Data!C342),""transfer|trf|send""),""Transfer"",""Other"")))),""Other"")"),"Transfer")</f>
        <v>Transfer</v>
      </c>
      <c r="E336" s="20">
        <v>0.0</v>
      </c>
      <c r="F336" s="20">
        <v>10000.0</v>
      </c>
      <c r="G336" s="12" t="str">
        <f t="shared" si="3"/>
        <v>Deposit</v>
      </c>
      <c r="H336" s="12" t="str">
        <f>TEXT(Raw_Data!A342,"hh:mm:ss")
</f>
        <v>16:42:10</v>
      </c>
      <c r="I336" s="20">
        <f t="shared" si="4"/>
        <v>10000</v>
      </c>
    </row>
    <row r="337">
      <c r="A337" s="12" t="str">
        <f>Raw_Data!A343</f>
        <v>09 Feb 2025 16:42:16</v>
      </c>
      <c r="B337" s="12" t="str">
        <f t="shared" si="1"/>
        <v>February</v>
      </c>
      <c r="C337" s="12">
        <f t="shared" si="2"/>
        <v>2</v>
      </c>
      <c r="D337" s="12" t="str">
        <f>IFERROR(__xludf.DUMMYFUNCTION("IFERROR(IF(REGEXMATCH(LOWER(Raw_Data!C343),""fixed deposit|owealth|savings|target""),""Fixed Deposit"",IF(REGEXMATCH(LOWER(Raw_Data!C343),""airtime""),""Airtime"",IF(REGEXMATCH(LOWER(Raw_Data!C343),""electronic money transfer levy""),""Electronic Money Tr"&amp;"ansfer Levy"",IF(REGEXMATCH(LOWER(Raw_Data!C343),""transfer|trf|send""),""Transfer"",""Other"")))),""Other"")"),"Electronic Money Transfer Levy")</f>
        <v>Electronic Money Transfer Levy</v>
      </c>
      <c r="E337" s="20">
        <v>50.0</v>
      </c>
      <c r="F337" s="20">
        <v>0.0</v>
      </c>
      <c r="G337" s="12" t="str">
        <f t="shared" si="3"/>
        <v>Withdrawal</v>
      </c>
      <c r="H337" s="12" t="str">
        <f>TEXT(Raw_Data!A343,"hh:mm:ss")
</f>
        <v>16:42:16</v>
      </c>
      <c r="I337" s="20">
        <f t="shared" si="4"/>
        <v>50</v>
      </c>
    </row>
    <row r="338">
      <c r="A338" s="12" t="str">
        <f>Raw_Data!A344</f>
        <v>09 Feb 2025 19:50:55</v>
      </c>
      <c r="B338" s="12" t="str">
        <f t="shared" si="1"/>
        <v>February</v>
      </c>
      <c r="C338" s="12">
        <f t="shared" si="2"/>
        <v>2</v>
      </c>
      <c r="D338" s="12" t="str">
        <f>IFERROR(__xludf.DUMMYFUNCTION("IFERROR(IF(REGEXMATCH(LOWER(Raw_Data!C344),""fixed deposit|owealth|savings|target""),""Fixed Deposit"",IF(REGEXMATCH(LOWER(Raw_Data!C344),""airtime""),""Airtime"",IF(REGEXMATCH(LOWER(Raw_Data!C344),""electronic money transfer levy""),""Electronic Money Tr"&amp;"ansfer Levy"",IF(REGEXMATCH(LOWER(Raw_Data!C344),""transfer|trf|send""),""Transfer"",""Other"")))),""Other"")"),"Transfer")</f>
        <v>Transfer</v>
      </c>
      <c r="E338" s="20">
        <v>10000.0</v>
      </c>
      <c r="F338" s="20">
        <v>0.0</v>
      </c>
      <c r="G338" s="12" t="str">
        <f t="shared" si="3"/>
        <v>Withdrawal</v>
      </c>
      <c r="H338" s="12" t="str">
        <f>TEXT(Raw_Data!A344,"hh:mm:ss")
</f>
        <v>19:50:55</v>
      </c>
      <c r="I338" s="20">
        <f t="shared" si="4"/>
        <v>10000</v>
      </c>
    </row>
    <row r="339">
      <c r="A339" s="12" t="str">
        <f>Raw_Data!A345</f>
        <v>09 Feb 2025 20:01:01</v>
      </c>
      <c r="B339" s="12" t="str">
        <f t="shared" si="1"/>
        <v>February</v>
      </c>
      <c r="C339" s="12">
        <f t="shared" si="2"/>
        <v>2</v>
      </c>
      <c r="D339" s="12" t="str">
        <f>IFERROR(__xludf.DUMMYFUNCTION("IFERROR(IF(REGEXMATCH(LOWER(Raw_Data!C345),""fixed deposit|owealth|savings|target""),""Fixed Deposit"",IF(REGEXMATCH(LOWER(Raw_Data!C345),""airtime""),""Airtime"",IF(REGEXMATCH(LOWER(Raw_Data!C345),""electronic money transfer levy""),""Electronic Money Tr"&amp;"ansfer Levy"",IF(REGEXMATCH(LOWER(Raw_Data!C345),""transfer|trf|send""),""Transfer"",""Other"")))),""Other"")"),"Transfer")</f>
        <v>Transfer</v>
      </c>
      <c r="E339" s="20">
        <v>450.0</v>
      </c>
      <c r="F339" s="20">
        <v>0.0</v>
      </c>
      <c r="G339" s="12" t="str">
        <f t="shared" si="3"/>
        <v>Withdrawal</v>
      </c>
      <c r="H339" s="12" t="str">
        <f>TEXT(Raw_Data!A345,"hh:mm:ss")
</f>
        <v>20:01:01</v>
      </c>
      <c r="I339" s="20">
        <f t="shared" si="4"/>
        <v>450</v>
      </c>
    </row>
    <row r="340">
      <c r="A340" s="12" t="str">
        <f>Raw_Data!A346</f>
        <v>09 Feb 2025 21:35:20</v>
      </c>
      <c r="B340" s="12" t="str">
        <f t="shared" si="1"/>
        <v>February</v>
      </c>
      <c r="C340" s="12">
        <f t="shared" si="2"/>
        <v>2</v>
      </c>
      <c r="D340" s="12" t="str">
        <f>IFERROR(__xludf.DUMMYFUNCTION("IFERROR(IF(REGEXMATCH(LOWER(Raw_Data!C346),""fixed deposit|owealth|savings|target""),""Fixed Deposit"",IF(REGEXMATCH(LOWER(Raw_Data!C346),""airtime""),""Airtime"",IF(REGEXMATCH(LOWER(Raw_Data!C346),""electronic money transfer levy""),""Electronic Money Tr"&amp;"ansfer Levy"",IF(REGEXMATCH(LOWER(Raw_Data!C346),""transfer|trf|send""),""Transfer"",""Other"")))),""Other"")"),"Other")</f>
        <v>Other</v>
      </c>
      <c r="E340" s="20">
        <v>810.0</v>
      </c>
      <c r="F340" s="20">
        <v>0.0</v>
      </c>
      <c r="G340" s="12" t="str">
        <f t="shared" si="3"/>
        <v>Withdrawal</v>
      </c>
      <c r="H340" s="12" t="str">
        <f>TEXT(Raw_Data!A346,"hh:mm:ss")
</f>
        <v>21:35:20</v>
      </c>
      <c r="I340" s="20">
        <f t="shared" si="4"/>
        <v>810</v>
      </c>
    </row>
    <row r="341">
      <c r="A341" s="12" t="str">
        <f>Raw_Data!A347</f>
        <v>10 Feb 2025 07:34:50</v>
      </c>
      <c r="B341" s="12" t="str">
        <f t="shared" si="1"/>
        <v>February</v>
      </c>
      <c r="C341" s="12">
        <f t="shared" si="2"/>
        <v>2</v>
      </c>
      <c r="D341" s="12" t="str">
        <f>IFERROR(__xludf.DUMMYFUNCTION("IFERROR(IF(REGEXMATCH(LOWER(Raw_Data!C347),""fixed deposit|owealth|savings|target""),""Fixed Deposit"",IF(REGEXMATCH(LOWER(Raw_Data!C347),""airtime""),""Airtime"",IF(REGEXMATCH(LOWER(Raw_Data!C347),""electronic money transfer levy""),""Electronic Money Tr"&amp;"ansfer Levy"",IF(REGEXMATCH(LOWER(Raw_Data!C347),""transfer|trf|send""),""Transfer"",""Other"")))),""Other"")"),"Transfer")</f>
        <v>Transfer</v>
      </c>
      <c r="E341" s="20">
        <v>200.0</v>
      </c>
      <c r="F341" s="20">
        <v>0.0</v>
      </c>
      <c r="G341" s="12" t="str">
        <f t="shared" si="3"/>
        <v>Withdrawal</v>
      </c>
      <c r="H341" s="12" t="str">
        <f>TEXT(Raw_Data!A347,"hh:mm:ss")
</f>
        <v>07:34:50</v>
      </c>
      <c r="I341" s="20">
        <f t="shared" si="4"/>
        <v>200</v>
      </c>
    </row>
    <row r="342">
      <c r="A342" s="12" t="str">
        <f>Raw_Data!A348</f>
        <v>10 Feb 2025 14:01:02</v>
      </c>
      <c r="B342" s="12" t="str">
        <f t="shared" si="1"/>
        <v>February</v>
      </c>
      <c r="C342" s="12">
        <f t="shared" si="2"/>
        <v>2</v>
      </c>
      <c r="D342" s="12" t="str">
        <f>IFERROR(__xludf.DUMMYFUNCTION("IFERROR(IF(REGEXMATCH(LOWER(Raw_Data!C348),""fixed deposit|owealth|savings|target""),""Fixed Deposit"",IF(REGEXMATCH(LOWER(Raw_Data!C348),""airtime""),""Airtime"",IF(REGEXMATCH(LOWER(Raw_Data!C348),""electronic money transfer levy""),""Electronic Money Tr"&amp;"ansfer Levy"",IF(REGEXMATCH(LOWER(Raw_Data!C348),""transfer|trf|send""),""Transfer"",""Other"")))),""Other"")"),"Transfer")</f>
        <v>Transfer</v>
      </c>
      <c r="E342" s="20">
        <v>400.0</v>
      </c>
      <c r="F342" s="20">
        <v>0.0</v>
      </c>
      <c r="G342" s="12" t="str">
        <f t="shared" si="3"/>
        <v>Withdrawal</v>
      </c>
      <c r="H342" s="12" t="str">
        <f>TEXT(Raw_Data!A348,"hh:mm:ss")
</f>
        <v>14:01:02</v>
      </c>
      <c r="I342" s="20">
        <f t="shared" si="4"/>
        <v>400</v>
      </c>
    </row>
    <row r="343">
      <c r="A343" s="12" t="str">
        <f>Raw_Data!A349</f>
        <v>10 Feb 2025 23:25:37</v>
      </c>
      <c r="B343" s="12" t="str">
        <f t="shared" si="1"/>
        <v>February</v>
      </c>
      <c r="C343" s="12">
        <f t="shared" si="2"/>
        <v>2</v>
      </c>
      <c r="D343" s="12" t="str">
        <f>IFERROR(__xludf.DUMMYFUNCTION("IFERROR(IF(REGEXMATCH(LOWER(Raw_Data!C349),""fixed deposit|owealth|savings|target""),""Fixed Deposit"",IF(REGEXMATCH(LOWER(Raw_Data!C349),""airtime""),""Airtime"",IF(REGEXMATCH(LOWER(Raw_Data!C349),""electronic money transfer levy""),""Electronic Money Tr"&amp;"ansfer Levy"",IF(REGEXMATCH(LOWER(Raw_Data!C349),""transfer|trf|send""),""Transfer"",""Other"")))),""Other"")"),"Airtime")</f>
        <v>Airtime</v>
      </c>
      <c r="E343" s="20">
        <v>500.0</v>
      </c>
      <c r="F343" s="20">
        <v>0.0</v>
      </c>
      <c r="G343" s="12" t="str">
        <f t="shared" si="3"/>
        <v>Withdrawal</v>
      </c>
      <c r="H343" s="12" t="str">
        <f>TEXT(Raw_Data!A349,"hh:mm:ss")
</f>
        <v>23:25:37</v>
      </c>
      <c r="I343" s="20">
        <f t="shared" si="4"/>
        <v>500</v>
      </c>
    </row>
    <row r="344">
      <c r="A344" s="12" t="str">
        <f>Raw_Data!A350</f>
        <v>11 Feb 2025 08:32:13</v>
      </c>
      <c r="B344" s="12" t="str">
        <f t="shared" si="1"/>
        <v>February</v>
      </c>
      <c r="C344" s="12">
        <f t="shared" si="2"/>
        <v>2</v>
      </c>
      <c r="D344" s="12" t="str">
        <f>IFERROR(__xludf.DUMMYFUNCTION("IFERROR(IF(REGEXMATCH(LOWER(Raw_Data!C350),""fixed deposit|owealth|savings|target""),""Fixed Deposit"",IF(REGEXMATCH(LOWER(Raw_Data!C350),""airtime""),""Airtime"",IF(REGEXMATCH(LOWER(Raw_Data!C350),""electronic money transfer levy""),""Electronic Money Tr"&amp;"ansfer Levy"",IF(REGEXMATCH(LOWER(Raw_Data!C350),""transfer|trf|send""),""Transfer"",""Other"")))),""Other"")"),"Transfer")</f>
        <v>Transfer</v>
      </c>
      <c r="E344" s="20">
        <v>2000.0</v>
      </c>
      <c r="F344" s="20">
        <v>0.0</v>
      </c>
      <c r="G344" s="12" t="str">
        <f t="shared" si="3"/>
        <v>Withdrawal</v>
      </c>
      <c r="H344" s="12" t="str">
        <f>TEXT(Raw_Data!A350,"hh:mm:ss")
</f>
        <v>08:32:13</v>
      </c>
      <c r="I344" s="20">
        <f t="shared" si="4"/>
        <v>2000</v>
      </c>
    </row>
    <row r="345">
      <c r="A345" s="12" t="str">
        <f>Raw_Data!A351</f>
        <v>11 Feb 2025 08:37:47</v>
      </c>
      <c r="B345" s="12" t="str">
        <f t="shared" si="1"/>
        <v>February</v>
      </c>
      <c r="C345" s="12">
        <f t="shared" si="2"/>
        <v>2</v>
      </c>
      <c r="D345" s="12" t="str">
        <f>IFERROR(__xludf.DUMMYFUNCTION("IFERROR(IF(REGEXMATCH(LOWER(Raw_Data!C351),""fixed deposit|owealth|savings|target""),""Fixed Deposit"",IF(REGEXMATCH(LOWER(Raw_Data!C351),""airtime""),""Airtime"",IF(REGEXMATCH(LOWER(Raw_Data!C351),""electronic money transfer levy""),""Electronic Money Tr"&amp;"ansfer Levy"",IF(REGEXMATCH(LOWER(Raw_Data!C351),""transfer|trf|send""),""Transfer"",""Other"")))),""Other"")"),"Transfer")</f>
        <v>Transfer</v>
      </c>
      <c r="E345" s="20">
        <v>550.0</v>
      </c>
      <c r="F345" s="20">
        <v>0.0</v>
      </c>
      <c r="G345" s="12" t="str">
        <f t="shared" si="3"/>
        <v>Withdrawal</v>
      </c>
      <c r="H345" s="12" t="str">
        <f>TEXT(Raw_Data!A351,"hh:mm:ss")
</f>
        <v>08:37:47</v>
      </c>
      <c r="I345" s="20">
        <f t="shared" si="4"/>
        <v>550</v>
      </c>
    </row>
    <row r="346">
      <c r="A346" s="12" t="str">
        <f>Raw_Data!A352</f>
        <v>11 Feb 2025 13:27:46</v>
      </c>
      <c r="B346" s="12" t="str">
        <f t="shared" si="1"/>
        <v>February</v>
      </c>
      <c r="C346" s="12">
        <f t="shared" si="2"/>
        <v>2</v>
      </c>
      <c r="D346" s="12" t="str">
        <f>IFERROR(__xludf.DUMMYFUNCTION("IFERROR(IF(REGEXMATCH(LOWER(Raw_Data!C352),""fixed deposit|owealth|savings|target""),""Fixed Deposit"",IF(REGEXMATCH(LOWER(Raw_Data!C352),""airtime""),""Airtime"",IF(REGEXMATCH(LOWER(Raw_Data!C352),""electronic money transfer levy""),""Electronic Money Tr"&amp;"ansfer Levy"",IF(REGEXMATCH(LOWER(Raw_Data!C352),""transfer|trf|send""),""Transfer"",""Other"")))),""Other"")"),"Transfer")</f>
        <v>Transfer</v>
      </c>
      <c r="E346" s="20">
        <v>0.0</v>
      </c>
      <c r="F346" s="20">
        <v>133243.0</v>
      </c>
      <c r="G346" s="12" t="str">
        <f t="shared" si="3"/>
        <v>Deposit</v>
      </c>
      <c r="H346" s="12" t="str">
        <f>TEXT(Raw_Data!A352,"hh:mm:ss")
</f>
        <v>13:27:46</v>
      </c>
      <c r="I346" s="20">
        <f t="shared" si="4"/>
        <v>133243</v>
      </c>
    </row>
    <row r="347">
      <c r="A347" s="12" t="str">
        <f>Raw_Data!A353</f>
        <v>11 Feb 2025 13:27:52</v>
      </c>
      <c r="B347" s="12" t="str">
        <f t="shared" si="1"/>
        <v>February</v>
      </c>
      <c r="C347" s="12">
        <f t="shared" si="2"/>
        <v>2</v>
      </c>
      <c r="D347" s="12" t="str">
        <f>IFERROR(__xludf.DUMMYFUNCTION("IFERROR(IF(REGEXMATCH(LOWER(Raw_Data!C353),""fixed deposit|owealth|savings|target""),""Fixed Deposit"",IF(REGEXMATCH(LOWER(Raw_Data!C353),""airtime""),""Airtime"",IF(REGEXMATCH(LOWER(Raw_Data!C353),""electronic money transfer levy""),""Electronic Money Tr"&amp;"ansfer Levy"",IF(REGEXMATCH(LOWER(Raw_Data!C353),""transfer|trf|send""),""Transfer"",""Other"")))),""Other"")"),"Electronic Money Transfer Levy")</f>
        <v>Electronic Money Transfer Levy</v>
      </c>
      <c r="E347" s="20">
        <v>50.0</v>
      </c>
      <c r="F347" s="20">
        <v>0.0</v>
      </c>
      <c r="G347" s="12" t="str">
        <f t="shared" si="3"/>
        <v>Withdrawal</v>
      </c>
      <c r="H347" s="12" t="str">
        <f>TEXT(Raw_Data!A353,"hh:mm:ss")
</f>
        <v>13:27:52</v>
      </c>
      <c r="I347" s="20">
        <f t="shared" si="4"/>
        <v>50</v>
      </c>
    </row>
    <row r="348">
      <c r="A348" s="12" t="str">
        <f>Raw_Data!A354</f>
        <v>11 Feb 2025 13:29:17</v>
      </c>
      <c r="B348" s="12" t="str">
        <f t="shared" si="1"/>
        <v>February</v>
      </c>
      <c r="C348" s="12">
        <f t="shared" si="2"/>
        <v>2</v>
      </c>
      <c r="D348" s="12" t="str">
        <f>IFERROR(__xludf.DUMMYFUNCTION("IFERROR(IF(REGEXMATCH(LOWER(Raw_Data!C354),""fixed deposit|owealth|savings|target""),""Fixed Deposit"",IF(REGEXMATCH(LOWER(Raw_Data!C354),""airtime""),""Airtime"",IF(REGEXMATCH(LOWER(Raw_Data!C354),""electronic money transfer levy""),""Electronic Money Tr"&amp;"ansfer Levy"",IF(REGEXMATCH(LOWER(Raw_Data!C354),""transfer|trf|send""),""Transfer"",""Other"")))),""Other"")"),"Transfer")</f>
        <v>Transfer</v>
      </c>
      <c r="E348" s="20">
        <v>133000.0</v>
      </c>
      <c r="F348" s="20">
        <v>0.0</v>
      </c>
      <c r="G348" s="12" t="str">
        <f t="shared" si="3"/>
        <v>Withdrawal</v>
      </c>
      <c r="H348" s="12" t="str">
        <f>TEXT(Raw_Data!A354,"hh:mm:ss")
</f>
        <v>13:29:17</v>
      </c>
      <c r="I348" s="20">
        <f t="shared" si="4"/>
        <v>133000</v>
      </c>
    </row>
    <row r="349">
      <c r="A349" s="12" t="str">
        <f>Raw_Data!A355</f>
        <v>11 Feb 2025 14:15:07</v>
      </c>
      <c r="B349" s="12" t="str">
        <f t="shared" si="1"/>
        <v>February</v>
      </c>
      <c r="C349" s="12">
        <f t="shared" si="2"/>
        <v>2</v>
      </c>
      <c r="D349" s="12" t="str">
        <f>IFERROR(__xludf.DUMMYFUNCTION("IFERROR(IF(REGEXMATCH(LOWER(Raw_Data!C355),""fixed deposit|owealth|savings|target""),""Fixed Deposit"",IF(REGEXMATCH(LOWER(Raw_Data!C355),""airtime""),""Airtime"",IF(REGEXMATCH(LOWER(Raw_Data!C355),""electronic money transfer levy""),""Electronic Money Tr"&amp;"ansfer Levy"",IF(REGEXMATCH(LOWER(Raw_Data!C355),""transfer|trf|send""),""Transfer"",""Other"")))),""Other"")"),"Transfer")</f>
        <v>Transfer</v>
      </c>
      <c r="E349" s="20">
        <v>0.0</v>
      </c>
      <c r="F349" s="20">
        <v>15000.0</v>
      </c>
      <c r="G349" s="12" t="str">
        <f t="shared" si="3"/>
        <v>Deposit</v>
      </c>
      <c r="H349" s="12" t="str">
        <f>TEXT(Raw_Data!A355,"hh:mm:ss")
</f>
        <v>14:15:07</v>
      </c>
      <c r="I349" s="20">
        <f t="shared" si="4"/>
        <v>15000</v>
      </c>
    </row>
    <row r="350">
      <c r="A350" s="12" t="str">
        <f>Raw_Data!A356</f>
        <v>11 Feb 2025 14:15:14</v>
      </c>
      <c r="B350" s="12" t="str">
        <f t="shared" si="1"/>
        <v>February</v>
      </c>
      <c r="C350" s="12">
        <f t="shared" si="2"/>
        <v>2</v>
      </c>
      <c r="D350" s="12" t="str">
        <f>IFERROR(__xludf.DUMMYFUNCTION("IFERROR(IF(REGEXMATCH(LOWER(Raw_Data!C356),""fixed deposit|owealth|savings|target""),""Fixed Deposit"",IF(REGEXMATCH(LOWER(Raw_Data!C356),""airtime""),""Airtime"",IF(REGEXMATCH(LOWER(Raw_Data!C356),""electronic money transfer levy""),""Electronic Money Tr"&amp;"ansfer Levy"",IF(REGEXMATCH(LOWER(Raw_Data!C356),""transfer|trf|send""),""Transfer"",""Other"")))),""Other"")"),"Electronic Money Transfer Levy")</f>
        <v>Electronic Money Transfer Levy</v>
      </c>
      <c r="E350" s="20">
        <v>50.0</v>
      </c>
      <c r="F350" s="20">
        <v>0.0</v>
      </c>
      <c r="G350" s="12" t="str">
        <f t="shared" si="3"/>
        <v>Withdrawal</v>
      </c>
      <c r="H350" s="12" t="str">
        <f>TEXT(Raw_Data!A356,"hh:mm:ss")
</f>
        <v>14:15:14</v>
      </c>
      <c r="I350" s="20">
        <f t="shared" si="4"/>
        <v>50</v>
      </c>
    </row>
    <row r="351">
      <c r="A351" s="12" t="str">
        <f>Raw_Data!A357</f>
        <v>13 Feb 2025 06:02:22</v>
      </c>
      <c r="B351" s="12" t="str">
        <f t="shared" si="1"/>
        <v>February</v>
      </c>
      <c r="C351" s="12">
        <f t="shared" si="2"/>
        <v>2</v>
      </c>
      <c r="D351" s="12" t="str">
        <f>IFERROR(__xludf.DUMMYFUNCTION("IFERROR(IF(REGEXMATCH(LOWER(Raw_Data!C357),""fixed deposit|owealth|savings|target""),""Fixed Deposit"",IF(REGEXMATCH(LOWER(Raw_Data!C357),""airtime""),""Airtime"",IF(REGEXMATCH(LOWER(Raw_Data!C357),""electronic money transfer levy""),""Electronic Money Tr"&amp;"ansfer Levy"",IF(REGEXMATCH(LOWER(Raw_Data!C357),""transfer|trf|send""),""Transfer"",""Other"")))),""Other"")"),"Airtime")</f>
        <v>Airtime</v>
      </c>
      <c r="E351" s="20">
        <v>500.0</v>
      </c>
      <c r="F351" s="20">
        <v>0.0</v>
      </c>
      <c r="G351" s="12" t="str">
        <f t="shared" si="3"/>
        <v>Withdrawal</v>
      </c>
      <c r="H351" s="12" t="str">
        <f>TEXT(Raw_Data!A357,"hh:mm:ss")
</f>
        <v>06:02:22</v>
      </c>
      <c r="I351" s="20">
        <f t="shared" si="4"/>
        <v>500</v>
      </c>
    </row>
    <row r="352">
      <c r="A352" s="12" t="str">
        <f>Raw_Data!A358</f>
        <v>13 Feb 2025 06:27:37</v>
      </c>
      <c r="B352" s="12" t="str">
        <f t="shared" si="1"/>
        <v>February</v>
      </c>
      <c r="C352" s="12">
        <f t="shared" si="2"/>
        <v>2</v>
      </c>
      <c r="D352" s="12" t="str">
        <f>IFERROR(__xludf.DUMMYFUNCTION("IFERROR(IF(REGEXMATCH(LOWER(Raw_Data!C358),""fixed deposit|owealth|savings|target""),""Fixed Deposit"",IF(REGEXMATCH(LOWER(Raw_Data!C358),""airtime""),""Airtime"",IF(REGEXMATCH(LOWER(Raw_Data!C358),""electronic money transfer levy""),""Electronic Money Tr"&amp;"ansfer Levy"",IF(REGEXMATCH(LOWER(Raw_Data!C358),""transfer|trf|send""),""Transfer"",""Other"")))),""Other"")"),"Transfer")</f>
        <v>Transfer</v>
      </c>
      <c r="E352" s="20">
        <v>0.0</v>
      </c>
      <c r="F352" s="20">
        <v>5000.0</v>
      </c>
      <c r="G352" s="12" t="str">
        <f t="shared" si="3"/>
        <v>Deposit</v>
      </c>
      <c r="H352" s="12" t="str">
        <f>TEXT(Raw_Data!A358,"hh:mm:ss")
</f>
        <v>06:27:37</v>
      </c>
      <c r="I352" s="20">
        <f t="shared" si="4"/>
        <v>5000</v>
      </c>
    </row>
    <row r="353">
      <c r="A353" s="12" t="str">
        <f>Raw_Data!A359</f>
        <v>13 Feb 2025 06:40:05</v>
      </c>
      <c r="B353" s="12" t="str">
        <f t="shared" si="1"/>
        <v>February</v>
      </c>
      <c r="C353" s="12">
        <f t="shared" si="2"/>
        <v>2</v>
      </c>
      <c r="D353" s="12" t="str">
        <f>IFERROR(__xludf.DUMMYFUNCTION("IFERROR(IF(REGEXMATCH(LOWER(Raw_Data!C359),""fixed deposit|owealth|savings|target""),""Fixed Deposit"",IF(REGEXMATCH(LOWER(Raw_Data!C359),""airtime""),""Airtime"",IF(REGEXMATCH(LOWER(Raw_Data!C359),""electronic money transfer levy""),""Electronic Money Tr"&amp;"ansfer Levy"",IF(REGEXMATCH(LOWER(Raw_Data!C359),""transfer|trf|send""),""Transfer"",""Other"")))),""Other"")"),"Transfer")</f>
        <v>Transfer</v>
      </c>
      <c r="E353" s="20">
        <v>3200.0</v>
      </c>
      <c r="F353" s="20">
        <v>0.0</v>
      </c>
      <c r="G353" s="12" t="str">
        <f t="shared" si="3"/>
        <v>Withdrawal</v>
      </c>
      <c r="H353" s="12" t="str">
        <f>TEXT(Raw_Data!A359,"hh:mm:ss")
</f>
        <v>06:40:05</v>
      </c>
      <c r="I353" s="20">
        <f t="shared" si="4"/>
        <v>3200</v>
      </c>
    </row>
    <row r="354">
      <c r="A354" s="12" t="str">
        <f>Raw_Data!A360</f>
        <v>13 Feb 2025 11:04:01</v>
      </c>
      <c r="B354" s="12" t="str">
        <f t="shared" si="1"/>
        <v>February</v>
      </c>
      <c r="C354" s="12">
        <f t="shared" si="2"/>
        <v>2</v>
      </c>
      <c r="D354" s="12" t="str">
        <f>IFERROR(__xludf.DUMMYFUNCTION("IFERROR(IF(REGEXMATCH(LOWER(Raw_Data!C360),""fixed deposit|owealth|savings|target""),""Fixed Deposit"",IF(REGEXMATCH(LOWER(Raw_Data!C360),""airtime""),""Airtime"",IF(REGEXMATCH(LOWER(Raw_Data!C360),""electronic money transfer levy""),""Electronic Money Tr"&amp;"ansfer Levy"",IF(REGEXMATCH(LOWER(Raw_Data!C360),""transfer|trf|send""),""Transfer"",""Other"")))),""Other"")"),"Transfer")</f>
        <v>Transfer</v>
      </c>
      <c r="E354" s="20">
        <v>2000.0</v>
      </c>
      <c r="F354" s="20">
        <v>0.0</v>
      </c>
      <c r="G354" s="12" t="str">
        <f t="shared" si="3"/>
        <v>Withdrawal</v>
      </c>
      <c r="H354" s="12" t="str">
        <f>TEXT(Raw_Data!A360,"hh:mm:ss")
</f>
        <v>11:04:01</v>
      </c>
      <c r="I354" s="20">
        <f t="shared" si="4"/>
        <v>2000</v>
      </c>
    </row>
    <row r="355">
      <c r="A355" s="12" t="str">
        <f>Raw_Data!A361</f>
        <v>13 Feb 2025 16:15:42</v>
      </c>
      <c r="B355" s="12" t="str">
        <f t="shared" si="1"/>
        <v>February</v>
      </c>
      <c r="C355" s="12">
        <f t="shared" si="2"/>
        <v>2</v>
      </c>
      <c r="D355" s="12" t="str">
        <f>IFERROR(__xludf.DUMMYFUNCTION("IFERROR(IF(REGEXMATCH(LOWER(Raw_Data!C361),""fixed deposit|owealth|savings|target""),""Fixed Deposit"",IF(REGEXMATCH(LOWER(Raw_Data!C361),""airtime""),""Airtime"",IF(REGEXMATCH(LOWER(Raw_Data!C361),""electronic money transfer levy""),""Electronic Money Tr"&amp;"ansfer Levy"",IF(REGEXMATCH(LOWER(Raw_Data!C361),""transfer|trf|send""),""Transfer"",""Other"")))),""Other"")"),"Transfer")</f>
        <v>Transfer</v>
      </c>
      <c r="E355" s="20">
        <v>1000.0</v>
      </c>
      <c r="F355" s="20">
        <v>0.0</v>
      </c>
      <c r="G355" s="12" t="str">
        <f t="shared" si="3"/>
        <v>Withdrawal</v>
      </c>
      <c r="H355" s="12" t="str">
        <f>TEXT(Raw_Data!A361,"hh:mm:ss")
</f>
        <v>16:15:42</v>
      </c>
      <c r="I355" s="20">
        <f t="shared" si="4"/>
        <v>1000</v>
      </c>
    </row>
    <row r="356">
      <c r="A356" s="12" t="str">
        <f>Raw_Data!A362</f>
        <v>13 Feb 2025 18:34:38</v>
      </c>
      <c r="B356" s="12" t="str">
        <f t="shared" si="1"/>
        <v>February</v>
      </c>
      <c r="C356" s="12">
        <f t="shared" si="2"/>
        <v>2</v>
      </c>
      <c r="D356" s="12" t="str">
        <f>IFERROR(__xludf.DUMMYFUNCTION("IFERROR(IF(REGEXMATCH(LOWER(Raw_Data!C362),""fixed deposit|owealth|savings|target""),""Fixed Deposit"",IF(REGEXMATCH(LOWER(Raw_Data!C362),""airtime""),""Airtime"",IF(REGEXMATCH(LOWER(Raw_Data!C362),""electronic money transfer levy""),""Electronic Money Tr"&amp;"ansfer Levy"",IF(REGEXMATCH(LOWER(Raw_Data!C362),""transfer|trf|send""),""Transfer"",""Other"")))),""Other"")"),"Transfer")</f>
        <v>Transfer</v>
      </c>
      <c r="E356" s="20">
        <v>250.0</v>
      </c>
      <c r="F356" s="20">
        <v>0.0</v>
      </c>
      <c r="G356" s="12" t="str">
        <f t="shared" si="3"/>
        <v>Withdrawal</v>
      </c>
      <c r="H356" s="12" t="str">
        <f>TEXT(Raw_Data!A362,"hh:mm:ss")
</f>
        <v>18:34:38</v>
      </c>
      <c r="I356" s="20">
        <f t="shared" si="4"/>
        <v>250</v>
      </c>
    </row>
    <row r="357">
      <c r="A357" s="12" t="str">
        <f>Raw_Data!A363</f>
        <v>14 Feb 2025 17:22:05</v>
      </c>
      <c r="B357" s="12" t="str">
        <f t="shared" si="1"/>
        <v>February</v>
      </c>
      <c r="C357" s="12">
        <f t="shared" si="2"/>
        <v>2</v>
      </c>
      <c r="D357" s="12" t="str">
        <f>IFERROR(__xludf.DUMMYFUNCTION("IFERROR(IF(REGEXMATCH(LOWER(Raw_Data!C363),""fixed deposit|owealth|savings|target""),""Fixed Deposit"",IF(REGEXMATCH(LOWER(Raw_Data!C363),""airtime""),""Airtime"",IF(REGEXMATCH(LOWER(Raw_Data!C363),""electronic money transfer levy""),""Electronic Money Tr"&amp;"ansfer Levy"",IF(REGEXMATCH(LOWER(Raw_Data!C363),""transfer|trf|send""),""Transfer"",""Other"")))),""Other"")"),"Transfer")</f>
        <v>Transfer</v>
      </c>
      <c r="E357" s="20">
        <v>200.0</v>
      </c>
      <c r="F357" s="20">
        <v>0.0</v>
      </c>
      <c r="G357" s="12" t="str">
        <f t="shared" si="3"/>
        <v>Withdrawal</v>
      </c>
      <c r="H357" s="12" t="str">
        <f>TEXT(Raw_Data!A363,"hh:mm:ss")
</f>
        <v>17:22:05</v>
      </c>
      <c r="I357" s="20">
        <f t="shared" si="4"/>
        <v>200</v>
      </c>
    </row>
    <row r="358">
      <c r="A358" s="12" t="str">
        <f>Raw_Data!A364</f>
        <v>14 Feb 2025 21:36:15</v>
      </c>
      <c r="B358" s="12" t="str">
        <f t="shared" si="1"/>
        <v>February</v>
      </c>
      <c r="C358" s="12">
        <f t="shared" si="2"/>
        <v>2</v>
      </c>
      <c r="D358" s="12" t="str">
        <f>IFERROR(__xludf.DUMMYFUNCTION("IFERROR(IF(REGEXMATCH(LOWER(Raw_Data!C364),""fixed deposit|owealth|savings|target""),""Fixed Deposit"",IF(REGEXMATCH(LOWER(Raw_Data!C364),""airtime""),""Airtime"",IF(REGEXMATCH(LOWER(Raw_Data!C364),""electronic money transfer levy""),""Electronic Money Tr"&amp;"ansfer Levy"",IF(REGEXMATCH(LOWER(Raw_Data!C364),""transfer|trf|send""),""Transfer"",""Other"")))),""Other"")"),"Airtime")</f>
        <v>Airtime</v>
      </c>
      <c r="E358" s="20">
        <v>500.0</v>
      </c>
      <c r="F358" s="20">
        <v>0.0</v>
      </c>
      <c r="G358" s="12" t="str">
        <f t="shared" si="3"/>
        <v>Withdrawal</v>
      </c>
      <c r="H358" s="12" t="str">
        <f>TEXT(Raw_Data!A364,"hh:mm:ss")
</f>
        <v>21:36:15</v>
      </c>
      <c r="I358" s="20">
        <f t="shared" si="4"/>
        <v>500</v>
      </c>
    </row>
    <row r="359">
      <c r="A359" s="12" t="str">
        <f>Raw_Data!A365</f>
        <v>15 Feb 2025 18:58:58</v>
      </c>
      <c r="B359" s="12" t="str">
        <f t="shared" si="1"/>
        <v>February</v>
      </c>
      <c r="C359" s="12">
        <f t="shared" si="2"/>
        <v>2</v>
      </c>
      <c r="D359" s="12" t="str">
        <f>IFERROR(__xludf.DUMMYFUNCTION("IFERROR(IF(REGEXMATCH(LOWER(Raw_Data!C365),""fixed deposit|owealth|savings|target""),""Fixed Deposit"",IF(REGEXMATCH(LOWER(Raw_Data!C365),""airtime""),""Airtime"",IF(REGEXMATCH(LOWER(Raw_Data!C365),""electronic money transfer levy""),""Electronic Money Tr"&amp;"ansfer Levy"",IF(REGEXMATCH(LOWER(Raw_Data!C365),""transfer|trf|send""),""Transfer"",""Other"")))),""Other"")"),"Transfer")</f>
        <v>Transfer</v>
      </c>
      <c r="E359" s="20">
        <v>1100.0</v>
      </c>
      <c r="F359" s="20">
        <v>0.0</v>
      </c>
      <c r="G359" s="12" t="str">
        <f t="shared" si="3"/>
        <v>Withdrawal</v>
      </c>
      <c r="H359" s="12" t="str">
        <f>TEXT(Raw_Data!A365,"hh:mm:ss")
</f>
        <v>18:58:58</v>
      </c>
      <c r="I359" s="20">
        <f t="shared" si="4"/>
        <v>1100</v>
      </c>
    </row>
    <row r="360">
      <c r="A360" s="12" t="str">
        <f>Raw_Data!A366</f>
        <v>15 Feb 2025 19:05:41</v>
      </c>
      <c r="B360" s="12" t="str">
        <f t="shared" si="1"/>
        <v>February</v>
      </c>
      <c r="C360" s="12">
        <f t="shared" si="2"/>
        <v>2</v>
      </c>
      <c r="D360" s="12" t="str">
        <f>IFERROR(__xludf.DUMMYFUNCTION("IFERROR(IF(REGEXMATCH(LOWER(Raw_Data!C366),""fixed deposit|owealth|savings|target""),""Fixed Deposit"",IF(REGEXMATCH(LOWER(Raw_Data!C366),""airtime""),""Airtime"",IF(REGEXMATCH(LOWER(Raw_Data!C366),""electronic money transfer levy""),""Electronic Money Tr"&amp;"ansfer Levy"",IF(REGEXMATCH(LOWER(Raw_Data!C366),""transfer|trf|send""),""Transfer"",""Other"")))),""Other"")"),"Transfer")</f>
        <v>Transfer</v>
      </c>
      <c r="E360" s="20">
        <v>100.0</v>
      </c>
      <c r="F360" s="20">
        <v>0.0</v>
      </c>
      <c r="G360" s="12" t="str">
        <f t="shared" si="3"/>
        <v>Withdrawal</v>
      </c>
      <c r="H360" s="12" t="str">
        <f>TEXT(Raw_Data!A366,"hh:mm:ss")
</f>
        <v>19:05:41</v>
      </c>
      <c r="I360" s="20">
        <f t="shared" si="4"/>
        <v>100</v>
      </c>
    </row>
    <row r="361">
      <c r="A361" s="12" t="str">
        <f>Raw_Data!A367</f>
        <v>16 Feb 2025 08:05:42</v>
      </c>
      <c r="B361" s="12" t="str">
        <f t="shared" si="1"/>
        <v>February</v>
      </c>
      <c r="C361" s="12">
        <f t="shared" si="2"/>
        <v>2</v>
      </c>
      <c r="D361" s="12" t="str">
        <f>IFERROR(__xludf.DUMMYFUNCTION("IFERROR(IF(REGEXMATCH(LOWER(Raw_Data!C367),""fixed deposit|owealth|savings|target""),""Fixed Deposit"",IF(REGEXMATCH(LOWER(Raw_Data!C367),""airtime""),""Airtime"",IF(REGEXMATCH(LOWER(Raw_Data!C367),""electronic money transfer levy""),""Electronic Money Tr"&amp;"ansfer Levy"",IF(REGEXMATCH(LOWER(Raw_Data!C367),""transfer|trf|send""),""Transfer"",""Other"")))),""Other"")"),"Transfer")</f>
        <v>Transfer</v>
      </c>
      <c r="E361" s="20">
        <v>200.0</v>
      </c>
      <c r="F361" s="20">
        <v>0.0</v>
      </c>
      <c r="G361" s="12" t="str">
        <f t="shared" si="3"/>
        <v>Withdrawal</v>
      </c>
      <c r="H361" s="12" t="str">
        <f>TEXT(Raw_Data!A367,"hh:mm:ss")
</f>
        <v>08:05:42</v>
      </c>
      <c r="I361" s="20">
        <f t="shared" si="4"/>
        <v>200</v>
      </c>
    </row>
    <row r="362">
      <c r="A362" s="12" t="str">
        <f>Raw_Data!A368</f>
        <v>16 Feb 2025 08:10:04</v>
      </c>
      <c r="B362" s="12" t="str">
        <f t="shared" si="1"/>
        <v>February</v>
      </c>
      <c r="C362" s="12">
        <f t="shared" si="2"/>
        <v>2</v>
      </c>
      <c r="D362" s="12" t="str">
        <f>IFERROR(__xludf.DUMMYFUNCTION("IFERROR(IF(REGEXMATCH(LOWER(Raw_Data!C368),""fixed deposit|owealth|savings|target""),""Fixed Deposit"",IF(REGEXMATCH(LOWER(Raw_Data!C368),""airtime""),""Airtime"",IF(REGEXMATCH(LOWER(Raw_Data!C368),""electronic money transfer levy""),""Electronic Money Tr"&amp;"ansfer Levy"",IF(REGEXMATCH(LOWER(Raw_Data!C368),""transfer|trf|send""),""Transfer"",""Other"")))),""Other"")"),"Transfer")</f>
        <v>Transfer</v>
      </c>
      <c r="E362" s="20">
        <v>500.0</v>
      </c>
      <c r="F362" s="20">
        <v>0.0</v>
      </c>
      <c r="G362" s="12" t="str">
        <f t="shared" si="3"/>
        <v>Withdrawal</v>
      </c>
      <c r="H362" s="12" t="str">
        <f>TEXT(Raw_Data!A368,"hh:mm:ss")
</f>
        <v>08:10:04</v>
      </c>
      <c r="I362" s="20">
        <f t="shared" si="4"/>
        <v>500</v>
      </c>
    </row>
    <row r="363">
      <c r="A363" s="12" t="str">
        <f>Raw_Data!A369</f>
        <v>16 Feb 2025 11:48:39</v>
      </c>
      <c r="B363" s="12" t="str">
        <f t="shared" si="1"/>
        <v>February</v>
      </c>
      <c r="C363" s="12">
        <f t="shared" si="2"/>
        <v>2</v>
      </c>
      <c r="D363" s="12" t="str">
        <f>IFERROR(__xludf.DUMMYFUNCTION("IFERROR(IF(REGEXMATCH(LOWER(Raw_Data!C369),""fixed deposit|owealth|savings|target""),""Fixed Deposit"",IF(REGEXMATCH(LOWER(Raw_Data!C369),""airtime""),""Airtime"",IF(REGEXMATCH(LOWER(Raw_Data!C369),""electronic money transfer levy""),""Electronic Money Tr"&amp;"ansfer Levy"",IF(REGEXMATCH(LOWER(Raw_Data!C369),""transfer|trf|send""),""Transfer"",""Other"")))),""Other"")"),"Transfer")</f>
        <v>Transfer</v>
      </c>
      <c r="E363" s="20">
        <v>1400.0</v>
      </c>
      <c r="F363" s="20">
        <v>0.0</v>
      </c>
      <c r="G363" s="12" t="str">
        <f t="shared" si="3"/>
        <v>Withdrawal</v>
      </c>
      <c r="H363" s="12" t="str">
        <f>TEXT(Raw_Data!A369,"hh:mm:ss")
</f>
        <v>11:48:39</v>
      </c>
      <c r="I363" s="20">
        <f t="shared" si="4"/>
        <v>1400</v>
      </c>
    </row>
    <row r="364">
      <c r="A364" s="12" t="str">
        <f>Raw_Data!A370</f>
        <v>16 Feb 2025 11:54:12</v>
      </c>
      <c r="B364" s="12" t="str">
        <f t="shared" si="1"/>
        <v>February</v>
      </c>
      <c r="C364" s="12">
        <f t="shared" si="2"/>
        <v>2</v>
      </c>
      <c r="D364" s="12" t="str">
        <f>IFERROR(__xludf.DUMMYFUNCTION("IFERROR(IF(REGEXMATCH(LOWER(Raw_Data!C370),""fixed deposit|owealth|savings|target""),""Fixed Deposit"",IF(REGEXMATCH(LOWER(Raw_Data!C370),""airtime""),""Airtime"",IF(REGEXMATCH(LOWER(Raw_Data!C370),""electronic money transfer levy""),""Electronic Money Tr"&amp;"ansfer Levy"",IF(REGEXMATCH(LOWER(Raw_Data!C370),""transfer|trf|send""),""Transfer"",""Other"")))),""Other"")"),"Transfer")</f>
        <v>Transfer</v>
      </c>
      <c r="E364" s="20">
        <v>200.0</v>
      </c>
      <c r="F364" s="20">
        <v>0.0</v>
      </c>
      <c r="G364" s="12" t="str">
        <f t="shared" si="3"/>
        <v>Withdrawal</v>
      </c>
      <c r="H364" s="12" t="str">
        <f>TEXT(Raw_Data!A370,"hh:mm:ss")
</f>
        <v>11:54:12</v>
      </c>
      <c r="I364" s="20">
        <f t="shared" si="4"/>
        <v>200</v>
      </c>
    </row>
    <row r="365">
      <c r="A365" s="12" t="str">
        <f>Raw_Data!A371</f>
        <v>16 Feb 2025 11:57:38</v>
      </c>
      <c r="B365" s="12" t="str">
        <f t="shared" si="1"/>
        <v>February</v>
      </c>
      <c r="C365" s="12">
        <f t="shared" si="2"/>
        <v>2</v>
      </c>
      <c r="D365" s="12" t="str">
        <f>IFERROR(__xludf.DUMMYFUNCTION("IFERROR(IF(REGEXMATCH(LOWER(Raw_Data!C371),""fixed deposit|owealth|savings|target""),""Fixed Deposit"",IF(REGEXMATCH(LOWER(Raw_Data!C371),""airtime""),""Airtime"",IF(REGEXMATCH(LOWER(Raw_Data!C371),""electronic money transfer levy""),""Electronic Money Tr"&amp;"ansfer Levy"",IF(REGEXMATCH(LOWER(Raw_Data!C371),""transfer|trf|send""),""Transfer"",""Other"")))),""Other"")"),"Transfer")</f>
        <v>Transfer</v>
      </c>
      <c r="E365" s="20">
        <v>710.0</v>
      </c>
      <c r="F365" s="20">
        <v>0.0</v>
      </c>
      <c r="G365" s="12" t="str">
        <f t="shared" si="3"/>
        <v>Withdrawal</v>
      </c>
      <c r="H365" s="12" t="str">
        <f>TEXT(Raw_Data!A371,"hh:mm:ss")
</f>
        <v>11:57:38</v>
      </c>
      <c r="I365" s="20">
        <f t="shared" si="4"/>
        <v>710</v>
      </c>
    </row>
    <row r="366">
      <c r="A366" s="12" t="str">
        <f>Raw_Data!A372</f>
        <v>16 Feb 2025 13:46:30</v>
      </c>
      <c r="B366" s="12" t="str">
        <f t="shared" si="1"/>
        <v>February</v>
      </c>
      <c r="C366" s="12">
        <f t="shared" si="2"/>
        <v>2</v>
      </c>
      <c r="D366" s="12" t="str">
        <f>IFERROR(__xludf.DUMMYFUNCTION("IFERROR(IF(REGEXMATCH(LOWER(Raw_Data!C372),""fixed deposit|owealth|savings|target""),""Fixed Deposit"",IF(REGEXMATCH(LOWER(Raw_Data!C372),""airtime""),""Airtime"",IF(REGEXMATCH(LOWER(Raw_Data!C372),""electronic money transfer levy""),""Electronic Money Tr"&amp;"ansfer Levy"",IF(REGEXMATCH(LOWER(Raw_Data!C372),""transfer|trf|send""),""Transfer"",""Other"")))),""Other"")"),"Transfer")</f>
        <v>Transfer</v>
      </c>
      <c r="E366" s="20">
        <v>760.0</v>
      </c>
      <c r="F366" s="20">
        <v>0.0</v>
      </c>
      <c r="G366" s="12" t="str">
        <f t="shared" si="3"/>
        <v>Withdrawal</v>
      </c>
      <c r="H366" s="12" t="str">
        <f>TEXT(Raw_Data!A372,"hh:mm:ss")
</f>
        <v>13:46:30</v>
      </c>
      <c r="I366" s="20">
        <f t="shared" si="4"/>
        <v>760</v>
      </c>
    </row>
    <row r="367">
      <c r="A367" s="12" t="str">
        <f>Raw_Data!A373</f>
        <v>16 Feb 2025 17:09:03</v>
      </c>
      <c r="B367" s="12" t="str">
        <f t="shared" si="1"/>
        <v>February</v>
      </c>
      <c r="C367" s="12">
        <f t="shared" si="2"/>
        <v>2</v>
      </c>
      <c r="D367" s="12" t="str">
        <f>IFERROR(__xludf.DUMMYFUNCTION("IFERROR(IF(REGEXMATCH(LOWER(Raw_Data!C373),""fixed deposit|owealth|savings|target""),""Fixed Deposit"",IF(REGEXMATCH(LOWER(Raw_Data!C373),""airtime""),""Airtime"",IF(REGEXMATCH(LOWER(Raw_Data!C373),""electronic money transfer levy""),""Electronic Money Tr"&amp;"ansfer Levy"",IF(REGEXMATCH(LOWER(Raw_Data!C373),""transfer|trf|send""),""Transfer"",""Other"")))),""Other"")"),"Transfer")</f>
        <v>Transfer</v>
      </c>
      <c r="E367" s="20">
        <v>210.0</v>
      </c>
      <c r="F367" s="20">
        <v>0.0</v>
      </c>
      <c r="G367" s="12" t="str">
        <f t="shared" si="3"/>
        <v>Withdrawal</v>
      </c>
      <c r="H367" s="12" t="str">
        <f>TEXT(Raw_Data!A373,"hh:mm:ss")
</f>
        <v>17:09:03</v>
      </c>
      <c r="I367" s="20">
        <f t="shared" si="4"/>
        <v>210</v>
      </c>
    </row>
    <row r="368">
      <c r="A368" s="12" t="str">
        <f>Raw_Data!A374</f>
        <v>16 Feb 2025 17:36:50</v>
      </c>
      <c r="B368" s="12" t="str">
        <f t="shared" si="1"/>
        <v>February</v>
      </c>
      <c r="C368" s="12">
        <f t="shared" si="2"/>
        <v>2</v>
      </c>
      <c r="D368" s="12" t="str">
        <f>IFERROR(__xludf.DUMMYFUNCTION("IFERROR(IF(REGEXMATCH(LOWER(Raw_Data!C374),""fixed deposit|owealth|savings|target""),""Fixed Deposit"",IF(REGEXMATCH(LOWER(Raw_Data!C374),""airtime""),""Airtime"",IF(REGEXMATCH(LOWER(Raw_Data!C374),""electronic money transfer levy""),""Electronic Money Tr"&amp;"ansfer Levy"",IF(REGEXMATCH(LOWER(Raw_Data!C374),""transfer|trf|send""),""Transfer"",""Other"")))),""Other"")"),"Transfer")</f>
        <v>Transfer</v>
      </c>
      <c r="E368" s="20">
        <v>0.0</v>
      </c>
      <c r="F368" s="20">
        <v>700.0</v>
      </c>
      <c r="G368" s="12" t="str">
        <f t="shared" si="3"/>
        <v>Deposit</v>
      </c>
      <c r="H368" s="12" t="str">
        <f>TEXT(Raw_Data!A374,"hh:mm:ss")
</f>
        <v>17:36:50</v>
      </c>
      <c r="I368" s="20">
        <f t="shared" si="4"/>
        <v>700</v>
      </c>
    </row>
    <row r="369">
      <c r="A369" s="12" t="str">
        <f>Raw_Data!A375</f>
        <v>16 Feb 2025 19:02:09</v>
      </c>
      <c r="B369" s="12" t="str">
        <f t="shared" si="1"/>
        <v>February</v>
      </c>
      <c r="C369" s="12">
        <f t="shared" si="2"/>
        <v>2</v>
      </c>
      <c r="D369" s="12" t="str">
        <f>IFERROR(__xludf.DUMMYFUNCTION("IFERROR(IF(REGEXMATCH(LOWER(Raw_Data!C375),""fixed deposit|owealth|savings|target""),""Fixed Deposit"",IF(REGEXMATCH(LOWER(Raw_Data!C375),""airtime""),""Airtime"",IF(REGEXMATCH(LOWER(Raw_Data!C375),""electronic money transfer levy""),""Electronic Money Tr"&amp;"ansfer Levy"",IF(REGEXMATCH(LOWER(Raw_Data!C375),""transfer|trf|send""),""Transfer"",""Other"")))),""Other"")"),"Transfer")</f>
        <v>Transfer</v>
      </c>
      <c r="E369" s="20">
        <v>160.0</v>
      </c>
      <c r="F369" s="20">
        <v>0.0</v>
      </c>
      <c r="G369" s="12" t="str">
        <f t="shared" si="3"/>
        <v>Withdrawal</v>
      </c>
      <c r="H369" s="12" t="str">
        <f>TEXT(Raw_Data!A375,"hh:mm:ss")
</f>
        <v>19:02:09</v>
      </c>
      <c r="I369" s="20">
        <f t="shared" si="4"/>
        <v>160</v>
      </c>
    </row>
    <row r="370">
      <c r="A370" s="12" t="str">
        <f>Raw_Data!A376</f>
        <v>16 Feb 2025 19:02:48</v>
      </c>
      <c r="B370" s="12" t="str">
        <f t="shared" si="1"/>
        <v>February</v>
      </c>
      <c r="C370" s="12">
        <f t="shared" si="2"/>
        <v>2</v>
      </c>
      <c r="D370" s="12" t="str">
        <f>IFERROR(__xludf.DUMMYFUNCTION("IFERROR(IF(REGEXMATCH(LOWER(Raw_Data!C376),""fixed deposit|owealth|savings|target""),""Fixed Deposit"",IF(REGEXMATCH(LOWER(Raw_Data!C376),""airtime""),""Airtime"",IF(REGEXMATCH(LOWER(Raw_Data!C376),""electronic money transfer levy""),""Electronic Money Tr"&amp;"ansfer Levy"",IF(REGEXMATCH(LOWER(Raw_Data!C376),""transfer|trf|send""),""Transfer"",""Other"")))),""Other"")"),"Transfer")</f>
        <v>Transfer</v>
      </c>
      <c r="E370" s="20">
        <v>260.0</v>
      </c>
      <c r="F370" s="20">
        <v>0.0</v>
      </c>
      <c r="G370" s="12" t="str">
        <f t="shared" si="3"/>
        <v>Withdrawal</v>
      </c>
      <c r="H370" s="12" t="str">
        <f>TEXT(Raw_Data!A376,"hh:mm:ss")
</f>
        <v>19:02:48</v>
      </c>
      <c r="I370" s="20">
        <f t="shared" si="4"/>
        <v>260</v>
      </c>
    </row>
    <row r="371">
      <c r="A371" s="12" t="str">
        <f>Raw_Data!A377</f>
        <v>17 Feb 2025 09:12:18</v>
      </c>
      <c r="B371" s="12" t="str">
        <f t="shared" si="1"/>
        <v>February</v>
      </c>
      <c r="C371" s="12">
        <f t="shared" si="2"/>
        <v>2</v>
      </c>
      <c r="D371" s="12" t="str">
        <f>IFERROR(__xludf.DUMMYFUNCTION("IFERROR(IF(REGEXMATCH(LOWER(Raw_Data!C377),""fixed deposit|owealth|savings|target""),""Fixed Deposit"",IF(REGEXMATCH(LOWER(Raw_Data!C377),""airtime""),""Airtime"",IF(REGEXMATCH(LOWER(Raw_Data!C377),""electronic money transfer levy""),""Electronic Money Tr"&amp;"ansfer Levy"",IF(REGEXMATCH(LOWER(Raw_Data!C377),""transfer|trf|send""),""Transfer"",""Other"")))),""Other"")"),"Transfer")</f>
        <v>Transfer</v>
      </c>
      <c r="E371" s="20">
        <v>150.0</v>
      </c>
      <c r="F371" s="20">
        <v>0.0</v>
      </c>
      <c r="G371" s="12" t="str">
        <f t="shared" si="3"/>
        <v>Withdrawal</v>
      </c>
      <c r="H371" s="12" t="str">
        <f>TEXT(Raw_Data!A377,"hh:mm:ss")
</f>
        <v>09:12:18</v>
      </c>
      <c r="I371" s="20">
        <f t="shared" si="4"/>
        <v>150</v>
      </c>
    </row>
    <row r="372">
      <c r="A372" s="12" t="str">
        <f>Raw_Data!A378</f>
        <v>17 Feb 2025 12:18:41</v>
      </c>
      <c r="B372" s="12" t="str">
        <f t="shared" si="1"/>
        <v>February</v>
      </c>
      <c r="C372" s="12">
        <f t="shared" si="2"/>
        <v>2</v>
      </c>
      <c r="D372" s="12" t="str">
        <f>IFERROR(__xludf.DUMMYFUNCTION("IFERROR(IF(REGEXMATCH(LOWER(Raw_Data!C378),""fixed deposit|owealth|savings|target""),""Fixed Deposit"",IF(REGEXMATCH(LOWER(Raw_Data!C378),""airtime""),""Airtime"",IF(REGEXMATCH(LOWER(Raw_Data!C378),""electronic money transfer levy""),""Electronic Money Tr"&amp;"ansfer Levy"",IF(REGEXMATCH(LOWER(Raw_Data!C378),""transfer|trf|send""),""Transfer"",""Other"")))),""Other"")"),"Transfer")</f>
        <v>Transfer</v>
      </c>
      <c r="E372" s="20">
        <v>650.0</v>
      </c>
      <c r="F372" s="20">
        <v>0.0</v>
      </c>
      <c r="G372" s="12" t="str">
        <f t="shared" si="3"/>
        <v>Withdrawal</v>
      </c>
      <c r="H372" s="12" t="str">
        <f>TEXT(Raw_Data!A378,"hh:mm:ss")
</f>
        <v>12:18:41</v>
      </c>
      <c r="I372" s="20">
        <f t="shared" si="4"/>
        <v>650</v>
      </c>
    </row>
    <row r="373">
      <c r="A373" s="12" t="str">
        <f>Raw_Data!A379</f>
        <v>17 Feb 2025 16:56:39</v>
      </c>
      <c r="B373" s="12" t="str">
        <f t="shared" si="1"/>
        <v>February</v>
      </c>
      <c r="C373" s="12">
        <f t="shared" si="2"/>
        <v>2</v>
      </c>
      <c r="D373" s="12" t="str">
        <f>IFERROR(__xludf.DUMMYFUNCTION("IFERROR(IF(REGEXMATCH(LOWER(Raw_Data!C379),""fixed deposit|owealth|savings|target""),""Fixed Deposit"",IF(REGEXMATCH(LOWER(Raw_Data!C379),""airtime""),""Airtime"",IF(REGEXMATCH(LOWER(Raw_Data!C379),""electronic money transfer levy""),""Electronic Money Tr"&amp;"ansfer Levy"",IF(REGEXMATCH(LOWER(Raw_Data!C379),""transfer|trf|send""),""Transfer"",""Other"")))),""Other"")"),"Transfer")</f>
        <v>Transfer</v>
      </c>
      <c r="E373" s="20">
        <v>600.0</v>
      </c>
      <c r="F373" s="20">
        <v>0.0</v>
      </c>
      <c r="G373" s="12" t="str">
        <f t="shared" si="3"/>
        <v>Withdrawal</v>
      </c>
      <c r="H373" s="12" t="str">
        <f>TEXT(Raw_Data!A379,"hh:mm:ss")
</f>
        <v>16:56:39</v>
      </c>
      <c r="I373" s="20">
        <f t="shared" si="4"/>
        <v>600</v>
      </c>
    </row>
    <row r="374">
      <c r="A374" s="12" t="str">
        <f>Raw_Data!A380</f>
        <v>17 Feb 2025 17:03:39</v>
      </c>
      <c r="B374" s="12" t="str">
        <f t="shared" si="1"/>
        <v>February</v>
      </c>
      <c r="C374" s="12">
        <f t="shared" si="2"/>
        <v>2</v>
      </c>
      <c r="D374" s="12" t="str">
        <f>IFERROR(__xludf.DUMMYFUNCTION("IFERROR(IF(REGEXMATCH(LOWER(Raw_Data!C380),""fixed deposit|owealth|savings|target""),""Fixed Deposit"",IF(REGEXMATCH(LOWER(Raw_Data!C380),""airtime""),""Airtime"",IF(REGEXMATCH(LOWER(Raw_Data!C380),""electronic money transfer levy""),""Electronic Money Tr"&amp;"ansfer Levy"",IF(REGEXMATCH(LOWER(Raw_Data!C380),""transfer|trf|send""),""Transfer"",""Other"")))),""Other"")"),"Transfer")</f>
        <v>Transfer</v>
      </c>
      <c r="E374" s="20">
        <v>210.0</v>
      </c>
      <c r="F374" s="20">
        <v>0.0</v>
      </c>
      <c r="G374" s="12" t="str">
        <f t="shared" si="3"/>
        <v>Withdrawal</v>
      </c>
      <c r="H374" s="12" t="str">
        <f>TEXT(Raw_Data!A380,"hh:mm:ss")
</f>
        <v>17:03:39</v>
      </c>
      <c r="I374" s="20">
        <f t="shared" si="4"/>
        <v>210</v>
      </c>
    </row>
    <row r="375">
      <c r="A375" s="12" t="str">
        <f>Raw_Data!A381</f>
        <v>17 Feb 2025 17:10:30</v>
      </c>
      <c r="B375" s="12" t="str">
        <f t="shared" si="1"/>
        <v>February</v>
      </c>
      <c r="C375" s="12">
        <f t="shared" si="2"/>
        <v>2</v>
      </c>
      <c r="D375" s="12" t="str">
        <f>IFERROR(__xludf.DUMMYFUNCTION("IFERROR(IF(REGEXMATCH(LOWER(Raw_Data!C381),""fixed deposit|owealth|savings|target""),""Fixed Deposit"",IF(REGEXMATCH(LOWER(Raw_Data!C381),""airtime""),""Airtime"",IF(REGEXMATCH(LOWER(Raw_Data!C381),""electronic money transfer levy""),""Electronic Money Tr"&amp;"ansfer Levy"",IF(REGEXMATCH(LOWER(Raw_Data!C381),""transfer|trf|send""),""Transfer"",""Other"")))),""Other"")"),"Transfer")</f>
        <v>Transfer</v>
      </c>
      <c r="E375" s="20">
        <v>0.0</v>
      </c>
      <c r="F375" s="20">
        <v>5000.0</v>
      </c>
      <c r="G375" s="12" t="str">
        <f t="shared" si="3"/>
        <v>Deposit</v>
      </c>
      <c r="H375" s="12" t="str">
        <f>TEXT(Raw_Data!A381,"hh:mm:ss")
</f>
        <v>17:10:30</v>
      </c>
      <c r="I375" s="20">
        <f t="shared" si="4"/>
        <v>5000</v>
      </c>
    </row>
    <row r="376">
      <c r="A376" s="12" t="str">
        <f>Raw_Data!A382</f>
        <v>17 Feb 2025 17:10:55</v>
      </c>
      <c r="B376" s="12" t="str">
        <f t="shared" si="1"/>
        <v>February</v>
      </c>
      <c r="C376" s="12">
        <f t="shared" si="2"/>
        <v>2</v>
      </c>
      <c r="D376" s="12" t="str">
        <f>IFERROR(__xludf.DUMMYFUNCTION("IFERROR(IF(REGEXMATCH(LOWER(Raw_Data!C382),""fixed deposit|owealth|savings|target""),""Fixed Deposit"",IF(REGEXMATCH(LOWER(Raw_Data!C382),""airtime""),""Airtime"",IF(REGEXMATCH(LOWER(Raw_Data!C382),""electronic money transfer levy""),""Electronic Money Tr"&amp;"ansfer Levy"",IF(REGEXMATCH(LOWER(Raw_Data!C382),""transfer|trf|send""),""Transfer"",""Other"")))),""Other"")"),"Transfer")</f>
        <v>Transfer</v>
      </c>
      <c r="E376" s="20">
        <v>0.0</v>
      </c>
      <c r="F376" s="20">
        <v>600.0</v>
      </c>
      <c r="G376" s="12" t="str">
        <f t="shared" si="3"/>
        <v>Deposit</v>
      </c>
      <c r="H376" s="12" t="str">
        <f>TEXT(Raw_Data!A382,"hh:mm:ss")
</f>
        <v>17:10:55</v>
      </c>
      <c r="I376" s="20">
        <f t="shared" si="4"/>
        <v>600</v>
      </c>
    </row>
    <row r="377">
      <c r="A377" s="12" t="str">
        <f>Raw_Data!A383</f>
        <v>17 Feb 2025 19:18:09</v>
      </c>
      <c r="B377" s="12" t="str">
        <f t="shared" si="1"/>
        <v>February</v>
      </c>
      <c r="C377" s="12">
        <f t="shared" si="2"/>
        <v>2</v>
      </c>
      <c r="D377" s="12" t="str">
        <f>IFERROR(__xludf.DUMMYFUNCTION("IFERROR(IF(REGEXMATCH(LOWER(Raw_Data!C383),""fixed deposit|owealth|savings|target""),""Fixed Deposit"",IF(REGEXMATCH(LOWER(Raw_Data!C383),""airtime""),""Airtime"",IF(REGEXMATCH(LOWER(Raw_Data!C383),""electronic money transfer levy""),""Electronic Money Tr"&amp;"ansfer Levy"",IF(REGEXMATCH(LOWER(Raw_Data!C383),""transfer|trf|send""),""Transfer"",""Other"")))),""Other"")"),"Transfer")</f>
        <v>Transfer</v>
      </c>
      <c r="E377" s="20">
        <v>510.0</v>
      </c>
      <c r="F377" s="20">
        <v>0.0</v>
      </c>
      <c r="G377" s="12" t="str">
        <f t="shared" si="3"/>
        <v>Withdrawal</v>
      </c>
      <c r="H377" s="12" t="str">
        <f>TEXT(Raw_Data!A383,"hh:mm:ss")
</f>
        <v>19:18:09</v>
      </c>
      <c r="I377" s="20">
        <f t="shared" si="4"/>
        <v>510</v>
      </c>
    </row>
    <row r="378">
      <c r="A378" s="12" t="str">
        <f>Raw_Data!A384</f>
        <v>17 Feb 2025 20:07:05</v>
      </c>
      <c r="B378" s="12" t="str">
        <f t="shared" si="1"/>
        <v>February</v>
      </c>
      <c r="C378" s="12">
        <f t="shared" si="2"/>
        <v>2</v>
      </c>
      <c r="D378" s="12" t="str">
        <f>IFERROR(__xludf.DUMMYFUNCTION("IFERROR(IF(REGEXMATCH(LOWER(Raw_Data!C384),""fixed deposit|owealth|savings|target""),""Fixed Deposit"",IF(REGEXMATCH(LOWER(Raw_Data!C384),""airtime""),""Airtime"",IF(REGEXMATCH(LOWER(Raw_Data!C384),""electronic money transfer levy""),""Electronic Money Tr"&amp;"ansfer Levy"",IF(REGEXMATCH(LOWER(Raw_Data!C384),""transfer|trf|send""),""Transfer"",""Other"")))),""Other"")"),"Airtime")</f>
        <v>Airtime</v>
      </c>
      <c r="E378" s="20">
        <v>500.0</v>
      </c>
      <c r="F378" s="20">
        <v>0.0</v>
      </c>
      <c r="G378" s="12" t="str">
        <f t="shared" si="3"/>
        <v>Withdrawal</v>
      </c>
      <c r="H378" s="12" t="str">
        <f>TEXT(Raw_Data!A384,"hh:mm:ss")
</f>
        <v>20:07:05</v>
      </c>
      <c r="I378" s="20">
        <f t="shared" si="4"/>
        <v>500</v>
      </c>
    </row>
    <row r="379">
      <c r="A379" s="12" t="str">
        <f>Raw_Data!A385</f>
        <v>18 Feb 2025 07:48:14</v>
      </c>
      <c r="B379" s="12" t="str">
        <f t="shared" si="1"/>
        <v>February</v>
      </c>
      <c r="C379" s="12">
        <f t="shared" si="2"/>
        <v>2</v>
      </c>
      <c r="D379" s="12" t="str">
        <f>IFERROR(__xludf.DUMMYFUNCTION("IFERROR(IF(REGEXMATCH(LOWER(Raw_Data!C385),""fixed deposit|owealth|savings|target""),""Fixed Deposit"",IF(REGEXMATCH(LOWER(Raw_Data!C385),""airtime""),""Airtime"",IF(REGEXMATCH(LOWER(Raw_Data!C385),""electronic money transfer levy""),""Electronic Money Tr"&amp;"ansfer Levy"",IF(REGEXMATCH(LOWER(Raw_Data!C385),""transfer|trf|send""),""Transfer"",""Other"")))),""Other"")"),"Transfer")</f>
        <v>Transfer</v>
      </c>
      <c r="E379" s="20">
        <v>2550.0</v>
      </c>
      <c r="F379" s="20">
        <v>0.0</v>
      </c>
      <c r="G379" s="12" t="str">
        <f t="shared" si="3"/>
        <v>Withdrawal</v>
      </c>
      <c r="H379" s="12" t="str">
        <f>TEXT(Raw_Data!A385,"hh:mm:ss")
</f>
        <v>07:48:14</v>
      </c>
      <c r="I379" s="20">
        <f t="shared" si="4"/>
        <v>2550</v>
      </c>
    </row>
    <row r="380">
      <c r="A380" s="12" t="str">
        <f>Raw_Data!A386</f>
        <v>18 Feb 2025 14:17:32</v>
      </c>
      <c r="B380" s="12" t="str">
        <f t="shared" si="1"/>
        <v>February</v>
      </c>
      <c r="C380" s="12">
        <f t="shared" si="2"/>
        <v>2</v>
      </c>
      <c r="D380" s="12" t="str">
        <f>IFERROR(__xludf.DUMMYFUNCTION("IFERROR(IF(REGEXMATCH(LOWER(Raw_Data!C386),""fixed deposit|owealth|savings|target""),""Fixed Deposit"",IF(REGEXMATCH(LOWER(Raw_Data!C386),""airtime""),""Airtime"",IF(REGEXMATCH(LOWER(Raw_Data!C386),""electronic money transfer levy""),""Electronic Money Tr"&amp;"ansfer Levy"",IF(REGEXMATCH(LOWER(Raw_Data!C386),""transfer|trf|send""),""Transfer"",""Other"")))),""Other"")"),"Transfer")</f>
        <v>Transfer</v>
      </c>
      <c r="E380" s="20">
        <v>300.0</v>
      </c>
      <c r="F380" s="20">
        <v>0.0</v>
      </c>
      <c r="G380" s="12" t="str">
        <f t="shared" si="3"/>
        <v>Withdrawal</v>
      </c>
      <c r="H380" s="12" t="str">
        <f>TEXT(Raw_Data!A386,"hh:mm:ss")
</f>
        <v>14:17:32</v>
      </c>
      <c r="I380" s="20">
        <f t="shared" si="4"/>
        <v>300</v>
      </c>
    </row>
    <row r="381">
      <c r="A381" s="12" t="str">
        <f>Raw_Data!A387</f>
        <v>18 Feb 2025 18:14:22</v>
      </c>
      <c r="B381" s="12" t="str">
        <f t="shared" si="1"/>
        <v>February</v>
      </c>
      <c r="C381" s="12">
        <f t="shared" si="2"/>
        <v>2</v>
      </c>
      <c r="D381" s="12" t="str">
        <f>IFERROR(__xludf.DUMMYFUNCTION("IFERROR(IF(REGEXMATCH(LOWER(Raw_Data!C387),""fixed deposit|owealth|savings|target""),""Fixed Deposit"",IF(REGEXMATCH(LOWER(Raw_Data!C387),""airtime""),""Airtime"",IF(REGEXMATCH(LOWER(Raw_Data!C387),""electronic money transfer levy""),""Electronic Money Tr"&amp;"ansfer Levy"",IF(REGEXMATCH(LOWER(Raw_Data!C387),""transfer|trf|send""),""Transfer"",""Other"")))),""Other"")"),"Transfer")</f>
        <v>Transfer</v>
      </c>
      <c r="E381" s="20">
        <v>5000.0</v>
      </c>
      <c r="F381" s="20">
        <v>0.0</v>
      </c>
      <c r="G381" s="12" t="str">
        <f t="shared" si="3"/>
        <v>Withdrawal</v>
      </c>
      <c r="H381" s="12" t="str">
        <f>TEXT(Raw_Data!A387,"hh:mm:ss")
</f>
        <v>18:14:22</v>
      </c>
      <c r="I381" s="20">
        <f t="shared" si="4"/>
        <v>5000</v>
      </c>
    </row>
    <row r="382">
      <c r="A382" s="12" t="str">
        <f>Raw_Data!A388</f>
        <v>18 Feb 2025 19:08:55</v>
      </c>
      <c r="B382" s="12" t="str">
        <f t="shared" si="1"/>
        <v>February</v>
      </c>
      <c r="C382" s="12">
        <f t="shared" si="2"/>
        <v>2</v>
      </c>
      <c r="D382" s="12" t="str">
        <f>IFERROR(__xludf.DUMMYFUNCTION("IFERROR(IF(REGEXMATCH(LOWER(Raw_Data!C388),""fixed deposit|owealth|savings|target""),""Fixed Deposit"",IF(REGEXMATCH(LOWER(Raw_Data!C388),""airtime""),""Airtime"",IF(REGEXMATCH(LOWER(Raw_Data!C388),""electronic money transfer levy""),""Electronic Money Tr"&amp;"ansfer Levy"",IF(REGEXMATCH(LOWER(Raw_Data!C388),""transfer|trf|send""),""Transfer"",""Other"")))),""Other"")"),"Transfer")</f>
        <v>Transfer</v>
      </c>
      <c r="E382" s="20">
        <v>1500.0</v>
      </c>
      <c r="F382" s="20">
        <v>0.0</v>
      </c>
      <c r="G382" s="12" t="str">
        <f t="shared" si="3"/>
        <v>Withdrawal</v>
      </c>
      <c r="H382" s="12" t="str">
        <f>TEXT(Raw_Data!A388,"hh:mm:ss")
</f>
        <v>19:08:55</v>
      </c>
      <c r="I382" s="20">
        <f t="shared" si="4"/>
        <v>1500</v>
      </c>
    </row>
    <row r="383">
      <c r="A383" s="12" t="str">
        <f>Raw_Data!A389</f>
        <v>18 Feb 2025 19:26:47</v>
      </c>
      <c r="B383" s="12" t="str">
        <f t="shared" si="1"/>
        <v>February</v>
      </c>
      <c r="C383" s="12">
        <f t="shared" si="2"/>
        <v>2</v>
      </c>
      <c r="D383" s="12" t="str">
        <f>IFERROR(__xludf.DUMMYFUNCTION("IFERROR(IF(REGEXMATCH(LOWER(Raw_Data!C389),""fixed deposit|owealth|savings|target""),""Fixed Deposit"",IF(REGEXMATCH(LOWER(Raw_Data!C389),""airtime""),""Airtime"",IF(REGEXMATCH(LOWER(Raw_Data!C389),""electronic money transfer levy""),""Electronic Money Tr"&amp;"ansfer Levy"",IF(REGEXMATCH(LOWER(Raw_Data!C389),""transfer|trf|send""),""Transfer"",""Other"")))),""Other"")"),"Transfer")</f>
        <v>Transfer</v>
      </c>
      <c r="E383" s="20">
        <v>360.0</v>
      </c>
      <c r="F383" s="20">
        <v>0.0</v>
      </c>
      <c r="G383" s="12" t="str">
        <f t="shared" si="3"/>
        <v>Withdrawal</v>
      </c>
      <c r="H383" s="12" t="str">
        <f>TEXT(Raw_Data!A389,"hh:mm:ss")
</f>
        <v>19:26:47</v>
      </c>
      <c r="I383" s="20">
        <f t="shared" si="4"/>
        <v>360</v>
      </c>
    </row>
    <row r="384">
      <c r="A384" s="12" t="str">
        <f>Raw_Data!A390</f>
        <v>19 Feb 2025 07:51:51</v>
      </c>
      <c r="B384" s="12" t="str">
        <f t="shared" si="1"/>
        <v>February</v>
      </c>
      <c r="C384" s="12">
        <f t="shared" si="2"/>
        <v>2</v>
      </c>
      <c r="D384" s="12" t="str">
        <f>IFERROR(__xludf.DUMMYFUNCTION("IFERROR(IF(REGEXMATCH(LOWER(Raw_Data!C390),""fixed deposit|owealth|savings|target""),""Fixed Deposit"",IF(REGEXMATCH(LOWER(Raw_Data!C390),""airtime""),""Airtime"",IF(REGEXMATCH(LOWER(Raw_Data!C390),""electronic money transfer levy""),""Electronic Money Tr"&amp;"ansfer Levy"",IF(REGEXMATCH(LOWER(Raw_Data!C390),""transfer|trf|send""),""Transfer"",""Other"")))),""Other"")"),"Transfer")</f>
        <v>Transfer</v>
      </c>
      <c r="E384" s="20">
        <v>450.0</v>
      </c>
      <c r="F384" s="20">
        <v>0.0</v>
      </c>
      <c r="G384" s="12" t="str">
        <f t="shared" si="3"/>
        <v>Withdrawal</v>
      </c>
      <c r="H384" s="12" t="str">
        <f>TEXT(Raw_Data!A390,"hh:mm:ss")
</f>
        <v>07:51:51</v>
      </c>
      <c r="I384" s="20">
        <f t="shared" si="4"/>
        <v>450</v>
      </c>
    </row>
    <row r="385">
      <c r="A385" s="12" t="str">
        <f>Raw_Data!A391</f>
        <v>19 Feb 2025 07:55:31</v>
      </c>
      <c r="B385" s="12" t="str">
        <f t="shared" si="1"/>
        <v>February</v>
      </c>
      <c r="C385" s="12">
        <f t="shared" si="2"/>
        <v>2</v>
      </c>
      <c r="D385" s="12" t="str">
        <f>IFERROR(__xludf.DUMMYFUNCTION("IFERROR(IF(REGEXMATCH(LOWER(Raw_Data!C391),""fixed deposit|owealth|savings|target""),""Fixed Deposit"",IF(REGEXMATCH(LOWER(Raw_Data!C391),""airtime""),""Airtime"",IF(REGEXMATCH(LOWER(Raw_Data!C391),""electronic money transfer levy""),""Electronic Money Tr"&amp;"ansfer Levy"",IF(REGEXMATCH(LOWER(Raw_Data!C391),""transfer|trf|send""),""Transfer"",""Other"")))),""Other"")"),"Transfer")</f>
        <v>Transfer</v>
      </c>
      <c r="E385" s="20">
        <v>0.0</v>
      </c>
      <c r="F385" s="20">
        <v>1100.0</v>
      </c>
      <c r="G385" s="12" t="str">
        <f t="shared" si="3"/>
        <v>Deposit</v>
      </c>
      <c r="H385" s="12" t="str">
        <f>TEXT(Raw_Data!A391,"hh:mm:ss")
</f>
        <v>07:55:31</v>
      </c>
      <c r="I385" s="20">
        <f t="shared" si="4"/>
        <v>1100</v>
      </c>
    </row>
    <row r="386">
      <c r="A386" s="12" t="str">
        <f>Raw_Data!A392</f>
        <v>19 Feb 2025 07:58:04</v>
      </c>
      <c r="B386" s="12" t="str">
        <f t="shared" si="1"/>
        <v>February</v>
      </c>
      <c r="C386" s="12">
        <f t="shared" si="2"/>
        <v>2</v>
      </c>
      <c r="D386" s="12" t="str">
        <f>IFERROR(__xludf.DUMMYFUNCTION("IFERROR(IF(REGEXMATCH(LOWER(Raw_Data!C392),""fixed deposit|owealth|savings|target""),""Fixed Deposit"",IF(REGEXMATCH(LOWER(Raw_Data!C392),""airtime""),""Airtime"",IF(REGEXMATCH(LOWER(Raw_Data!C392),""electronic money transfer levy""),""Electronic Money Tr"&amp;"ansfer Levy"",IF(REGEXMATCH(LOWER(Raw_Data!C392),""transfer|trf|send""),""Transfer"",""Other"")))),""Other"")"),"Transfer")</f>
        <v>Transfer</v>
      </c>
      <c r="E386" s="20">
        <v>300.0</v>
      </c>
      <c r="F386" s="20">
        <v>0.0</v>
      </c>
      <c r="G386" s="12" t="str">
        <f t="shared" si="3"/>
        <v>Withdrawal</v>
      </c>
      <c r="H386" s="12" t="str">
        <f>TEXT(Raw_Data!A392,"hh:mm:ss")
</f>
        <v>07:58:04</v>
      </c>
      <c r="I386" s="20">
        <f t="shared" si="4"/>
        <v>300</v>
      </c>
    </row>
    <row r="387">
      <c r="A387" s="12" t="str">
        <f>Raw_Data!A393</f>
        <v>19 Feb 2025 12:39:15</v>
      </c>
      <c r="B387" s="12" t="str">
        <f t="shared" si="1"/>
        <v>February</v>
      </c>
      <c r="C387" s="12">
        <f t="shared" si="2"/>
        <v>2</v>
      </c>
      <c r="D387" s="12" t="str">
        <f>IFERROR(__xludf.DUMMYFUNCTION("IFERROR(IF(REGEXMATCH(LOWER(Raw_Data!C393),""fixed deposit|owealth|savings|target""),""Fixed Deposit"",IF(REGEXMATCH(LOWER(Raw_Data!C393),""airtime""),""Airtime"",IF(REGEXMATCH(LOWER(Raw_Data!C393),""electronic money transfer levy""),""Electronic Money Tr"&amp;"ansfer Levy"",IF(REGEXMATCH(LOWER(Raw_Data!C393),""transfer|trf|send""),""Transfer"",""Other"")))),""Other"")"),"Airtime")</f>
        <v>Airtime</v>
      </c>
      <c r="E387" s="20">
        <v>500.0</v>
      </c>
      <c r="F387" s="20">
        <v>0.0</v>
      </c>
      <c r="G387" s="12" t="str">
        <f t="shared" si="3"/>
        <v>Withdrawal</v>
      </c>
      <c r="H387" s="12" t="str">
        <f>TEXT(Raw_Data!A393,"hh:mm:ss")
</f>
        <v>12:39:15</v>
      </c>
      <c r="I387" s="20">
        <f t="shared" si="4"/>
        <v>500</v>
      </c>
    </row>
    <row r="388">
      <c r="A388" s="12" t="str">
        <f>Raw_Data!A394</f>
        <v>19 Feb 2025 17:17:48</v>
      </c>
      <c r="B388" s="12" t="str">
        <f t="shared" si="1"/>
        <v>February</v>
      </c>
      <c r="C388" s="12">
        <f t="shared" si="2"/>
        <v>2</v>
      </c>
      <c r="D388" s="12" t="str">
        <f>IFERROR(__xludf.DUMMYFUNCTION("IFERROR(IF(REGEXMATCH(LOWER(Raw_Data!C394),""fixed deposit|owealth|savings|target""),""Fixed Deposit"",IF(REGEXMATCH(LOWER(Raw_Data!C394),""airtime""),""Airtime"",IF(REGEXMATCH(LOWER(Raw_Data!C394),""electronic money transfer levy""),""Electronic Money Tr"&amp;"ansfer Levy"",IF(REGEXMATCH(LOWER(Raw_Data!C394),""transfer|trf|send""),""Transfer"",""Other"")))),""Other"")"),"Transfer")</f>
        <v>Transfer</v>
      </c>
      <c r="E388" s="20">
        <v>200.0</v>
      </c>
      <c r="F388" s="20">
        <v>0.0</v>
      </c>
      <c r="G388" s="12" t="str">
        <f t="shared" si="3"/>
        <v>Withdrawal</v>
      </c>
      <c r="H388" s="12" t="str">
        <f>TEXT(Raw_Data!A394,"hh:mm:ss")
</f>
        <v>17:17:48</v>
      </c>
      <c r="I388" s="20">
        <f t="shared" si="4"/>
        <v>200</v>
      </c>
    </row>
    <row r="389">
      <c r="A389" s="12" t="str">
        <f>Raw_Data!A395</f>
        <v>19 Feb 2025 22:26:40</v>
      </c>
      <c r="B389" s="12" t="str">
        <f t="shared" si="1"/>
        <v>February</v>
      </c>
      <c r="C389" s="12">
        <f t="shared" si="2"/>
        <v>2</v>
      </c>
      <c r="D389" s="12" t="str">
        <f>IFERROR(__xludf.DUMMYFUNCTION("IFERROR(IF(REGEXMATCH(LOWER(Raw_Data!C395),""fixed deposit|owealth|savings|target""),""Fixed Deposit"",IF(REGEXMATCH(LOWER(Raw_Data!C395),""airtime""),""Airtime"",IF(REGEXMATCH(LOWER(Raw_Data!C395),""electronic money transfer levy""),""Electronic Money Tr"&amp;"ansfer Levy"",IF(REGEXMATCH(LOWER(Raw_Data!C395),""transfer|trf|send""),""Transfer"",""Other"")))),""Other"")"),"Transfer")</f>
        <v>Transfer</v>
      </c>
      <c r="E389" s="20">
        <v>500.0</v>
      </c>
      <c r="F389" s="20">
        <v>0.0</v>
      </c>
      <c r="G389" s="12" t="str">
        <f t="shared" si="3"/>
        <v>Withdrawal</v>
      </c>
      <c r="H389" s="12" t="str">
        <f>TEXT(Raw_Data!A395,"hh:mm:ss")
</f>
        <v>22:26:40</v>
      </c>
      <c r="I389" s="20">
        <f t="shared" si="4"/>
        <v>500</v>
      </c>
    </row>
    <row r="390">
      <c r="A390" s="12" t="str">
        <f>Raw_Data!A396</f>
        <v>20 Feb 2025 07:07:03</v>
      </c>
      <c r="B390" s="12" t="str">
        <f t="shared" si="1"/>
        <v>February</v>
      </c>
      <c r="C390" s="12">
        <f t="shared" si="2"/>
        <v>2</v>
      </c>
      <c r="D390" s="12" t="str">
        <f>IFERROR(__xludf.DUMMYFUNCTION("IFERROR(IF(REGEXMATCH(LOWER(Raw_Data!C396),""fixed deposit|owealth|savings|target""),""Fixed Deposit"",IF(REGEXMATCH(LOWER(Raw_Data!C396),""airtime""),""Airtime"",IF(REGEXMATCH(LOWER(Raw_Data!C396),""electronic money transfer levy""),""Electronic Money Tr"&amp;"ansfer Levy"",IF(REGEXMATCH(LOWER(Raw_Data!C396),""transfer|trf|send""),""Transfer"",""Other"")))),""Other"")"),"Transfer")</f>
        <v>Transfer</v>
      </c>
      <c r="E390" s="20">
        <v>200.0</v>
      </c>
      <c r="F390" s="20">
        <v>0.0</v>
      </c>
      <c r="G390" s="12" t="str">
        <f t="shared" si="3"/>
        <v>Withdrawal</v>
      </c>
      <c r="H390" s="12" t="str">
        <f>TEXT(Raw_Data!A396,"hh:mm:ss")
</f>
        <v>07:07:03</v>
      </c>
      <c r="I390" s="20">
        <f t="shared" si="4"/>
        <v>200</v>
      </c>
    </row>
    <row r="391">
      <c r="A391" s="12" t="str">
        <f>Raw_Data!A397</f>
        <v>20 Feb 2025 07:11:29</v>
      </c>
      <c r="B391" s="12" t="str">
        <f t="shared" si="1"/>
        <v>February</v>
      </c>
      <c r="C391" s="12">
        <f t="shared" si="2"/>
        <v>2</v>
      </c>
      <c r="D391" s="12" t="str">
        <f>IFERROR(__xludf.DUMMYFUNCTION("IFERROR(IF(REGEXMATCH(LOWER(Raw_Data!C397),""fixed deposit|owealth|savings|target""),""Fixed Deposit"",IF(REGEXMATCH(LOWER(Raw_Data!C397),""airtime""),""Airtime"",IF(REGEXMATCH(LOWER(Raw_Data!C397),""electronic money transfer levy""),""Electronic Money Tr"&amp;"ansfer Levy"",IF(REGEXMATCH(LOWER(Raw_Data!C397),""transfer|trf|send""),""Transfer"",""Other"")))),""Other"")"),"Transfer")</f>
        <v>Transfer</v>
      </c>
      <c r="E391" s="20">
        <v>0.0</v>
      </c>
      <c r="F391" s="20">
        <v>19500.0</v>
      </c>
      <c r="G391" s="12" t="str">
        <f t="shared" si="3"/>
        <v>Deposit</v>
      </c>
      <c r="H391" s="12" t="str">
        <f>TEXT(Raw_Data!A397,"hh:mm:ss")
</f>
        <v>07:11:29</v>
      </c>
      <c r="I391" s="20">
        <f t="shared" si="4"/>
        <v>19500</v>
      </c>
    </row>
    <row r="392">
      <c r="A392" s="12" t="str">
        <f>Raw_Data!A398</f>
        <v>20 Feb 2025 07:11:35</v>
      </c>
      <c r="B392" s="12" t="str">
        <f t="shared" si="1"/>
        <v>February</v>
      </c>
      <c r="C392" s="12">
        <f t="shared" si="2"/>
        <v>2</v>
      </c>
      <c r="D392" s="12" t="str">
        <f>IFERROR(__xludf.DUMMYFUNCTION("IFERROR(IF(REGEXMATCH(LOWER(Raw_Data!C398),""fixed deposit|owealth|savings|target""),""Fixed Deposit"",IF(REGEXMATCH(LOWER(Raw_Data!C398),""airtime""),""Airtime"",IF(REGEXMATCH(LOWER(Raw_Data!C398),""electronic money transfer levy""),""Electronic Money Tr"&amp;"ansfer Levy"",IF(REGEXMATCH(LOWER(Raw_Data!C398),""transfer|trf|send""),""Transfer"",""Other"")))),""Other"")"),"Electronic Money Transfer Levy")</f>
        <v>Electronic Money Transfer Levy</v>
      </c>
      <c r="E392" s="20">
        <v>50.0</v>
      </c>
      <c r="F392" s="20">
        <v>0.0</v>
      </c>
      <c r="G392" s="12" t="str">
        <f t="shared" si="3"/>
        <v>Withdrawal</v>
      </c>
      <c r="H392" s="12" t="str">
        <f>TEXT(Raw_Data!A398,"hh:mm:ss")
</f>
        <v>07:11:35</v>
      </c>
      <c r="I392" s="20">
        <f t="shared" si="4"/>
        <v>50</v>
      </c>
    </row>
    <row r="393">
      <c r="A393" s="12" t="str">
        <f>Raw_Data!A399</f>
        <v>20 Feb 2025 07:15:35</v>
      </c>
      <c r="B393" s="12" t="str">
        <f t="shared" si="1"/>
        <v>February</v>
      </c>
      <c r="C393" s="12">
        <f t="shared" si="2"/>
        <v>2</v>
      </c>
      <c r="D393" s="12" t="str">
        <f>IFERROR(__xludf.DUMMYFUNCTION("IFERROR(IF(REGEXMATCH(LOWER(Raw_Data!C399),""fixed deposit|owealth|savings|target""),""Fixed Deposit"",IF(REGEXMATCH(LOWER(Raw_Data!C399),""airtime""),""Airtime"",IF(REGEXMATCH(LOWER(Raw_Data!C399),""electronic money transfer levy""),""Electronic Money Tr"&amp;"ansfer Levy"",IF(REGEXMATCH(LOWER(Raw_Data!C399),""transfer|trf|send""),""Transfer"",""Other"")))),""Other"")"),"Transfer")</f>
        <v>Transfer</v>
      </c>
      <c r="E393" s="20">
        <v>3200.0</v>
      </c>
      <c r="F393" s="20">
        <v>0.0</v>
      </c>
      <c r="G393" s="12" t="str">
        <f t="shared" si="3"/>
        <v>Withdrawal</v>
      </c>
      <c r="H393" s="12" t="str">
        <f>TEXT(Raw_Data!A399,"hh:mm:ss")
</f>
        <v>07:15:35</v>
      </c>
      <c r="I393" s="20">
        <f t="shared" si="4"/>
        <v>3200</v>
      </c>
    </row>
    <row r="394">
      <c r="A394" s="12" t="str">
        <f>Raw_Data!A400</f>
        <v>20 Feb 2025 07:54:14</v>
      </c>
      <c r="B394" s="12" t="str">
        <f t="shared" si="1"/>
        <v>February</v>
      </c>
      <c r="C394" s="12">
        <f t="shared" si="2"/>
        <v>2</v>
      </c>
      <c r="D394" s="12" t="str">
        <f>IFERROR(__xludf.DUMMYFUNCTION("IFERROR(IF(REGEXMATCH(LOWER(Raw_Data!C400),""fixed deposit|owealth|savings|target""),""Fixed Deposit"",IF(REGEXMATCH(LOWER(Raw_Data!C400),""airtime""),""Airtime"",IF(REGEXMATCH(LOWER(Raw_Data!C400),""electronic money transfer levy""),""Electronic Money Tr"&amp;"ansfer Levy"",IF(REGEXMATCH(LOWER(Raw_Data!C400),""transfer|trf|send""),""Transfer"",""Other"")))),""Other"")"),"Transfer")</f>
        <v>Transfer</v>
      </c>
      <c r="E394" s="20">
        <v>550.0</v>
      </c>
      <c r="F394" s="20">
        <v>0.0</v>
      </c>
      <c r="G394" s="12" t="str">
        <f t="shared" si="3"/>
        <v>Withdrawal</v>
      </c>
      <c r="H394" s="12" t="str">
        <f>TEXT(Raw_Data!A400,"hh:mm:ss")
</f>
        <v>07:54:14</v>
      </c>
      <c r="I394" s="20">
        <f t="shared" si="4"/>
        <v>550</v>
      </c>
    </row>
    <row r="395">
      <c r="A395" s="12" t="str">
        <f>Raw_Data!A401</f>
        <v>20 Feb 2025 07:57:15</v>
      </c>
      <c r="B395" s="12" t="str">
        <f t="shared" si="1"/>
        <v>February</v>
      </c>
      <c r="C395" s="12">
        <f t="shared" si="2"/>
        <v>2</v>
      </c>
      <c r="D395" s="12" t="str">
        <f>IFERROR(__xludf.DUMMYFUNCTION("IFERROR(IF(REGEXMATCH(LOWER(Raw_Data!C401),""fixed deposit|owealth|savings|target""),""Fixed Deposit"",IF(REGEXMATCH(LOWER(Raw_Data!C401),""airtime""),""Airtime"",IF(REGEXMATCH(LOWER(Raw_Data!C401),""electronic money transfer levy""),""Electronic Money Tr"&amp;"ansfer Levy"",IF(REGEXMATCH(LOWER(Raw_Data!C401),""transfer|trf|send""),""Transfer"",""Other"")))),""Other"")"),"Transfer")</f>
        <v>Transfer</v>
      </c>
      <c r="E395" s="20">
        <v>5000.0</v>
      </c>
      <c r="F395" s="20">
        <v>0.0</v>
      </c>
      <c r="G395" s="12" t="str">
        <f t="shared" si="3"/>
        <v>Withdrawal</v>
      </c>
      <c r="H395" s="12" t="str">
        <f>TEXT(Raw_Data!A401,"hh:mm:ss")
</f>
        <v>07:57:15</v>
      </c>
      <c r="I395" s="20">
        <f t="shared" si="4"/>
        <v>5000</v>
      </c>
    </row>
    <row r="396">
      <c r="A396" s="12" t="str">
        <f>Raw_Data!A402</f>
        <v>20 Feb 2025 12:20:07</v>
      </c>
      <c r="B396" s="12" t="str">
        <f t="shared" si="1"/>
        <v>February</v>
      </c>
      <c r="C396" s="12">
        <f t="shared" si="2"/>
        <v>2</v>
      </c>
      <c r="D396" s="12" t="str">
        <f>IFERROR(__xludf.DUMMYFUNCTION("IFERROR(IF(REGEXMATCH(LOWER(Raw_Data!C402),""fixed deposit|owealth|savings|target""),""Fixed Deposit"",IF(REGEXMATCH(LOWER(Raw_Data!C402),""airtime""),""Airtime"",IF(REGEXMATCH(LOWER(Raw_Data!C402),""electronic money transfer levy""),""Electronic Money Tr"&amp;"ansfer Levy"",IF(REGEXMATCH(LOWER(Raw_Data!C402),""transfer|trf|send""),""Transfer"",""Other"")))),""Other"")"),"Transfer")</f>
        <v>Transfer</v>
      </c>
      <c r="E396" s="20">
        <v>700.0</v>
      </c>
      <c r="F396" s="20">
        <v>0.0</v>
      </c>
      <c r="G396" s="12" t="str">
        <f t="shared" si="3"/>
        <v>Withdrawal</v>
      </c>
      <c r="H396" s="12" t="str">
        <f>TEXT(Raw_Data!A402,"hh:mm:ss")
</f>
        <v>12:20:07</v>
      </c>
      <c r="I396" s="20">
        <f t="shared" si="4"/>
        <v>700</v>
      </c>
    </row>
    <row r="397">
      <c r="A397" s="12" t="str">
        <f>Raw_Data!A403</f>
        <v>20 Feb 2025 12:21:28</v>
      </c>
      <c r="B397" s="12" t="str">
        <f t="shared" si="1"/>
        <v>February</v>
      </c>
      <c r="C397" s="12">
        <f t="shared" si="2"/>
        <v>2</v>
      </c>
      <c r="D397" s="12" t="str">
        <f>IFERROR(__xludf.DUMMYFUNCTION("IFERROR(IF(REGEXMATCH(LOWER(Raw_Data!C403),""fixed deposit|owealth|savings|target""),""Fixed Deposit"",IF(REGEXMATCH(LOWER(Raw_Data!C403),""airtime""),""Airtime"",IF(REGEXMATCH(LOWER(Raw_Data!C403),""electronic money transfer levy""),""Electronic Money Tr"&amp;"ansfer Levy"",IF(REGEXMATCH(LOWER(Raw_Data!C403),""transfer|trf|send""),""Transfer"",""Other"")))),""Other"")"),"Transfer")</f>
        <v>Transfer</v>
      </c>
      <c r="E397" s="20">
        <v>400.0</v>
      </c>
      <c r="F397" s="20">
        <v>0.0</v>
      </c>
      <c r="G397" s="12" t="str">
        <f t="shared" si="3"/>
        <v>Withdrawal</v>
      </c>
      <c r="H397" s="12" t="str">
        <f>TEXT(Raw_Data!A403,"hh:mm:ss")
</f>
        <v>12:21:28</v>
      </c>
      <c r="I397" s="20">
        <f t="shared" si="4"/>
        <v>400</v>
      </c>
    </row>
    <row r="398">
      <c r="A398" s="12" t="str">
        <f>Raw_Data!A404</f>
        <v>20 Feb 2025 15:09:10</v>
      </c>
      <c r="B398" s="12" t="str">
        <f t="shared" si="1"/>
        <v>February</v>
      </c>
      <c r="C398" s="12">
        <f t="shared" si="2"/>
        <v>2</v>
      </c>
      <c r="D398" s="12" t="str">
        <f>IFERROR(__xludf.DUMMYFUNCTION("IFERROR(IF(REGEXMATCH(LOWER(Raw_Data!C404),""fixed deposit|owealth|savings|target""),""Fixed Deposit"",IF(REGEXMATCH(LOWER(Raw_Data!C404),""airtime""),""Airtime"",IF(REGEXMATCH(LOWER(Raw_Data!C404),""electronic money transfer levy""),""Electronic Money Tr"&amp;"ansfer Levy"",IF(REGEXMATCH(LOWER(Raw_Data!C404),""transfer|trf|send""),""Transfer"",""Other"")))),""Other"")"),"Transfer")</f>
        <v>Transfer</v>
      </c>
      <c r="E398" s="20">
        <v>2000.0</v>
      </c>
      <c r="F398" s="20">
        <v>0.0</v>
      </c>
      <c r="G398" s="12" t="str">
        <f t="shared" si="3"/>
        <v>Withdrawal</v>
      </c>
      <c r="H398" s="12" t="str">
        <f>TEXT(Raw_Data!A404,"hh:mm:ss")
</f>
        <v>15:09:10</v>
      </c>
      <c r="I398" s="20">
        <f t="shared" si="4"/>
        <v>2000</v>
      </c>
    </row>
    <row r="399">
      <c r="A399" s="12" t="str">
        <f>Raw_Data!A405</f>
        <v>20 Feb 2025 16:26:14</v>
      </c>
      <c r="B399" s="12" t="str">
        <f t="shared" si="1"/>
        <v>February</v>
      </c>
      <c r="C399" s="12">
        <f t="shared" si="2"/>
        <v>2</v>
      </c>
      <c r="D399" s="12" t="str">
        <f>IFERROR(__xludf.DUMMYFUNCTION("IFERROR(IF(REGEXMATCH(LOWER(Raw_Data!C405),""fixed deposit|owealth|savings|target""),""Fixed Deposit"",IF(REGEXMATCH(LOWER(Raw_Data!C405),""airtime""),""Airtime"",IF(REGEXMATCH(LOWER(Raw_Data!C405),""electronic money transfer levy""),""Electronic Money Tr"&amp;"ansfer Levy"",IF(REGEXMATCH(LOWER(Raw_Data!C405),""transfer|trf|send""),""Transfer"",""Other"")))),""Other"")"),"Transfer")</f>
        <v>Transfer</v>
      </c>
      <c r="E399" s="20">
        <v>1500.0</v>
      </c>
      <c r="F399" s="20">
        <v>0.0</v>
      </c>
      <c r="G399" s="12" t="str">
        <f t="shared" si="3"/>
        <v>Withdrawal</v>
      </c>
      <c r="H399" s="12" t="str">
        <f>TEXT(Raw_Data!A405,"hh:mm:ss")
</f>
        <v>16:26:14</v>
      </c>
      <c r="I399" s="20">
        <f t="shared" si="4"/>
        <v>1500</v>
      </c>
    </row>
    <row r="400">
      <c r="A400" s="12" t="str">
        <f>Raw_Data!A406</f>
        <v>20 Feb 2025 16:31:36</v>
      </c>
      <c r="B400" s="12" t="str">
        <f t="shared" si="1"/>
        <v>February</v>
      </c>
      <c r="C400" s="12">
        <f t="shared" si="2"/>
        <v>2</v>
      </c>
      <c r="D400" s="12" t="str">
        <f>IFERROR(__xludf.DUMMYFUNCTION("IFERROR(IF(REGEXMATCH(LOWER(Raw_Data!C406),""fixed deposit|owealth|savings|target""),""Fixed Deposit"",IF(REGEXMATCH(LOWER(Raw_Data!C406),""airtime""),""Airtime"",IF(REGEXMATCH(LOWER(Raw_Data!C406),""electronic money transfer levy""),""Electronic Money Tr"&amp;"ansfer Levy"",IF(REGEXMATCH(LOWER(Raw_Data!C406),""transfer|trf|send""),""Transfer"",""Other"")))),""Other"")"),"Transfer")</f>
        <v>Transfer</v>
      </c>
      <c r="E400" s="20">
        <v>0.0</v>
      </c>
      <c r="F400" s="20">
        <v>1000.0</v>
      </c>
      <c r="G400" s="12" t="str">
        <f t="shared" si="3"/>
        <v>Deposit</v>
      </c>
      <c r="H400" s="12" t="str">
        <f>TEXT(Raw_Data!A406,"hh:mm:ss")
</f>
        <v>16:31:36</v>
      </c>
      <c r="I400" s="20">
        <f t="shared" si="4"/>
        <v>1000</v>
      </c>
    </row>
    <row r="401">
      <c r="A401" s="12" t="str">
        <f>Raw_Data!A407</f>
        <v>20 Feb 2025 16:32:00</v>
      </c>
      <c r="B401" s="12" t="str">
        <f t="shared" si="1"/>
        <v>February</v>
      </c>
      <c r="C401" s="12">
        <f t="shared" si="2"/>
        <v>2</v>
      </c>
      <c r="D401" s="12" t="str">
        <f>IFERROR(__xludf.DUMMYFUNCTION("IFERROR(IF(REGEXMATCH(LOWER(Raw_Data!C407),""fixed deposit|owealth|savings|target""),""Fixed Deposit"",IF(REGEXMATCH(LOWER(Raw_Data!C407),""airtime""),""Airtime"",IF(REGEXMATCH(LOWER(Raw_Data!C407),""electronic money transfer levy""),""Electronic Money Tr"&amp;"ansfer Levy"",IF(REGEXMATCH(LOWER(Raw_Data!C407),""transfer|trf|send""),""Transfer"",""Other"")))),""Other"")"),"Transfer")</f>
        <v>Transfer</v>
      </c>
      <c r="E401" s="20">
        <v>900.0</v>
      </c>
      <c r="F401" s="20">
        <v>0.0</v>
      </c>
      <c r="G401" s="12" t="str">
        <f t="shared" si="3"/>
        <v>Withdrawal</v>
      </c>
      <c r="H401" s="12" t="str">
        <f>TEXT(Raw_Data!A407,"hh:mm:ss")
</f>
        <v>16:32:00</v>
      </c>
      <c r="I401" s="20">
        <f t="shared" si="4"/>
        <v>900</v>
      </c>
    </row>
    <row r="402">
      <c r="A402" s="12" t="str">
        <f>Raw_Data!A408</f>
        <v>20 Feb 2025 16:35:15</v>
      </c>
      <c r="B402" s="12" t="str">
        <f t="shared" si="1"/>
        <v>February</v>
      </c>
      <c r="C402" s="12">
        <f t="shared" si="2"/>
        <v>2</v>
      </c>
      <c r="D402" s="12" t="str">
        <f>IFERROR(__xludf.DUMMYFUNCTION("IFERROR(IF(REGEXMATCH(LOWER(Raw_Data!C408),""fixed deposit|owealth|savings|target""),""Fixed Deposit"",IF(REGEXMATCH(LOWER(Raw_Data!C408),""airtime""),""Airtime"",IF(REGEXMATCH(LOWER(Raw_Data!C408),""electronic money transfer levy""),""Electronic Money Tr"&amp;"ansfer Levy"",IF(REGEXMATCH(LOWER(Raw_Data!C408),""transfer|trf|send""),""Transfer"",""Other"")))),""Other"")"),"Transfer")</f>
        <v>Transfer</v>
      </c>
      <c r="E402" s="20">
        <v>0.0</v>
      </c>
      <c r="F402" s="20">
        <v>1500.0</v>
      </c>
      <c r="G402" s="12" t="str">
        <f t="shared" si="3"/>
        <v>Deposit</v>
      </c>
      <c r="H402" s="12" t="str">
        <f>TEXT(Raw_Data!A408,"hh:mm:ss")
</f>
        <v>16:35:15</v>
      </c>
      <c r="I402" s="20">
        <f t="shared" si="4"/>
        <v>1500</v>
      </c>
    </row>
    <row r="403">
      <c r="A403" s="12" t="str">
        <f>Raw_Data!A409</f>
        <v>20 Feb 2025 17:24:20</v>
      </c>
      <c r="B403" s="12" t="str">
        <f t="shared" si="1"/>
        <v>February</v>
      </c>
      <c r="C403" s="12">
        <f t="shared" si="2"/>
        <v>2</v>
      </c>
      <c r="D403" s="12" t="str">
        <f>IFERROR(__xludf.DUMMYFUNCTION("IFERROR(IF(REGEXMATCH(LOWER(Raw_Data!C409),""fixed deposit|owealth|savings|target""),""Fixed Deposit"",IF(REGEXMATCH(LOWER(Raw_Data!C409),""airtime""),""Airtime"",IF(REGEXMATCH(LOWER(Raw_Data!C409),""electronic money transfer levy""),""Electronic Money Tr"&amp;"ansfer Levy"",IF(REGEXMATCH(LOWER(Raw_Data!C409),""transfer|trf|send""),""Transfer"",""Other"")))),""Other"")"),"Transfer")</f>
        <v>Transfer</v>
      </c>
      <c r="E403" s="20">
        <v>1500.0</v>
      </c>
      <c r="F403" s="20">
        <v>0.0</v>
      </c>
      <c r="G403" s="12" t="str">
        <f t="shared" si="3"/>
        <v>Withdrawal</v>
      </c>
      <c r="H403" s="12" t="str">
        <f>TEXT(Raw_Data!A409,"hh:mm:ss")
</f>
        <v>17:24:20</v>
      </c>
      <c r="I403" s="20">
        <f t="shared" si="4"/>
        <v>1500</v>
      </c>
    </row>
    <row r="404">
      <c r="A404" s="12" t="str">
        <f>Raw_Data!A410</f>
        <v>20 Feb 2025 17:38:25</v>
      </c>
      <c r="B404" s="12" t="str">
        <f t="shared" si="1"/>
        <v>February</v>
      </c>
      <c r="C404" s="12">
        <f t="shared" si="2"/>
        <v>2</v>
      </c>
      <c r="D404" s="12" t="str">
        <f>IFERROR(__xludf.DUMMYFUNCTION("IFERROR(IF(REGEXMATCH(LOWER(Raw_Data!C410),""fixed deposit|owealth|savings|target""),""Fixed Deposit"",IF(REGEXMATCH(LOWER(Raw_Data!C410),""airtime""),""Airtime"",IF(REGEXMATCH(LOWER(Raw_Data!C410),""electronic money transfer levy""),""Electronic Money Tr"&amp;"ansfer Levy"",IF(REGEXMATCH(LOWER(Raw_Data!C410),""transfer|trf|send""),""Transfer"",""Other"")))),""Other"")"),"Transfer")</f>
        <v>Transfer</v>
      </c>
      <c r="E404" s="20">
        <v>0.0</v>
      </c>
      <c r="F404" s="20">
        <v>500.0</v>
      </c>
      <c r="G404" s="12" t="str">
        <f t="shared" si="3"/>
        <v>Deposit</v>
      </c>
      <c r="H404" s="12" t="str">
        <f>TEXT(Raw_Data!A410,"hh:mm:ss")
</f>
        <v>17:38:25</v>
      </c>
      <c r="I404" s="20">
        <f t="shared" si="4"/>
        <v>500</v>
      </c>
    </row>
    <row r="405">
      <c r="A405" s="12" t="str">
        <f>Raw_Data!A411</f>
        <v>20 Feb 2025 17:41:08</v>
      </c>
      <c r="B405" s="12" t="str">
        <f t="shared" si="1"/>
        <v>February</v>
      </c>
      <c r="C405" s="12">
        <f t="shared" si="2"/>
        <v>2</v>
      </c>
      <c r="D405" s="12" t="str">
        <f>IFERROR(__xludf.DUMMYFUNCTION("IFERROR(IF(REGEXMATCH(LOWER(Raw_Data!C411),""fixed deposit|owealth|savings|target""),""Fixed Deposit"",IF(REGEXMATCH(LOWER(Raw_Data!C411),""airtime""),""Airtime"",IF(REGEXMATCH(LOWER(Raw_Data!C411),""electronic money transfer levy""),""Electronic Money Tr"&amp;"ansfer Levy"",IF(REGEXMATCH(LOWER(Raw_Data!C411),""transfer|trf|send""),""Transfer"",""Other"")))),""Other"")"),"Transfer")</f>
        <v>Transfer</v>
      </c>
      <c r="E405" s="20">
        <v>1510.0</v>
      </c>
      <c r="F405" s="20">
        <v>0.0</v>
      </c>
      <c r="G405" s="12" t="str">
        <f t="shared" si="3"/>
        <v>Withdrawal</v>
      </c>
      <c r="H405" s="12" t="str">
        <f>TEXT(Raw_Data!A411,"hh:mm:ss")
</f>
        <v>17:41:08</v>
      </c>
      <c r="I405" s="20">
        <f t="shared" si="4"/>
        <v>1510</v>
      </c>
    </row>
    <row r="406">
      <c r="A406" s="12" t="str">
        <f>Raw_Data!A412</f>
        <v>20 Feb 2025 19:33:07</v>
      </c>
      <c r="B406" s="12" t="str">
        <f t="shared" si="1"/>
        <v>February</v>
      </c>
      <c r="C406" s="12">
        <f t="shared" si="2"/>
        <v>2</v>
      </c>
      <c r="D406" s="12" t="str">
        <f>IFERROR(__xludf.DUMMYFUNCTION("IFERROR(IF(REGEXMATCH(LOWER(Raw_Data!C412),""fixed deposit|owealth|savings|target""),""Fixed Deposit"",IF(REGEXMATCH(LOWER(Raw_Data!C412),""airtime""),""Airtime"",IF(REGEXMATCH(LOWER(Raw_Data!C412),""electronic money transfer levy""),""Electronic Money Tr"&amp;"ansfer Levy"",IF(REGEXMATCH(LOWER(Raw_Data!C412),""transfer|trf|send""),""Transfer"",""Other"")))),""Other"")"),"Transfer")</f>
        <v>Transfer</v>
      </c>
      <c r="E406" s="20">
        <v>510.0</v>
      </c>
      <c r="F406" s="20">
        <v>0.0</v>
      </c>
      <c r="G406" s="12" t="str">
        <f t="shared" si="3"/>
        <v>Withdrawal</v>
      </c>
      <c r="H406" s="12" t="str">
        <f>TEXT(Raw_Data!A412,"hh:mm:ss")
</f>
        <v>19:33:07</v>
      </c>
      <c r="I406" s="20">
        <f t="shared" si="4"/>
        <v>510</v>
      </c>
    </row>
    <row r="407">
      <c r="A407" s="12" t="str">
        <f>Raw_Data!A413</f>
        <v>21 Feb 2025 07:43:24</v>
      </c>
      <c r="B407" s="12" t="str">
        <f t="shared" si="1"/>
        <v>February</v>
      </c>
      <c r="C407" s="12">
        <f t="shared" si="2"/>
        <v>2</v>
      </c>
      <c r="D407" s="12" t="str">
        <f>IFERROR(__xludf.DUMMYFUNCTION("IFERROR(IF(REGEXMATCH(LOWER(Raw_Data!C413),""fixed deposit|owealth|savings|target""),""Fixed Deposit"",IF(REGEXMATCH(LOWER(Raw_Data!C413),""airtime""),""Airtime"",IF(REGEXMATCH(LOWER(Raw_Data!C413),""electronic money transfer levy""),""Electronic Money Tr"&amp;"ansfer Levy"",IF(REGEXMATCH(LOWER(Raw_Data!C413),""transfer|trf|send""),""Transfer"",""Other"")))),""Other"")"),"Transfer")</f>
        <v>Transfer</v>
      </c>
      <c r="E407" s="20">
        <v>0.0</v>
      </c>
      <c r="F407" s="20">
        <v>100.0</v>
      </c>
      <c r="G407" s="12" t="str">
        <f t="shared" si="3"/>
        <v>Deposit</v>
      </c>
      <c r="H407" s="12" t="str">
        <f>TEXT(Raw_Data!A413,"hh:mm:ss")
</f>
        <v>07:43:24</v>
      </c>
      <c r="I407" s="20">
        <f t="shared" si="4"/>
        <v>100</v>
      </c>
    </row>
    <row r="408">
      <c r="A408" s="12" t="str">
        <f>Raw_Data!A414</f>
        <v>21 Feb 2025 07:44:34</v>
      </c>
      <c r="B408" s="12" t="str">
        <f t="shared" si="1"/>
        <v>February</v>
      </c>
      <c r="C408" s="12">
        <f t="shared" si="2"/>
        <v>2</v>
      </c>
      <c r="D408" s="12" t="str">
        <f>IFERROR(__xludf.DUMMYFUNCTION("IFERROR(IF(REGEXMATCH(LOWER(Raw_Data!C414),""fixed deposit|owealth|savings|target""),""Fixed Deposit"",IF(REGEXMATCH(LOWER(Raw_Data!C414),""airtime""),""Airtime"",IF(REGEXMATCH(LOWER(Raw_Data!C414),""electronic money transfer levy""),""Electronic Money Tr"&amp;"ansfer Levy"",IF(REGEXMATCH(LOWER(Raw_Data!C414),""transfer|trf|send""),""Transfer"",""Other"")))),""Other"")"),"Transfer")</f>
        <v>Transfer</v>
      </c>
      <c r="E408" s="20">
        <v>400.0</v>
      </c>
      <c r="F408" s="20">
        <v>0.0</v>
      </c>
      <c r="G408" s="12" t="str">
        <f t="shared" si="3"/>
        <v>Withdrawal</v>
      </c>
      <c r="H408" s="12" t="str">
        <f>TEXT(Raw_Data!A414,"hh:mm:ss")
</f>
        <v>07:44:34</v>
      </c>
      <c r="I408" s="20">
        <f t="shared" si="4"/>
        <v>400</v>
      </c>
    </row>
    <row r="409">
      <c r="A409" s="12" t="str">
        <f>Raw_Data!A415</f>
        <v>21 Feb 2025 09:36:29</v>
      </c>
      <c r="B409" s="12" t="str">
        <f t="shared" si="1"/>
        <v>February</v>
      </c>
      <c r="C409" s="12">
        <f t="shared" si="2"/>
        <v>2</v>
      </c>
      <c r="D409" s="12" t="str">
        <f>IFERROR(__xludf.DUMMYFUNCTION("IFERROR(IF(REGEXMATCH(LOWER(Raw_Data!C415),""fixed deposit|owealth|savings|target""),""Fixed Deposit"",IF(REGEXMATCH(LOWER(Raw_Data!C415),""airtime""),""Airtime"",IF(REGEXMATCH(LOWER(Raw_Data!C415),""electronic money transfer levy""),""Electronic Money Tr"&amp;"ansfer Levy"",IF(REGEXMATCH(LOWER(Raw_Data!C415),""transfer|trf|send""),""Transfer"",""Other"")))),""Other"")"),"Transfer")</f>
        <v>Transfer</v>
      </c>
      <c r="E409" s="20">
        <v>200.0</v>
      </c>
      <c r="F409" s="20">
        <v>0.0</v>
      </c>
      <c r="G409" s="12" t="str">
        <f t="shared" si="3"/>
        <v>Withdrawal</v>
      </c>
      <c r="H409" s="12" t="str">
        <f>TEXT(Raw_Data!A415,"hh:mm:ss")
</f>
        <v>09:36:29</v>
      </c>
      <c r="I409" s="20">
        <f t="shared" si="4"/>
        <v>200</v>
      </c>
    </row>
    <row r="410">
      <c r="A410" s="12" t="str">
        <f>Raw_Data!A416</f>
        <v>21 Feb 2025 12:12:03</v>
      </c>
      <c r="B410" s="12" t="str">
        <f t="shared" si="1"/>
        <v>February</v>
      </c>
      <c r="C410" s="12">
        <f t="shared" si="2"/>
        <v>2</v>
      </c>
      <c r="D410" s="12" t="str">
        <f>IFERROR(__xludf.DUMMYFUNCTION("IFERROR(IF(REGEXMATCH(LOWER(Raw_Data!C416),""fixed deposit|owealth|savings|target""),""Fixed Deposit"",IF(REGEXMATCH(LOWER(Raw_Data!C416),""airtime""),""Airtime"",IF(REGEXMATCH(LOWER(Raw_Data!C416),""electronic money transfer levy""),""Electronic Money Tr"&amp;"ansfer Levy"",IF(REGEXMATCH(LOWER(Raw_Data!C416),""transfer|trf|send""),""Transfer"",""Other"")))),""Other"")"),"Transfer")</f>
        <v>Transfer</v>
      </c>
      <c r="E410" s="20">
        <v>150.0</v>
      </c>
      <c r="F410" s="20">
        <v>0.0</v>
      </c>
      <c r="G410" s="12" t="str">
        <f t="shared" si="3"/>
        <v>Withdrawal</v>
      </c>
      <c r="H410" s="12" t="str">
        <f>TEXT(Raw_Data!A416,"hh:mm:ss")
</f>
        <v>12:12:03</v>
      </c>
      <c r="I410" s="20">
        <f t="shared" si="4"/>
        <v>150</v>
      </c>
    </row>
    <row r="411">
      <c r="A411" s="12" t="str">
        <f>Raw_Data!A417</f>
        <v>21 Feb 2025 17:48:51</v>
      </c>
      <c r="B411" s="12" t="str">
        <f t="shared" si="1"/>
        <v>February</v>
      </c>
      <c r="C411" s="12">
        <f t="shared" si="2"/>
        <v>2</v>
      </c>
      <c r="D411" s="12" t="str">
        <f>IFERROR(__xludf.DUMMYFUNCTION("IFERROR(IF(REGEXMATCH(LOWER(Raw_Data!C417),""fixed deposit|owealth|savings|target""),""Fixed Deposit"",IF(REGEXMATCH(LOWER(Raw_Data!C417),""airtime""),""Airtime"",IF(REGEXMATCH(LOWER(Raw_Data!C417),""electronic money transfer levy""),""Electronic Money Tr"&amp;"ansfer Levy"",IF(REGEXMATCH(LOWER(Raw_Data!C417),""transfer|trf|send""),""Transfer"",""Other"")))),""Other"")"),"Transfer")</f>
        <v>Transfer</v>
      </c>
      <c r="E411" s="20">
        <v>250.0</v>
      </c>
      <c r="F411" s="20">
        <v>0.0</v>
      </c>
      <c r="G411" s="12" t="str">
        <f t="shared" si="3"/>
        <v>Withdrawal</v>
      </c>
      <c r="H411" s="12" t="str">
        <f>TEXT(Raw_Data!A417,"hh:mm:ss")
</f>
        <v>17:48:51</v>
      </c>
      <c r="I411" s="20">
        <f t="shared" si="4"/>
        <v>250</v>
      </c>
    </row>
    <row r="412">
      <c r="A412" s="12" t="str">
        <f>Raw_Data!A418</f>
        <v>22 Feb 2025 08:51:02</v>
      </c>
      <c r="B412" s="12" t="str">
        <f t="shared" si="1"/>
        <v>February</v>
      </c>
      <c r="C412" s="12">
        <f t="shared" si="2"/>
        <v>2</v>
      </c>
      <c r="D412" s="12" t="str">
        <f>IFERROR(__xludf.DUMMYFUNCTION("IFERROR(IF(REGEXMATCH(LOWER(Raw_Data!C418),""fixed deposit|owealth|savings|target""),""Fixed Deposit"",IF(REGEXMATCH(LOWER(Raw_Data!C418),""airtime""),""Airtime"",IF(REGEXMATCH(LOWER(Raw_Data!C418),""electronic money transfer levy""),""Electronic Money Tr"&amp;"ansfer Levy"",IF(REGEXMATCH(LOWER(Raw_Data!C418),""transfer|trf|send""),""Transfer"",""Other"")))),""Other"")"),"Transfer")</f>
        <v>Transfer</v>
      </c>
      <c r="E412" s="20">
        <v>0.0</v>
      </c>
      <c r="F412" s="20">
        <v>20000.0</v>
      </c>
      <c r="G412" s="12" t="str">
        <f t="shared" si="3"/>
        <v>Deposit</v>
      </c>
      <c r="H412" s="12" t="str">
        <f>TEXT(Raw_Data!A418,"hh:mm:ss")
</f>
        <v>08:51:02</v>
      </c>
      <c r="I412" s="20">
        <f t="shared" si="4"/>
        <v>20000</v>
      </c>
    </row>
    <row r="413">
      <c r="A413" s="12" t="str">
        <f>Raw_Data!A419</f>
        <v>22 Feb 2025 08:51:07</v>
      </c>
      <c r="B413" s="12" t="str">
        <f t="shared" si="1"/>
        <v>February</v>
      </c>
      <c r="C413" s="12">
        <f t="shared" si="2"/>
        <v>2</v>
      </c>
      <c r="D413" s="12" t="str">
        <f>IFERROR(__xludf.DUMMYFUNCTION("IFERROR(IF(REGEXMATCH(LOWER(Raw_Data!C419),""fixed deposit|owealth|savings|target""),""Fixed Deposit"",IF(REGEXMATCH(LOWER(Raw_Data!C419),""airtime""),""Airtime"",IF(REGEXMATCH(LOWER(Raw_Data!C419),""electronic money transfer levy""),""Electronic Money Tr"&amp;"ansfer Levy"",IF(REGEXMATCH(LOWER(Raw_Data!C419),""transfer|trf|send""),""Transfer"",""Other"")))),""Other"")"),"Electronic Money Transfer Levy")</f>
        <v>Electronic Money Transfer Levy</v>
      </c>
      <c r="E413" s="20">
        <v>50.0</v>
      </c>
      <c r="F413" s="20">
        <v>0.0</v>
      </c>
      <c r="G413" s="12" t="str">
        <f t="shared" si="3"/>
        <v>Withdrawal</v>
      </c>
      <c r="H413" s="12" t="str">
        <f>TEXT(Raw_Data!A419,"hh:mm:ss")
</f>
        <v>08:51:07</v>
      </c>
      <c r="I413" s="20">
        <f t="shared" si="4"/>
        <v>50</v>
      </c>
    </row>
    <row r="414">
      <c r="A414" s="12" t="str">
        <f>Raw_Data!A420</f>
        <v>22 Feb 2025 08:52:05</v>
      </c>
      <c r="B414" s="12" t="str">
        <f t="shared" si="1"/>
        <v>February</v>
      </c>
      <c r="C414" s="12">
        <f t="shared" si="2"/>
        <v>2</v>
      </c>
      <c r="D414" s="12" t="str">
        <f>IFERROR(__xludf.DUMMYFUNCTION("IFERROR(IF(REGEXMATCH(LOWER(Raw_Data!C420),""fixed deposit|owealth|savings|target""),""Fixed Deposit"",IF(REGEXMATCH(LOWER(Raw_Data!C420),""airtime""),""Airtime"",IF(REGEXMATCH(LOWER(Raw_Data!C420),""electronic money transfer levy""),""Electronic Money Tr"&amp;"ansfer Levy"",IF(REGEXMATCH(LOWER(Raw_Data!C420),""transfer|trf|send""),""Transfer"",""Other"")))),""Other"")"),"Transfer")</f>
        <v>Transfer</v>
      </c>
      <c r="E414" s="20">
        <v>200.0</v>
      </c>
      <c r="F414" s="20">
        <v>0.0</v>
      </c>
      <c r="G414" s="12" t="str">
        <f t="shared" si="3"/>
        <v>Withdrawal</v>
      </c>
      <c r="H414" s="12" t="str">
        <f>TEXT(Raw_Data!A420,"hh:mm:ss")
</f>
        <v>08:52:05</v>
      </c>
      <c r="I414" s="20">
        <f t="shared" si="4"/>
        <v>200</v>
      </c>
    </row>
    <row r="415">
      <c r="A415" s="12" t="str">
        <f>Raw_Data!A421</f>
        <v>22 Feb 2025 08:52:42</v>
      </c>
      <c r="B415" s="12" t="str">
        <f t="shared" si="1"/>
        <v>February</v>
      </c>
      <c r="C415" s="12">
        <f t="shared" si="2"/>
        <v>2</v>
      </c>
      <c r="D415" s="12" t="str">
        <f>IFERROR(__xludf.DUMMYFUNCTION("IFERROR(IF(REGEXMATCH(LOWER(Raw_Data!C421),""fixed deposit|owealth|savings|target""),""Fixed Deposit"",IF(REGEXMATCH(LOWER(Raw_Data!C421),""airtime""),""Airtime"",IF(REGEXMATCH(LOWER(Raw_Data!C421),""electronic money transfer levy""),""Electronic Money Tr"&amp;"ansfer Levy"",IF(REGEXMATCH(LOWER(Raw_Data!C421),""transfer|trf|send""),""Transfer"",""Other"")))),""Other"")"),"Transfer")</f>
        <v>Transfer</v>
      </c>
      <c r="E415" s="20">
        <v>5000.0</v>
      </c>
      <c r="F415" s="20">
        <v>0.0</v>
      </c>
      <c r="G415" s="12" t="str">
        <f t="shared" si="3"/>
        <v>Withdrawal</v>
      </c>
      <c r="H415" s="12" t="str">
        <f>TEXT(Raw_Data!A421,"hh:mm:ss")
</f>
        <v>08:52:42</v>
      </c>
      <c r="I415" s="20">
        <f t="shared" si="4"/>
        <v>5000</v>
      </c>
    </row>
    <row r="416">
      <c r="A416" s="12" t="str">
        <f>Raw_Data!A422</f>
        <v>22 Feb 2025 08:58:22</v>
      </c>
      <c r="B416" s="12" t="str">
        <f t="shared" si="1"/>
        <v>February</v>
      </c>
      <c r="C416" s="12">
        <f t="shared" si="2"/>
        <v>2</v>
      </c>
      <c r="D416" s="12" t="str">
        <f>IFERROR(__xludf.DUMMYFUNCTION("IFERROR(IF(REGEXMATCH(LOWER(Raw_Data!C422),""fixed deposit|owealth|savings|target""),""Fixed Deposit"",IF(REGEXMATCH(LOWER(Raw_Data!C422),""airtime""),""Airtime"",IF(REGEXMATCH(LOWER(Raw_Data!C422),""electronic money transfer levy""),""Electronic Money Tr"&amp;"ansfer Levy"",IF(REGEXMATCH(LOWER(Raw_Data!C422),""transfer|trf|send""),""Transfer"",""Other"")))),""Other"")"),"Transfer")</f>
        <v>Transfer</v>
      </c>
      <c r="E416" s="20">
        <v>500.0</v>
      </c>
      <c r="F416" s="20">
        <v>0.0</v>
      </c>
      <c r="G416" s="12" t="str">
        <f t="shared" si="3"/>
        <v>Withdrawal</v>
      </c>
      <c r="H416" s="12" t="str">
        <f>TEXT(Raw_Data!A422,"hh:mm:ss")
</f>
        <v>08:58:22</v>
      </c>
      <c r="I416" s="20">
        <f t="shared" si="4"/>
        <v>500</v>
      </c>
    </row>
    <row r="417">
      <c r="A417" s="12" t="str">
        <f>Raw_Data!A423</f>
        <v>22 Feb 2025 10:32:20</v>
      </c>
      <c r="B417" s="12" t="str">
        <f t="shared" si="1"/>
        <v>February</v>
      </c>
      <c r="C417" s="12">
        <f t="shared" si="2"/>
        <v>2</v>
      </c>
      <c r="D417" s="12" t="str">
        <f>IFERROR(__xludf.DUMMYFUNCTION("IFERROR(IF(REGEXMATCH(LOWER(Raw_Data!C423),""fixed deposit|owealth|savings|target""),""Fixed Deposit"",IF(REGEXMATCH(LOWER(Raw_Data!C423),""airtime""),""Airtime"",IF(REGEXMATCH(LOWER(Raw_Data!C423),""electronic money transfer levy""),""Electronic Money Tr"&amp;"ansfer Levy"",IF(REGEXMATCH(LOWER(Raw_Data!C423),""transfer|trf|send""),""Transfer"",""Other"")))),""Other"")"),"Transfer")</f>
        <v>Transfer</v>
      </c>
      <c r="E417" s="20">
        <v>600.0</v>
      </c>
      <c r="F417" s="20">
        <v>0.0</v>
      </c>
      <c r="G417" s="12" t="str">
        <f t="shared" si="3"/>
        <v>Withdrawal</v>
      </c>
      <c r="H417" s="12" t="str">
        <f>TEXT(Raw_Data!A423,"hh:mm:ss")
</f>
        <v>10:32:20</v>
      </c>
      <c r="I417" s="20">
        <f t="shared" si="4"/>
        <v>600</v>
      </c>
    </row>
    <row r="418">
      <c r="A418" s="12" t="str">
        <f>Raw_Data!A424</f>
        <v>22 Feb 2025 11:56:12</v>
      </c>
      <c r="B418" s="12" t="str">
        <f t="shared" si="1"/>
        <v>February</v>
      </c>
      <c r="C418" s="12">
        <f t="shared" si="2"/>
        <v>2</v>
      </c>
      <c r="D418" s="12" t="str">
        <f>IFERROR(__xludf.DUMMYFUNCTION("IFERROR(IF(REGEXMATCH(LOWER(Raw_Data!C424),""fixed deposit|owealth|savings|target""),""Fixed Deposit"",IF(REGEXMATCH(LOWER(Raw_Data!C424),""airtime""),""Airtime"",IF(REGEXMATCH(LOWER(Raw_Data!C424),""electronic money transfer levy""),""Electronic Money Tr"&amp;"ansfer Levy"",IF(REGEXMATCH(LOWER(Raw_Data!C424),""transfer|trf|send""),""Transfer"",""Other"")))),""Other"")"),"Other")</f>
        <v>Other</v>
      </c>
      <c r="E418" s="20">
        <v>540.0</v>
      </c>
      <c r="F418" s="20">
        <v>0.0</v>
      </c>
      <c r="G418" s="12" t="str">
        <f t="shared" si="3"/>
        <v>Withdrawal</v>
      </c>
      <c r="H418" s="12" t="str">
        <f>TEXT(Raw_Data!A424,"hh:mm:ss")
</f>
        <v>11:56:12</v>
      </c>
      <c r="I418" s="20">
        <f t="shared" si="4"/>
        <v>540</v>
      </c>
    </row>
    <row r="419">
      <c r="A419" s="12" t="str">
        <f>Raw_Data!A425</f>
        <v>22 Feb 2025 12:23:30</v>
      </c>
      <c r="B419" s="12" t="str">
        <f t="shared" si="1"/>
        <v>February</v>
      </c>
      <c r="C419" s="12">
        <f t="shared" si="2"/>
        <v>2</v>
      </c>
      <c r="D419" s="12" t="str">
        <f>IFERROR(__xludf.DUMMYFUNCTION("IFERROR(IF(REGEXMATCH(LOWER(Raw_Data!C425),""fixed deposit|owealth|savings|target""),""Fixed Deposit"",IF(REGEXMATCH(LOWER(Raw_Data!C425),""airtime""),""Airtime"",IF(REGEXMATCH(LOWER(Raw_Data!C425),""electronic money transfer levy""),""Electronic Money Tr"&amp;"ansfer Levy"",IF(REGEXMATCH(LOWER(Raw_Data!C425),""transfer|trf|send""),""Transfer"",""Other"")))),""Other"")"),"Transfer")</f>
        <v>Transfer</v>
      </c>
      <c r="E419" s="20">
        <v>0.0</v>
      </c>
      <c r="F419" s="20">
        <v>300.0</v>
      </c>
      <c r="G419" s="12" t="str">
        <f t="shared" si="3"/>
        <v>Deposit</v>
      </c>
      <c r="H419" s="12" t="str">
        <f>TEXT(Raw_Data!A425,"hh:mm:ss")
</f>
        <v>12:23:30</v>
      </c>
      <c r="I419" s="20">
        <f t="shared" si="4"/>
        <v>300</v>
      </c>
    </row>
    <row r="420">
      <c r="A420" s="12" t="str">
        <f>Raw_Data!A426</f>
        <v>22 Feb 2025 17:45:09</v>
      </c>
      <c r="B420" s="12" t="str">
        <f t="shared" si="1"/>
        <v>February</v>
      </c>
      <c r="C420" s="12">
        <f t="shared" si="2"/>
        <v>2</v>
      </c>
      <c r="D420" s="12" t="str">
        <f>IFERROR(__xludf.DUMMYFUNCTION("IFERROR(IF(REGEXMATCH(LOWER(Raw_Data!C426),""fixed deposit|owealth|savings|target""),""Fixed Deposit"",IF(REGEXMATCH(LOWER(Raw_Data!C426),""airtime""),""Airtime"",IF(REGEXMATCH(LOWER(Raw_Data!C426),""electronic money transfer levy""),""Electronic Money Tr"&amp;"ansfer Levy"",IF(REGEXMATCH(LOWER(Raw_Data!C426),""transfer|trf|send""),""Transfer"",""Other"")))),""Other"")"),"Transfer")</f>
        <v>Transfer</v>
      </c>
      <c r="E420" s="20">
        <v>200.0</v>
      </c>
      <c r="F420" s="20">
        <v>0.0</v>
      </c>
      <c r="G420" s="12" t="str">
        <f t="shared" si="3"/>
        <v>Withdrawal</v>
      </c>
      <c r="H420" s="12" t="str">
        <f>TEXT(Raw_Data!A426,"hh:mm:ss")
</f>
        <v>17:45:09</v>
      </c>
      <c r="I420" s="20">
        <f t="shared" si="4"/>
        <v>200</v>
      </c>
    </row>
    <row r="421">
      <c r="A421" s="12" t="str">
        <f>Raw_Data!A427</f>
        <v>22 Feb 2025 17:46:01</v>
      </c>
      <c r="B421" s="12" t="str">
        <f t="shared" si="1"/>
        <v>February</v>
      </c>
      <c r="C421" s="12">
        <f t="shared" si="2"/>
        <v>2</v>
      </c>
      <c r="D421" s="12" t="str">
        <f>IFERROR(__xludf.DUMMYFUNCTION("IFERROR(IF(REGEXMATCH(LOWER(Raw_Data!C427),""fixed deposit|owealth|savings|target""),""Fixed Deposit"",IF(REGEXMATCH(LOWER(Raw_Data!C427),""airtime""),""Airtime"",IF(REGEXMATCH(LOWER(Raw_Data!C427),""electronic money transfer levy""),""Electronic Money Tr"&amp;"ansfer Levy"",IF(REGEXMATCH(LOWER(Raw_Data!C427),""transfer|trf|send""),""Transfer"",""Other"")))),""Other"")"),"Transfer")</f>
        <v>Transfer</v>
      </c>
      <c r="E421" s="20">
        <v>1000.0</v>
      </c>
      <c r="F421" s="20">
        <v>0.0</v>
      </c>
      <c r="G421" s="12" t="str">
        <f t="shared" si="3"/>
        <v>Withdrawal</v>
      </c>
      <c r="H421" s="12" t="str">
        <f>TEXT(Raw_Data!A427,"hh:mm:ss")
</f>
        <v>17:46:01</v>
      </c>
      <c r="I421" s="20">
        <f t="shared" si="4"/>
        <v>1000</v>
      </c>
    </row>
    <row r="422">
      <c r="A422" s="12" t="str">
        <f>Raw_Data!A428</f>
        <v>22 Feb 2025 19:13:36</v>
      </c>
      <c r="B422" s="12" t="str">
        <f t="shared" si="1"/>
        <v>February</v>
      </c>
      <c r="C422" s="12">
        <f t="shared" si="2"/>
        <v>2</v>
      </c>
      <c r="D422" s="12" t="str">
        <f>IFERROR(__xludf.DUMMYFUNCTION("IFERROR(IF(REGEXMATCH(LOWER(Raw_Data!C428),""fixed deposit|owealth|savings|target""),""Fixed Deposit"",IF(REGEXMATCH(LOWER(Raw_Data!C428),""airtime""),""Airtime"",IF(REGEXMATCH(LOWER(Raw_Data!C428),""electronic money transfer levy""),""Electronic Money Tr"&amp;"ansfer Levy"",IF(REGEXMATCH(LOWER(Raw_Data!C428),""transfer|trf|send""),""Transfer"",""Other"")))),""Other"")"),"Transfer")</f>
        <v>Transfer</v>
      </c>
      <c r="E422" s="20">
        <v>1000.0</v>
      </c>
      <c r="F422" s="20">
        <v>0.0</v>
      </c>
      <c r="G422" s="12" t="str">
        <f t="shared" si="3"/>
        <v>Withdrawal</v>
      </c>
      <c r="H422" s="12" t="str">
        <f>TEXT(Raw_Data!A428,"hh:mm:ss")
</f>
        <v>19:13:36</v>
      </c>
      <c r="I422" s="20">
        <f t="shared" si="4"/>
        <v>1000</v>
      </c>
    </row>
    <row r="423">
      <c r="A423" s="12" t="str">
        <f>Raw_Data!A429</f>
        <v>22 Feb 2025 19:14:38</v>
      </c>
      <c r="B423" s="12" t="str">
        <f t="shared" si="1"/>
        <v>February</v>
      </c>
      <c r="C423" s="12">
        <f t="shared" si="2"/>
        <v>2</v>
      </c>
      <c r="D423" s="12" t="str">
        <f>IFERROR(__xludf.DUMMYFUNCTION("IFERROR(IF(REGEXMATCH(LOWER(Raw_Data!C429),""fixed deposit|owealth|savings|target""),""Fixed Deposit"",IF(REGEXMATCH(LOWER(Raw_Data!C429),""airtime""),""Airtime"",IF(REGEXMATCH(LOWER(Raw_Data!C429),""electronic money transfer levy""),""Electronic Money Tr"&amp;"ansfer Levy"",IF(REGEXMATCH(LOWER(Raw_Data!C429),""transfer|trf|send""),""Transfer"",""Other"")))),""Other"")"),"Airtime")</f>
        <v>Airtime</v>
      </c>
      <c r="E423" s="20">
        <v>500.0</v>
      </c>
      <c r="F423" s="20">
        <v>0.0</v>
      </c>
      <c r="G423" s="12" t="str">
        <f t="shared" si="3"/>
        <v>Withdrawal</v>
      </c>
      <c r="H423" s="12" t="str">
        <f>TEXT(Raw_Data!A429,"hh:mm:ss")
</f>
        <v>19:14:38</v>
      </c>
      <c r="I423" s="20">
        <f t="shared" si="4"/>
        <v>500</v>
      </c>
    </row>
    <row r="424">
      <c r="A424" s="12" t="str">
        <f>Raw_Data!A430</f>
        <v>23 Feb 2025 07:20:48</v>
      </c>
      <c r="B424" s="12" t="str">
        <f t="shared" si="1"/>
        <v>February</v>
      </c>
      <c r="C424" s="12">
        <f t="shared" si="2"/>
        <v>2</v>
      </c>
      <c r="D424" s="12" t="str">
        <f>IFERROR(__xludf.DUMMYFUNCTION("IFERROR(IF(REGEXMATCH(LOWER(Raw_Data!C430),""fixed deposit|owealth|savings|target""),""Fixed Deposit"",IF(REGEXMATCH(LOWER(Raw_Data!C430),""airtime""),""Airtime"",IF(REGEXMATCH(LOWER(Raw_Data!C430),""electronic money transfer levy""),""Electronic Money Tr"&amp;"ansfer Levy"",IF(REGEXMATCH(LOWER(Raw_Data!C430),""transfer|trf|send""),""Transfer"",""Other"")))),""Other"")"),"Transfer")</f>
        <v>Transfer</v>
      </c>
      <c r="E424" s="20">
        <v>1000.0</v>
      </c>
      <c r="F424" s="20">
        <v>0.0</v>
      </c>
      <c r="G424" s="12" t="str">
        <f t="shared" si="3"/>
        <v>Withdrawal</v>
      </c>
      <c r="H424" s="12" t="str">
        <f>TEXT(Raw_Data!A430,"hh:mm:ss")
</f>
        <v>07:20:48</v>
      </c>
      <c r="I424" s="20">
        <f t="shared" si="4"/>
        <v>1000</v>
      </c>
    </row>
    <row r="425">
      <c r="A425" s="12" t="str">
        <f>Raw_Data!A431</f>
        <v>23 Feb 2025 10:26:51</v>
      </c>
      <c r="B425" s="12" t="str">
        <f t="shared" si="1"/>
        <v>February</v>
      </c>
      <c r="C425" s="12">
        <f t="shared" si="2"/>
        <v>2</v>
      </c>
      <c r="D425" s="12" t="str">
        <f>IFERROR(__xludf.DUMMYFUNCTION("IFERROR(IF(REGEXMATCH(LOWER(Raw_Data!C431),""fixed deposit|owealth|savings|target""),""Fixed Deposit"",IF(REGEXMATCH(LOWER(Raw_Data!C431),""airtime""),""Airtime"",IF(REGEXMATCH(LOWER(Raw_Data!C431),""electronic money transfer levy""),""Electronic Money Tr"&amp;"ansfer Levy"",IF(REGEXMATCH(LOWER(Raw_Data!C431),""transfer|trf|send""),""Transfer"",""Other"")))),""Other"")"),"Transfer")</f>
        <v>Transfer</v>
      </c>
      <c r="E425" s="20">
        <v>500.0</v>
      </c>
      <c r="F425" s="20">
        <v>0.0</v>
      </c>
      <c r="G425" s="12" t="str">
        <f t="shared" si="3"/>
        <v>Withdrawal</v>
      </c>
      <c r="H425" s="12" t="str">
        <f>TEXT(Raw_Data!A431,"hh:mm:ss")
</f>
        <v>10:26:51</v>
      </c>
      <c r="I425" s="20">
        <f t="shared" si="4"/>
        <v>500</v>
      </c>
    </row>
    <row r="426">
      <c r="A426" s="12" t="str">
        <f>Raw_Data!A432</f>
        <v>23 Feb 2025 10:53:16</v>
      </c>
      <c r="B426" s="12" t="str">
        <f t="shared" si="1"/>
        <v>February</v>
      </c>
      <c r="C426" s="12">
        <f t="shared" si="2"/>
        <v>2</v>
      </c>
      <c r="D426" s="12" t="str">
        <f>IFERROR(__xludf.DUMMYFUNCTION("IFERROR(IF(REGEXMATCH(LOWER(Raw_Data!C432),""fixed deposit|owealth|savings|target""),""Fixed Deposit"",IF(REGEXMATCH(LOWER(Raw_Data!C432),""airtime""),""Airtime"",IF(REGEXMATCH(LOWER(Raw_Data!C432),""electronic money transfer levy""),""Electronic Money Tr"&amp;"ansfer Levy"",IF(REGEXMATCH(LOWER(Raw_Data!C432),""transfer|trf|send""),""Transfer"",""Other"")))),""Other"")"),"Transfer")</f>
        <v>Transfer</v>
      </c>
      <c r="E426" s="20">
        <v>250.0</v>
      </c>
      <c r="F426" s="20">
        <v>0.0</v>
      </c>
      <c r="G426" s="12" t="str">
        <f t="shared" si="3"/>
        <v>Withdrawal</v>
      </c>
      <c r="H426" s="12" t="str">
        <f>TEXT(Raw_Data!A432,"hh:mm:ss")
</f>
        <v>10:53:16</v>
      </c>
      <c r="I426" s="20">
        <f t="shared" si="4"/>
        <v>250</v>
      </c>
    </row>
    <row r="427">
      <c r="A427" s="12" t="str">
        <f>Raw_Data!A433</f>
        <v>23 Feb 2025 12:54:08</v>
      </c>
      <c r="B427" s="12" t="str">
        <f t="shared" si="1"/>
        <v>February</v>
      </c>
      <c r="C427" s="12">
        <f t="shared" si="2"/>
        <v>2</v>
      </c>
      <c r="D427" s="12" t="str">
        <f>IFERROR(__xludf.DUMMYFUNCTION("IFERROR(IF(REGEXMATCH(LOWER(Raw_Data!C433),""fixed deposit|owealth|savings|target""),""Fixed Deposit"",IF(REGEXMATCH(LOWER(Raw_Data!C433),""airtime""),""Airtime"",IF(REGEXMATCH(LOWER(Raw_Data!C433),""electronic money transfer levy""),""Electronic Money Tr"&amp;"ansfer Levy"",IF(REGEXMATCH(LOWER(Raw_Data!C433),""transfer|trf|send""),""Transfer"",""Other"")))),""Other"")"),"Transfer")</f>
        <v>Transfer</v>
      </c>
      <c r="E427" s="20">
        <v>200.0</v>
      </c>
      <c r="F427" s="20">
        <v>0.0</v>
      </c>
      <c r="G427" s="12" t="str">
        <f t="shared" si="3"/>
        <v>Withdrawal</v>
      </c>
      <c r="H427" s="12" t="str">
        <f>TEXT(Raw_Data!A433,"hh:mm:ss")
</f>
        <v>12:54:08</v>
      </c>
      <c r="I427" s="20">
        <f t="shared" si="4"/>
        <v>200</v>
      </c>
    </row>
    <row r="428">
      <c r="A428" s="12" t="str">
        <f>Raw_Data!A434</f>
        <v>23 Feb 2025 13:29:50</v>
      </c>
      <c r="B428" s="12" t="str">
        <f t="shared" si="1"/>
        <v>February</v>
      </c>
      <c r="C428" s="12">
        <f t="shared" si="2"/>
        <v>2</v>
      </c>
      <c r="D428" s="12" t="str">
        <f>IFERROR(__xludf.DUMMYFUNCTION("IFERROR(IF(REGEXMATCH(LOWER(Raw_Data!C434),""fixed deposit|owealth|savings|target""),""Fixed Deposit"",IF(REGEXMATCH(LOWER(Raw_Data!C434),""airtime""),""Airtime"",IF(REGEXMATCH(LOWER(Raw_Data!C434),""electronic money transfer levy""),""Electronic Money Tr"&amp;"ansfer Levy"",IF(REGEXMATCH(LOWER(Raw_Data!C434),""transfer|trf|send""),""Transfer"",""Other"")))),""Other"")"),"Transfer")</f>
        <v>Transfer</v>
      </c>
      <c r="E428" s="20">
        <v>500.0</v>
      </c>
      <c r="F428" s="20">
        <v>0.0</v>
      </c>
      <c r="G428" s="12" t="str">
        <f t="shared" si="3"/>
        <v>Withdrawal</v>
      </c>
      <c r="H428" s="12" t="str">
        <f>TEXT(Raw_Data!A434,"hh:mm:ss")
</f>
        <v>13:29:50</v>
      </c>
      <c r="I428" s="20">
        <f t="shared" si="4"/>
        <v>500</v>
      </c>
    </row>
    <row r="429">
      <c r="A429" s="12" t="str">
        <f>Raw_Data!A435</f>
        <v>23 Feb 2025 14:40:57</v>
      </c>
      <c r="B429" s="12" t="str">
        <f t="shared" si="1"/>
        <v>February</v>
      </c>
      <c r="C429" s="12">
        <f t="shared" si="2"/>
        <v>2</v>
      </c>
      <c r="D429" s="12" t="str">
        <f>IFERROR(__xludf.DUMMYFUNCTION("IFERROR(IF(REGEXMATCH(LOWER(Raw_Data!C435),""fixed deposit|owealth|savings|target""),""Fixed Deposit"",IF(REGEXMATCH(LOWER(Raw_Data!C435),""airtime""),""Airtime"",IF(REGEXMATCH(LOWER(Raw_Data!C435),""electronic money transfer levy""),""Electronic Money Tr"&amp;"ansfer Levy"",IF(REGEXMATCH(LOWER(Raw_Data!C435),""transfer|trf|send""),""Transfer"",""Other"")))),""Other"")"),"Airtime")</f>
        <v>Airtime</v>
      </c>
      <c r="E429" s="20">
        <v>500.0</v>
      </c>
      <c r="F429" s="20">
        <v>0.0</v>
      </c>
      <c r="G429" s="12" t="str">
        <f t="shared" si="3"/>
        <v>Withdrawal</v>
      </c>
      <c r="H429" s="12" t="str">
        <f>TEXT(Raw_Data!A435,"hh:mm:ss")
</f>
        <v>14:40:57</v>
      </c>
      <c r="I429" s="20">
        <f t="shared" si="4"/>
        <v>500</v>
      </c>
    </row>
    <row r="430">
      <c r="A430" s="12" t="str">
        <f>Raw_Data!A436</f>
        <v>24 Feb 2025 15:18:02</v>
      </c>
      <c r="B430" s="12" t="str">
        <f t="shared" si="1"/>
        <v>February</v>
      </c>
      <c r="C430" s="12">
        <f t="shared" si="2"/>
        <v>2</v>
      </c>
      <c r="D430" s="12" t="str">
        <f>IFERROR(__xludf.DUMMYFUNCTION("IFERROR(IF(REGEXMATCH(LOWER(Raw_Data!C436),""fixed deposit|owealth|savings|target""),""Fixed Deposit"",IF(REGEXMATCH(LOWER(Raw_Data!C436),""airtime""),""Airtime"",IF(REGEXMATCH(LOWER(Raw_Data!C436),""electronic money transfer levy""),""Electronic Money Tr"&amp;"ansfer Levy"",IF(REGEXMATCH(LOWER(Raw_Data!C436),""transfer|trf|send""),""Transfer"",""Other"")))),""Other"")"),"Transfer")</f>
        <v>Transfer</v>
      </c>
      <c r="E430" s="20">
        <v>940.0</v>
      </c>
      <c r="F430" s="20">
        <v>0.0</v>
      </c>
      <c r="G430" s="12" t="str">
        <f t="shared" si="3"/>
        <v>Withdrawal</v>
      </c>
      <c r="H430" s="12" t="str">
        <f>TEXT(Raw_Data!A436,"hh:mm:ss")
</f>
        <v>15:18:02</v>
      </c>
      <c r="I430" s="20">
        <f t="shared" si="4"/>
        <v>940</v>
      </c>
    </row>
    <row r="431">
      <c r="A431" s="12" t="str">
        <f>Raw_Data!A437</f>
        <v>24 Feb 2025 20:21:31</v>
      </c>
      <c r="B431" s="12" t="str">
        <f t="shared" si="1"/>
        <v>February</v>
      </c>
      <c r="C431" s="12">
        <f t="shared" si="2"/>
        <v>2</v>
      </c>
      <c r="D431" s="12" t="str">
        <f>IFERROR(__xludf.DUMMYFUNCTION("IFERROR(IF(REGEXMATCH(LOWER(Raw_Data!C437),""fixed deposit|owealth|savings|target""),""Fixed Deposit"",IF(REGEXMATCH(LOWER(Raw_Data!C437),""airtime""),""Airtime"",IF(REGEXMATCH(LOWER(Raw_Data!C437),""electronic money transfer levy""),""Electronic Money Tr"&amp;"ansfer Levy"",IF(REGEXMATCH(LOWER(Raw_Data!C437),""transfer|trf|send""),""Transfer"",""Other"")))),""Other"")"),"Transfer")</f>
        <v>Transfer</v>
      </c>
      <c r="E431" s="20">
        <v>150.0</v>
      </c>
      <c r="F431" s="20">
        <v>0.0</v>
      </c>
      <c r="G431" s="12" t="str">
        <f t="shared" si="3"/>
        <v>Withdrawal</v>
      </c>
      <c r="H431" s="12" t="str">
        <f>TEXT(Raw_Data!A437,"hh:mm:ss")
</f>
        <v>20:21:31</v>
      </c>
      <c r="I431" s="20">
        <f t="shared" si="4"/>
        <v>150</v>
      </c>
    </row>
    <row r="432">
      <c r="A432" s="12" t="str">
        <f>Raw_Data!A438</f>
        <v>24 Feb 2025 20:52:05</v>
      </c>
      <c r="B432" s="12" t="str">
        <f t="shared" si="1"/>
        <v>February</v>
      </c>
      <c r="C432" s="12">
        <f t="shared" si="2"/>
        <v>2</v>
      </c>
      <c r="D432" s="12" t="str">
        <f>IFERROR(__xludf.DUMMYFUNCTION("IFERROR(IF(REGEXMATCH(LOWER(Raw_Data!C438),""fixed deposit|owealth|savings|target""),""Fixed Deposit"",IF(REGEXMATCH(LOWER(Raw_Data!C438),""airtime""),""Airtime"",IF(REGEXMATCH(LOWER(Raw_Data!C438),""electronic money transfer levy""),""Electronic Money Tr"&amp;"ansfer Levy"",IF(REGEXMATCH(LOWER(Raw_Data!C438),""transfer|trf|send""),""Transfer"",""Other"")))),""Other"")"),"Transfer")</f>
        <v>Transfer</v>
      </c>
      <c r="E432" s="20">
        <v>500.0</v>
      </c>
      <c r="F432" s="20">
        <v>0.0</v>
      </c>
      <c r="G432" s="12" t="str">
        <f t="shared" si="3"/>
        <v>Withdrawal</v>
      </c>
      <c r="H432" s="12" t="str">
        <f>TEXT(Raw_Data!A438,"hh:mm:ss")
</f>
        <v>20:52:05</v>
      </c>
      <c r="I432" s="20">
        <f t="shared" si="4"/>
        <v>500</v>
      </c>
    </row>
    <row r="433">
      <c r="A433" s="12" t="str">
        <f>Raw_Data!A439</f>
        <v>25 Feb 2025 11:21:15</v>
      </c>
      <c r="B433" s="12" t="str">
        <f t="shared" si="1"/>
        <v>February</v>
      </c>
      <c r="C433" s="12">
        <f t="shared" si="2"/>
        <v>2</v>
      </c>
      <c r="D433" s="12" t="str">
        <f>IFERROR(__xludf.DUMMYFUNCTION("IFERROR(IF(REGEXMATCH(LOWER(Raw_Data!C439),""fixed deposit|owealth|savings|target""),""Fixed Deposit"",IF(REGEXMATCH(LOWER(Raw_Data!C439),""airtime""),""Airtime"",IF(REGEXMATCH(LOWER(Raw_Data!C439),""electronic money transfer levy""),""Electronic Money Tr"&amp;"ansfer Levy"",IF(REGEXMATCH(LOWER(Raw_Data!C439),""transfer|trf|send""),""Transfer"",""Other"")))),""Other"")"),"Transfer")</f>
        <v>Transfer</v>
      </c>
      <c r="E433" s="20">
        <v>1400.0</v>
      </c>
      <c r="F433" s="20">
        <v>0.0</v>
      </c>
      <c r="G433" s="12" t="str">
        <f t="shared" si="3"/>
        <v>Withdrawal</v>
      </c>
      <c r="H433" s="12" t="str">
        <f>TEXT(Raw_Data!A439,"hh:mm:ss")
</f>
        <v>11:21:15</v>
      </c>
      <c r="I433" s="20">
        <f t="shared" si="4"/>
        <v>1400</v>
      </c>
    </row>
    <row r="434">
      <c r="A434" s="12" t="str">
        <f>Raw_Data!A440</f>
        <v>25 Feb 2025 12:07:08</v>
      </c>
      <c r="B434" s="12" t="str">
        <f t="shared" si="1"/>
        <v>February</v>
      </c>
      <c r="C434" s="12">
        <f t="shared" si="2"/>
        <v>2</v>
      </c>
      <c r="D434" s="12" t="str">
        <f>IFERROR(__xludf.DUMMYFUNCTION("IFERROR(IF(REGEXMATCH(LOWER(Raw_Data!C440),""fixed deposit|owealth|savings|target""),""Fixed Deposit"",IF(REGEXMATCH(LOWER(Raw_Data!C440),""airtime""),""Airtime"",IF(REGEXMATCH(LOWER(Raw_Data!C440),""electronic money transfer levy""),""Electronic Money Tr"&amp;"ansfer Levy"",IF(REGEXMATCH(LOWER(Raw_Data!C440),""transfer|trf|send""),""Transfer"",""Other"")))),""Other"")"),"Transfer")</f>
        <v>Transfer</v>
      </c>
      <c r="E434" s="20">
        <v>700.0</v>
      </c>
      <c r="F434" s="20">
        <v>0.0</v>
      </c>
      <c r="G434" s="12" t="str">
        <f t="shared" si="3"/>
        <v>Withdrawal</v>
      </c>
      <c r="H434" s="12" t="str">
        <f>TEXT(Raw_Data!A440,"hh:mm:ss")
</f>
        <v>12:07:08</v>
      </c>
      <c r="I434" s="20">
        <f t="shared" si="4"/>
        <v>700</v>
      </c>
    </row>
    <row r="435">
      <c r="A435" s="12" t="str">
        <f>Raw_Data!A441</f>
        <v>25 Feb 2025 13:03:33</v>
      </c>
      <c r="B435" s="12" t="str">
        <f t="shared" si="1"/>
        <v>February</v>
      </c>
      <c r="C435" s="12">
        <f t="shared" si="2"/>
        <v>2</v>
      </c>
      <c r="D435" s="12" t="str">
        <f>IFERROR(__xludf.DUMMYFUNCTION("IFERROR(IF(REGEXMATCH(LOWER(Raw_Data!C441),""fixed deposit|owealth|savings|target""),""Fixed Deposit"",IF(REGEXMATCH(LOWER(Raw_Data!C441),""airtime""),""Airtime"",IF(REGEXMATCH(LOWER(Raw_Data!C441),""electronic money transfer levy""),""Electronic Money Tr"&amp;"ansfer Levy"",IF(REGEXMATCH(LOWER(Raw_Data!C441),""transfer|trf|send""),""Transfer"",""Other"")))),""Other"")"),"Transfer")</f>
        <v>Transfer</v>
      </c>
      <c r="E435" s="20">
        <v>1500.0</v>
      </c>
      <c r="F435" s="20">
        <v>0.0</v>
      </c>
      <c r="G435" s="12" t="str">
        <f t="shared" si="3"/>
        <v>Withdrawal</v>
      </c>
      <c r="H435" s="12" t="str">
        <f>TEXT(Raw_Data!A441,"hh:mm:ss")
</f>
        <v>13:03:33</v>
      </c>
      <c r="I435" s="20">
        <f t="shared" si="4"/>
        <v>1500</v>
      </c>
    </row>
    <row r="436">
      <c r="A436" s="12" t="str">
        <f>Raw_Data!A442</f>
        <v>25 Feb 2025 19:59:50</v>
      </c>
      <c r="B436" s="12" t="str">
        <f t="shared" si="1"/>
        <v>February</v>
      </c>
      <c r="C436" s="12">
        <f t="shared" si="2"/>
        <v>2</v>
      </c>
      <c r="D436" s="12" t="str">
        <f>IFERROR(__xludf.DUMMYFUNCTION("IFERROR(IF(REGEXMATCH(LOWER(Raw_Data!C442),""fixed deposit|owealth|savings|target""),""Fixed Deposit"",IF(REGEXMATCH(LOWER(Raw_Data!C442),""airtime""),""Airtime"",IF(REGEXMATCH(LOWER(Raw_Data!C442),""electronic money transfer levy""),""Electronic Money Tr"&amp;"ansfer Levy"",IF(REGEXMATCH(LOWER(Raw_Data!C442),""transfer|trf|send""),""Transfer"",""Other"")))),""Other"")"),"Transfer")</f>
        <v>Transfer</v>
      </c>
      <c r="E436" s="20">
        <v>1000.0</v>
      </c>
      <c r="F436" s="20">
        <v>0.0</v>
      </c>
      <c r="G436" s="12" t="str">
        <f t="shared" si="3"/>
        <v>Withdrawal</v>
      </c>
      <c r="H436" s="12" t="str">
        <f>TEXT(Raw_Data!A442,"hh:mm:ss")
</f>
        <v>19:59:50</v>
      </c>
      <c r="I436" s="20">
        <f t="shared" si="4"/>
        <v>1000</v>
      </c>
    </row>
    <row r="437">
      <c r="A437" s="12" t="str">
        <f>Raw_Data!A443</f>
        <v>25 Feb 2025 21:05:45</v>
      </c>
      <c r="B437" s="12" t="str">
        <f t="shared" si="1"/>
        <v>February</v>
      </c>
      <c r="C437" s="12">
        <f t="shared" si="2"/>
        <v>2</v>
      </c>
      <c r="D437" s="12" t="str">
        <f>IFERROR(__xludf.DUMMYFUNCTION("IFERROR(IF(REGEXMATCH(LOWER(Raw_Data!C443),""fixed deposit|owealth|savings|target""),""Fixed Deposit"",IF(REGEXMATCH(LOWER(Raw_Data!C443),""airtime""),""Airtime"",IF(REGEXMATCH(LOWER(Raw_Data!C443),""electronic money transfer levy""),""Electronic Money Tr"&amp;"ansfer Levy"",IF(REGEXMATCH(LOWER(Raw_Data!C443),""transfer|trf|send""),""Transfer"",""Other"")))),""Other"")"),"Transfer")</f>
        <v>Transfer</v>
      </c>
      <c r="E437" s="20">
        <v>1000.0</v>
      </c>
      <c r="F437" s="20">
        <v>0.0</v>
      </c>
      <c r="G437" s="12" t="str">
        <f t="shared" si="3"/>
        <v>Withdrawal</v>
      </c>
      <c r="H437" s="12" t="str">
        <f>TEXT(Raw_Data!A443,"hh:mm:ss")
</f>
        <v>21:05:45</v>
      </c>
      <c r="I437" s="20">
        <f t="shared" si="4"/>
        <v>1000</v>
      </c>
    </row>
    <row r="438">
      <c r="A438" s="12" t="str">
        <f>Raw_Data!A444</f>
        <v>26 Feb 2025 06:31:23</v>
      </c>
      <c r="B438" s="12" t="str">
        <f t="shared" si="1"/>
        <v>February</v>
      </c>
      <c r="C438" s="12">
        <f t="shared" si="2"/>
        <v>2</v>
      </c>
      <c r="D438" s="12" t="str">
        <f>IFERROR(__xludf.DUMMYFUNCTION("IFERROR(IF(REGEXMATCH(LOWER(Raw_Data!C444),""fixed deposit|owealth|savings|target""),""Fixed Deposit"",IF(REGEXMATCH(LOWER(Raw_Data!C444),""airtime""),""Airtime"",IF(REGEXMATCH(LOWER(Raw_Data!C444),""electronic money transfer levy""),""Electronic Money Tr"&amp;"ansfer Levy"",IF(REGEXMATCH(LOWER(Raw_Data!C444),""transfer|trf|send""),""Transfer"",""Other"")))),""Other"")"),"Transfer")</f>
        <v>Transfer</v>
      </c>
      <c r="E438" s="20">
        <v>200.0</v>
      </c>
      <c r="F438" s="20">
        <v>0.0</v>
      </c>
      <c r="G438" s="12" t="str">
        <f t="shared" si="3"/>
        <v>Withdrawal</v>
      </c>
      <c r="H438" s="12" t="str">
        <f>TEXT(Raw_Data!A444,"hh:mm:ss")
</f>
        <v>06:31:23</v>
      </c>
      <c r="I438" s="20">
        <f t="shared" si="4"/>
        <v>200</v>
      </c>
    </row>
    <row r="439">
      <c r="A439" s="12" t="str">
        <f>Raw_Data!A445</f>
        <v>26 Feb 2025 07:12:10</v>
      </c>
      <c r="B439" s="12" t="str">
        <f t="shared" si="1"/>
        <v>February</v>
      </c>
      <c r="C439" s="12">
        <f t="shared" si="2"/>
        <v>2</v>
      </c>
      <c r="D439" s="12" t="str">
        <f>IFERROR(__xludf.DUMMYFUNCTION("IFERROR(IF(REGEXMATCH(LOWER(Raw_Data!C445),""fixed deposit|owealth|savings|target""),""Fixed Deposit"",IF(REGEXMATCH(LOWER(Raw_Data!C445),""airtime""),""Airtime"",IF(REGEXMATCH(LOWER(Raw_Data!C445),""electronic money transfer levy""),""Electronic Money Tr"&amp;"ansfer Levy"",IF(REGEXMATCH(LOWER(Raw_Data!C445),""transfer|trf|send""),""Transfer"",""Other"")))),""Other"")"),"Transfer")</f>
        <v>Transfer</v>
      </c>
      <c r="E439" s="20">
        <v>580.0</v>
      </c>
      <c r="F439" s="20">
        <v>0.0</v>
      </c>
      <c r="G439" s="12" t="str">
        <f t="shared" si="3"/>
        <v>Withdrawal</v>
      </c>
      <c r="H439" s="12" t="str">
        <f>TEXT(Raw_Data!A445,"hh:mm:ss")
</f>
        <v>07:12:10</v>
      </c>
      <c r="I439" s="20">
        <f t="shared" si="4"/>
        <v>580</v>
      </c>
    </row>
    <row r="440">
      <c r="A440" s="12" t="str">
        <f>Raw_Data!A446</f>
        <v>26 Feb 2025 12:38:48</v>
      </c>
      <c r="B440" s="12" t="str">
        <f t="shared" si="1"/>
        <v>February</v>
      </c>
      <c r="C440" s="12">
        <f t="shared" si="2"/>
        <v>2</v>
      </c>
      <c r="D440" s="12" t="str">
        <f>IFERROR(__xludf.DUMMYFUNCTION("IFERROR(IF(REGEXMATCH(LOWER(Raw_Data!C446),""fixed deposit|owealth|savings|target""),""Fixed Deposit"",IF(REGEXMATCH(LOWER(Raw_Data!C446),""airtime""),""Airtime"",IF(REGEXMATCH(LOWER(Raw_Data!C446),""electronic money transfer levy""),""Electronic Money Tr"&amp;"ansfer Levy"",IF(REGEXMATCH(LOWER(Raw_Data!C446),""transfer|trf|send""),""Transfer"",""Other"")))),""Other"")"),"Transfer")</f>
        <v>Transfer</v>
      </c>
      <c r="E440" s="20">
        <v>300.0</v>
      </c>
      <c r="F440" s="20">
        <v>0.0</v>
      </c>
      <c r="G440" s="12" t="str">
        <f t="shared" si="3"/>
        <v>Withdrawal</v>
      </c>
      <c r="H440" s="12" t="str">
        <f>TEXT(Raw_Data!A446,"hh:mm:ss")
</f>
        <v>12:38:48</v>
      </c>
      <c r="I440" s="20">
        <f t="shared" si="4"/>
        <v>300</v>
      </c>
    </row>
    <row r="441">
      <c r="A441" s="12" t="str">
        <f>Raw_Data!A447</f>
        <v>26 Feb 2025 12:39:25</v>
      </c>
      <c r="B441" s="12" t="str">
        <f t="shared" si="1"/>
        <v>February</v>
      </c>
      <c r="C441" s="12">
        <f t="shared" si="2"/>
        <v>2</v>
      </c>
      <c r="D441" s="12" t="str">
        <f>IFERROR(__xludf.DUMMYFUNCTION("IFERROR(IF(REGEXMATCH(LOWER(Raw_Data!C447),""fixed deposit|owealth|savings|target""),""Fixed Deposit"",IF(REGEXMATCH(LOWER(Raw_Data!C447),""airtime""),""Airtime"",IF(REGEXMATCH(LOWER(Raw_Data!C447),""electronic money transfer levy""),""Electronic Money Tr"&amp;"ansfer Levy"",IF(REGEXMATCH(LOWER(Raw_Data!C447),""transfer|trf|send""),""Transfer"",""Other"")))),""Other"")"),"Transfer")</f>
        <v>Transfer</v>
      </c>
      <c r="E441" s="20">
        <v>150.0</v>
      </c>
      <c r="F441" s="20">
        <v>0.0</v>
      </c>
      <c r="G441" s="12" t="str">
        <f t="shared" si="3"/>
        <v>Withdrawal</v>
      </c>
      <c r="H441" s="12" t="str">
        <f>TEXT(Raw_Data!A447,"hh:mm:ss")
</f>
        <v>12:39:25</v>
      </c>
      <c r="I441" s="20">
        <f t="shared" si="4"/>
        <v>150</v>
      </c>
    </row>
    <row r="442">
      <c r="A442" s="12" t="str">
        <f>Raw_Data!A448</f>
        <v>26 Feb 2025 13:29:57</v>
      </c>
      <c r="B442" s="12" t="str">
        <f t="shared" si="1"/>
        <v>February</v>
      </c>
      <c r="C442" s="12">
        <f t="shared" si="2"/>
        <v>2</v>
      </c>
      <c r="D442" s="12" t="str">
        <f>IFERROR(__xludf.DUMMYFUNCTION("IFERROR(IF(REGEXMATCH(LOWER(Raw_Data!C448),""fixed deposit|owealth|savings|target""),""Fixed Deposit"",IF(REGEXMATCH(LOWER(Raw_Data!C448),""airtime""),""Airtime"",IF(REGEXMATCH(LOWER(Raw_Data!C448),""electronic money transfer levy""),""Electronic Money Tr"&amp;"ansfer Levy"",IF(REGEXMATCH(LOWER(Raw_Data!C448),""transfer|trf|send""),""Transfer"",""Other"")))),""Other"")"),"Transfer")</f>
        <v>Transfer</v>
      </c>
      <c r="E442" s="20">
        <v>460.0</v>
      </c>
      <c r="F442" s="20">
        <v>0.0</v>
      </c>
      <c r="G442" s="12" t="str">
        <f t="shared" si="3"/>
        <v>Withdrawal</v>
      </c>
      <c r="H442" s="12" t="str">
        <f>TEXT(Raw_Data!A448,"hh:mm:ss")
</f>
        <v>13:29:57</v>
      </c>
      <c r="I442" s="20">
        <f t="shared" si="4"/>
        <v>460</v>
      </c>
    </row>
    <row r="443">
      <c r="A443" s="12" t="str">
        <f>Raw_Data!A449</f>
        <v>26 Feb 2025 15:25:16</v>
      </c>
      <c r="B443" s="12" t="str">
        <f t="shared" si="1"/>
        <v>February</v>
      </c>
      <c r="C443" s="12">
        <f t="shared" si="2"/>
        <v>2</v>
      </c>
      <c r="D443" s="12" t="str">
        <f>IFERROR(__xludf.DUMMYFUNCTION("IFERROR(IF(REGEXMATCH(LOWER(Raw_Data!C449),""fixed deposit|owealth|savings|target""),""Fixed Deposit"",IF(REGEXMATCH(LOWER(Raw_Data!C449),""airtime""),""Airtime"",IF(REGEXMATCH(LOWER(Raw_Data!C449),""electronic money transfer levy""),""Electronic Money Tr"&amp;"ansfer Levy"",IF(REGEXMATCH(LOWER(Raw_Data!C449),""transfer|trf|send""),""Transfer"",""Other"")))),""Other"")"),"Airtime")</f>
        <v>Airtime</v>
      </c>
      <c r="E443" s="20">
        <v>300.0</v>
      </c>
      <c r="F443" s="20">
        <v>0.0</v>
      </c>
      <c r="G443" s="12" t="str">
        <f t="shared" si="3"/>
        <v>Withdrawal</v>
      </c>
      <c r="H443" s="12" t="str">
        <f>TEXT(Raw_Data!A449,"hh:mm:ss")
</f>
        <v>15:25:16</v>
      </c>
      <c r="I443" s="20">
        <f t="shared" si="4"/>
        <v>300</v>
      </c>
    </row>
    <row r="444">
      <c r="A444" s="12" t="str">
        <f>Raw_Data!A450</f>
        <v>26 Feb 2025 16:36:11</v>
      </c>
      <c r="B444" s="12" t="str">
        <f t="shared" si="1"/>
        <v>February</v>
      </c>
      <c r="C444" s="12">
        <f t="shared" si="2"/>
        <v>2</v>
      </c>
      <c r="D444" s="12" t="str">
        <f>IFERROR(__xludf.DUMMYFUNCTION("IFERROR(IF(REGEXMATCH(LOWER(Raw_Data!C450),""fixed deposit|owealth|savings|target""),""Fixed Deposit"",IF(REGEXMATCH(LOWER(Raw_Data!C450),""airtime""),""Airtime"",IF(REGEXMATCH(LOWER(Raw_Data!C450),""electronic money transfer levy""),""Electronic Money Tr"&amp;"ansfer Levy"",IF(REGEXMATCH(LOWER(Raw_Data!C450),""transfer|trf|send""),""Transfer"",""Other"")))),""Other"")"),"Transfer")</f>
        <v>Transfer</v>
      </c>
      <c r="E444" s="20">
        <v>210.0</v>
      </c>
      <c r="F444" s="20">
        <v>0.0</v>
      </c>
      <c r="G444" s="12" t="str">
        <f t="shared" si="3"/>
        <v>Withdrawal</v>
      </c>
      <c r="H444" s="12" t="str">
        <f>TEXT(Raw_Data!A450,"hh:mm:ss")
</f>
        <v>16:36:11</v>
      </c>
      <c r="I444" s="20">
        <f t="shared" si="4"/>
        <v>210</v>
      </c>
    </row>
    <row r="445">
      <c r="A445" s="12" t="str">
        <f>Raw_Data!A451</f>
        <v>26 Feb 2025 17:02:59</v>
      </c>
      <c r="B445" s="12" t="str">
        <f t="shared" si="1"/>
        <v>February</v>
      </c>
      <c r="C445" s="12">
        <f t="shared" si="2"/>
        <v>2</v>
      </c>
      <c r="D445" s="12" t="str">
        <f>IFERROR(__xludf.DUMMYFUNCTION("IFERROR(IF(REGEXMATCH(LOWER(Raw_Data!C451),""fixed deposit|owealth|savings|target""),""Fixed Deposit"",IF(REGEXMATCH(LOWER(Raw_Data!C451),""airtime""),""Airtime"",IF(REGEXMATCH(LOWER(Raw_Data!C451),""electronic money transfer levy""),""Electronic Money Tr"&amp;"ansfer Levy"",IF(REGEXMATCH(LOWER(Raw_Data!C451),""transfer|trf|send""),""Transfer"",""Other"")))),""Other"")"),"Transfer")</f>
        <v>Transfer</v>
      </c>
      <c r="E445" s="20">
        <v>600.0</v>
      </c>
      <c r="F445" s="20">
        <v>0.0</v>
      </c>
      <c r="G445" s="12" t="str">
        <f t="shared" si="3"/>
        <v>Withdrawal</v>
      </c>
      <c r="H445" s="12" t="str">
        <f>TEXT(Raw_Data!A451,"hh:mm:ss")
</f>
        <v>17:02:59</v>
      </c>
      <c r="I445" s="20">
        <f t="shared" si="4"/>
        <v>600</v>
      </c>
    </row>
    <row r="446">
      <c r="A446" s="12" t="str">
        <f>Raw_Data!A452</f>
        <v>26 Feb 2025 19:29:41</v>
      </c>
      <c r="B446" s="12" t="str">
        <f t="shared" si="1"/>
        <v>February</v>
      </c>
      <c r="C446" s="12">
        <f t="shared" si="2"/>
        <v>2</v>
      </c>
      <c r="D446" s="12" t="str">
        <f>IFERROR(__xludf.DUMMYFUNCTION("IFERROR(IF(REGEXMATCH(LOWER(Raw_Data!C452),""fixed deposit|owealth|savings|target""),""Fixed Deposit"",IF(REGEXMATCH(LOWER(Raw_Data!C452),""airtime""),""Airtime"",IF(REGEXMATCH(LOWER(Raw_Data!C452),""electronic money transfer levy""),""Electronic Money Tr"&amp;"ansfer Levy"",IF(REGEXMATCH(LOWER(Raw_Data!C452),""transfer|trf|send""),""Transfer"",""Other"")))),""Other"")"),"Transfer")</f>
        <v>Transfer</v>
      </c>
      <c r="E446" s="20">
        <v>610.0</v>
      </c>
      <c r="F446" s="20">
        <v>0.0</v>
      </c>
      <c r="G446" s="12" t="str">
        <f t="shared" si="3"/>
        <v>Withdrawal</v>
      </c>
      <c r="H446" s="12" t="str">
        <f>TEXT(Raw_Data!A452,"hh:mm:ss")
</f>
        <v>19:29:41</v>
      </c>
      <c r="I446" s="20">
        <f t="shared" si="4"/>
        <v>610</v>
      </c>
    </row>
    <row r="447">
      <c r="A447" s="12" t="str">
        <f>Raw_Data!A453</f>
        <v>27 Feb 2025 08:41:25</v>
      </c>
      <c r="B447" s="12" t="str">
        <f t="shared" si="1"/>
        <v>February</v>
      </c>
      <c r="C447" s="12">
        <f t="shared" si="2"/>
        <v>2</v>
      </c>
      <c r="D447" s="12" t="str">
        <f>IFERROR(__xludf.DUMMYFUNCTION("IFERROR(IF(REGEXMATCH(LOWER(Raw_Data!C453),""fixed deposit|owealth|savings|target""),""Fixed Deposit"",IF(REGEXMATCH(LOWER(Raw_Data!C453),""airtime""),""Airtime"",IF(REGEXMATCH(LOWER(Raw_Data!C453),""electronic money transfer levy""),""Electronic Money Tr"&amp;"ansfer Levy"",IF(REGEXMATCH(LOWER(Raw_Data!C453),""transfer|trf|send""),""Transfer"",""Other"")))),""Other"")"),"Transfer")</f>
        <v>Transfer</v>
      </c>
      <c r="E447" s="20">
        <v>460.0</v>
      </c>
      <c r="F447" s="20">
        <v>0.0</v>
      </c>
      <c r="G447" s="12" t="str">
        <f t="shared" si="3"/>
        <v>Withdrawal</v>
      </c>
      <c r="H447" s="12" t="str">
        <f>TEXT(Raw_Data!A453,"hh:mm:ss")
</f>
        <v>08:41:25</v>
      </c>
      <c r="I447" s="20">
        <f t="shared" si="4"/>
        <v>460</v>
      </c>
    </row>
    <row r="448">
      <c r="A448" s="12" t="str">
        <f>Raw_Data!A454</f>
        <v>27 Feb 2025 18:43:29</v>
      </c>
      <c r="B448" s="12" t="str">
        <f t="shared" si="1"/>
        <v>February</v>
      </c>
      <c r="C448" s="12">
        <f t="shared" si="2"/>
        <v>2</v>
      </c>
      <c r="D448" s="12" t="str">
        <f>IFERROR(__xludf.DUMMYFUNCTION("IFERROR(IF(REGEXMATCH(LOWER(Raw_Data!C454),""fixed deposit|owealth|savings|target""),""Fixed Deposit"",IF(REGEXMATCH(LOWER(Raw_Data!C454),""airtime""),""Airtime"",IF(REGEXMATCH(LOWER(Raw_Data!C454),""electronic money transfer levy""),""Electronic Money Tr"&amp;"ansfer Levy"",IF(REGEXMATCH(LOWER(Raw_Data!C454),""transfer|trf|send""),""Transfer"",""Other"")))),""Other"")"),"Transfer")</f>
        <v>Transfer</v>
      </c>
      <c r="E448" s="20">
        <v>0.0</v>
      </c>
      <c r="F448" s="20">
        <v>1000.0</v>
      </c>
      <c r="G448" s="12" t="str">
        <f t="shared" si="3"/>
        <v>Deposit</v>
      </c>
      <c r="H448" s="12" t="str">
        <f>TEXT(Raw_Data!A454,"hh:mm:ss")
</f>
        <v>18:43:29</v>
      </c>
      <c r="I448" s="20">
        <f t="shared" si="4"/>
        <v>1000</v>
      </c>
    </row>
    <row r="449">
      <c r="A449" s="12" t="str">
        <f>Raw_Data!A455</f>
        <v>28 Feb 2025 10:45:17</v>
      </c>
      <c r="B449" s="12" t="str">
        <f t="shared" si="1"/>
        <v>February</v>
      </c>
      <c r="C449" s="12">
        <f t="shared" si="2"/>
        <v>2</v>
      </c>
      <c r="D449" s="12" t="str">
        <f>IFERROR(__xludf.DUMMYFUNCTION("IFERROR(IF(REGEXMATCH(LOWER(Raw_Data!C455),""fixed deposit|owealth|savings|target""),""Fixed Deposit"",IF(REGEXMATCH(LOWER(Raw_Data!C455),""airtime""),""Airtime"",IF(REGEXMATCH(LOWER(Raw_Data!C455),""electronic money transfer levy""),""Electronic Money Tr"&amp;"ansfer Levy"",IF(REGEXMATCH(LOWER(Raw_Data!C455),""transfer|trf|send""),""Transfer"",""Other"")))),""Other"")"),"Transfer")</f>
        <v>Transfer</v>
      </c>
      <c r="E449" s="20">
        <v>0.0</v>
      </c>
      <c r="F449" s="20">
        <v>1000.0</v>
      </c>
      <c r="G449" s="12" t="str">
        <f t="shared" si="3"/>
        <v>Deposit</v>
      </c>
      <c r="H449" s="12" t="str">
        <f>TEXT(Raw_Data!A455,"hh:mm:ss")
</f>
        <v>10:45:17</v>
      </c>
      <c r="I449" s="20">
        <f t="shared" si="4"/>
        <v>1000</v>
      </c>
    </row>
    <row r="450">
      <c r="A450" s="12" t="str">
        <f>Raw_Data!A456</f>
        <v>28 Feb 2025 10:50:29</v>
      </c>
      <c r="B450" s="12" t="str">
        <f t="shared" si="1"/>
        <v>February</v>
      </c>
      <c r="C450" s="12">
        <f t="shared" si="2"/>
        <v>2</v>
      </c>
      <c r="D450" s="12" t="str">
        <f>IFERROR(__xludf.DUMMYFUNCTION("IFERROR(IF(REGEXMATCH(LOWER(Raw_Data!C456),""fixed deposit|owealth|savings|target""),""Fixed Deposit"",IF(REGEXMATCH(LOWER(Raw_Data!C456),""airtime""),""Airtime"",IF(REGEXMATCH(LOWER(Raw_Data!C456),""electronic money transfer levy""),""Electronic Money Tr"&amp;"ansfer Levy"",IF(REGEXMATCH(LOWER(Raw_Data!C456),""transfer|trf|send""),""Transfer"",""Other"")))),""Other"")"),"Transfer")</f>
        <v>Transfer</v>
      </c>
      <c r="E450" s="20">
        <v>0.0</v>
      </c>
      <c r="F450" s="20">
        <v>500.0</v>
      </c>
      <c r="G450" s="12" t="str">
        <f t="shared" si="3"/>
        <v>Deposit</v>
      </c>
      <c r="H450" s="12" t="str">
        <f>TEXT(Raw_Data!A456,"hh:mm:ss")
</f>
        <v>10:50:29</v>
      </c>
      <c r="I450" s="20">
        <f t="shared" si="4"/>
        <v>500</v>
      </c>
    </row>
    <row r="451">
      <c r="A451" s="12" t="str">
        <f>Raw_Data!A457</f>
        <v>28 Feb 2025 10:53:57</v>
      </c>
      <c r="B451" s="12" t="str">
        <f t="shared" si="1"/>
        <v>February</v>
      </c>
      <c r="C451" s="12">
        <f t="shared" si="2"/>
        <v>2</v>
      </c>
      <c r="D451" s="12" t="str">
        <f>IFERROR(__xludf.DUMMYFUNCTION("IFERROR(IF(REGEXMATCH(LOWER(Raw_Data!C457),""fixed deposit|owealth|savings|target""),""Fixed Deposit"",IF(REGEXMATCH(LOWER(Raw_Data!C457),""airtime""),""Airtime"",IF(REGEXMATCH(LOWER(Raw_Data!C457),""electronic money transfer levy""),""Electronic Money Tr"&amp;"ansfer Levy"",IF(REGEXMATCH(LOWER(Raw_Data!C457),""transfer|trf|send""),""Transfer"",""Other"")))),""Other"")"),"Transfer")</f>
        <v>Transfer</v>
      </c>
      <c r="E451" s="20">
        <v>3000.0</v>
      </c>
      <c r="F451" s="20">
        <v>0.0</v>
      </c>
      <c r="G451" s="12" t="str">
        <f t="shared" si="3"/>
        <v>Withdrawal</v>
      </c>
      <c r="H451" s="12" t="str">
        <f>TEXT(Raw_Data!A457,"hh:mm:ss")
</f>
        <v>10:53:57</v>
      </c>
      <c r="I451" s="20">
        <f t="shared" si="4"/>
        <v>3000</v>
      </c>
    </row>
    <row r="452">
      <c r="A452" s="12" t="str">
        <f>Raw_Data!A458</f>
        <v>28 Feb 2025 19:08:11</v>
      </c>
      <c r="B452" s="12" t="str">
        <f t="shared" si="1"/>
        <v>February</v>
      </c>
      <c r="C452" s="12">
        <f t="shared" si="2"/>
        <v>2</v>
      </c>
      <c r="D452" s="12" t="str">
        <f>IFERROR(__xludf.DUMMYFUNCTION("IFERROR(IF(REGEXMATCH(LOWER(Raw_Data!C458),""fixed deposit|owealth|savings|target""),""Fixed Deposit"",IF(REGEXMATCH(LOWER(Raw_Data!C458),""airtime""),""Airtime"",IF(REGEXMATCH(LOWER(Raw_Data!C458),""electronic money transfer levy""),""Electronic Money Tr"&amp;"ansfer Levy"",IF(REGEXMATCH(LOWER(Raw_Data!C458),""transfer|trf|send""),""Transfer"",""Other"")))),""Other"")"),"Transfer")</f>
        <v>Transfer</v>
      </c>
      <c r="E452" s="20">
        <v>0.0</v>
      </c>
      <c r="F452" s="20">
        <v>5000.0</v>
      </c>
      <c r="G452" s="12" t="str">
        <f t="shared" si="3"/>
        <v>Deposit</v>
      </c>
      <c r="H452" s="12" t="str">
        <f>TEXT(Raw_Data!A458,"hh:mm:ss")
</f>
        <v>19:08:11</v>
      </c>
      <c r="I452" s="20">
        <f t="shared" si="4"/>
        <v>5000</v>
      </c>
    </row>
    <row r="453">
      <c r="A453" s="12" t="str">
        <f>Raw_Data!A459</f>
        <v>28 Feb 2025 20:13:13</v>
      </c>
      <c r="B453" s="12" t="str">
        <f t="shared" si="1"/>
        <v>February</v>
      </c>
      <c r="C453" s="12">
        <f t="shared" si="2"/>
        <v>2</v>
      </c>
      <c r="D453" s="12" t="str">
        <f>IFERROR(__xludf.DUMMYFUNCTION("IFERROR(IF(REGEXMATCH(LOWER(Raw_Data!C459),""fixed deposit|owealth|savings|target""),""Fixed Deposit"",IF(REGEXMATCH(LOWER(Raw_Data!C459),""airtime""),""Airtime"",IF(REGEXMATCH(LOWER(Raw_Data!C459),""electronic money transfer levy""),""Electronic Money Tr"&amp;"ansfer Levy"",IF(REGEXMATCH(LOWER(Raw_Data!C459),""transfer|trf|send""),""Transfer"",""Other"")))),""Other"")"),"Transfer")</f>
        <v>Transfer</v>
      </c>
      <c r="E453" s="20">
        <v>0.0</v>
      </c>
      <c r="F453" s="20">
        <v>2000.0</v>
      </c>
      <c r="G453" s="12" t="str">
        <f t="shared" si="3"/>
        <v>Deposit</v>
      </c>
      <c r="H453" s="12" t="str">
        <f>TEXT(Raw_Data!A459,"hh:mm:ss")
</f>
        <v>20:13:13</v>
      </c>
      <c r="I453" s="20">
        <f t="shared" si="4"/>
        <v>2000</v>
      </c>
    </row>
    <row r="454">
      <c r="A454" s="12" t="str">
        <f>Raw_Data!A460</f>
        <v>28 Feb 2025 20:14:51</v>
      </c>
      <c r="B454" s="12" t="str">
        <f t="shared" si="1"/>
        <v>February</v>
      </c>
      <c r="C454" s="12">
        <f t="shared" si="2"/>
        <v>2</v>
      </c>
      <c r="D454" s="12" t="str">
        <f>IFERROR(__xludf.DUMMYFUNCTION("IFERROR(IF(REGEXMATCH(LOWER(Raw_Data!C460),""fixed deposit|owealth|savings|target""),""Fixed Deposit"",IF(REGEXMATCH(LOWER(Raw_Data!C460),""airtime""),""Airtime"",IF(REGEXMATCH(LOWER(Raw_Data!C460),""electronic money transfer levy""),""Electronic Money Tr"&amp;"ansfer Levy"",IF(REGEXMATCH(LOWER(Raw_Data!C460),""transfer|trf|send""),""Transfer"",""Other"")))),""Other"")"),"Transfer")</f>
        <v>Transfer</v>
      </c>
      <c r="E454" s="20">
        <v>4100.0</v>
      </c>
      <c r="F454" s="20">
        <v>0.0</v>
      </c>
      <c r="G454" s="12" t="str">
        <f t="shared" si="3"/>
        <v>Withdrawal</v>
      </c>
      <c r="H454" s="12" t="str">
        <f>TEXT(Raw_Data!A460,"hh:mm:ss")
</f>
        <v>20:14:51</v>
      </c>
      <c r="I454" s="20">
        <f t="shared" si="4"/>
        <v>4100</v>
      </c>
    </row>
    <row r="455">
      <c r="A455" s="12" t="str">
        <f>Raw_Data!A461</f>
        <v>28 Feb 2025 20:30:17</v>
      </c>
      <c r="B455" s="12" t="str">
        <f t="shared" si="1"/>
        <v>February</v>
      </c>
      <c r="C455" s="12">
        <f t="shared" si="2"/>
        <v>2</v>
      </c>
      <c r="D455" s="12" t="str">
        <f>IFERROR(__xludf.DUMMYFUNCTION("IFERROR(IF(REGEXMATCH(LOWER(Raw_Data!C461),""fixed deposit|owealth|savings|target""),""Fixed Deposit"",IF(REGEXMATCH(LOWER(Raw_Data!C461),""airtime""),""Airtime"",IF(REGEXMATCH(LOWER(Raw_Data!C461),""electronic money transfer levy""),""Electronic Money Tr"&amp;"ansfer Levy"",IF(REGEXMATCH(LOWER(Raw_Data!C461),""transfer|trf|send""),""Transfer"",""Other"")))),""Other"")"),"Transfer")</f>
        <v>Transfer</v>
      </c>
      <c r="E455" s="20">
        <v>470.0</v>
      </c>
      <c r="F455" s="20">
        <v>0.0</v>
      </c>
      <c r="G455" s="12" t="str">
        <f t="shared" si="3"/>
        <v>Withdrawal</v>
      </c>
      <c r="H455" s="12" t="str">
        <f>TEXT(Raw_Data!A461,"hh:mm:ss")
</f>
        <v>20:30:17</v>
      </c>
      <c r="I455" s="20">
        <f t="shared" si="4"/>
        <v>470</v>
      </c>
    </row>
    <row r="456">
      <c r="A456" s="12" t="str">
        <f>Raw_Data!A462</f>
        <v>28 Feb 2025 21:16:01</v>
      </c>
      <c r="B456" s="12" t="str">
        <f t="shared" si="1"/>
        <v>February</v>
      </c>
      <c r="C456" s="12">
        <f t="shared" si="2"/>
        <v>2</v>
      </c>
      <c r="D456" s="12" t="str">
        <f>IFERROR(__xludf.DUMMYFUNCTION("IFERROR(IF(REGEXMATCH(LOWER(Raw_Data!C462),""fixed deposit|owealth|savings|target""),""Fixed Deposit"",IF(REGEXMATCH(LOWER(Raw_Data!C462),""airtime""),""Airtime"",IF(REGEXMATCH(LOWER(Raw_Data!C462),""electronic money transfer levy""),""Electronic Money Tr"&amp;"ansfer Levy"",IF(REGEXMATCH(LOWER(Raw_Data!C462),""transfer|trf|send""),""Transfer"",""Other"")))),""Other"")"),"Transfer")</f>
        <v>Transfer</v>
      </c>
      <c r="E456" s="20">
        <v>460.0</v>
      </c>
      <c r="F456" s="20">
        <v>0.0</v>
      </c>
      <c r="G456" s="12" t="str">
        <f t="shared" si="3"/>
        <v>Withdrawal</v>
      </c>
      <c r="H456" s="12" t="str">
        <f>TEXT(Raw_Data!A462,"hh:mm:ss")
</f>
        <v>21:16:01</v>
      </c>
      <c r="I456" s="20">
        <f t="shared" si="4"/>
        <v>460</v>
      </c>
    </row>
    <row r="457">
      <c r="A457" s="12" t="str">
        <f>Raw_Data!A463</f>
        <v>01 Mar 2025 13:18:50</v>
      </c>
      <c r="B457" s="12" t="str">
        <f t="shared" si="1"/>
        <v>March</v>
      </c>
      <c r="C457" s="12">
        <f t="shared" si="2"/>
        <v>3</v>
      </c>
      <c r="D457" s="12" t="str">
        <f>IFERROR(__xludf.DUMMYFUNCTION("IFERROR(IF(REGEXMATCH(LOWER(Raw_Data!C463),""fixed deposit|owealth|savings|target""),""Fixed Deposit"",IF(REGEXMATCH(LOWER(Raw_Data!C463),""airtime""),""Airtime"",IF(REGEXMATCH(LOWER(Raw_Data!C463),""electronic money transfer levy""),""Electronic Money Tr"&amp;"ansfer Levy"",IF(REGEXMATCH(LOWER(Raw_Data!C463),""transfer|trf|send""),""Transfer"",""Other"")))),""Other"")"),"Airtime")</f>
        <v>Airtime</v>
      </c>
      <c r="E457" s="20">
        <v>200.0</v>
      </c>
      <c r="F457" s="20">
        <v>0.0</v>
      </c>
      <c r="G457" s="12" t="str">
        <f t="shared" si="3"/>
        <v>Withdrawal</v>
      </c>
      <c r="H457" s="12" t="str">
        <f>TEXT(Raw_Data!A463,"hh:mm:ss")
</f>
        <v>13:18:50</v>
      </c>
      <c r="I457" s="20">
        <f t="shared" si="4"/>
        <v>200</v>
      </c>
    </row>
    <row r="458">
      <c r="A458" s="12" t="str">
        <f>Raw_Data!A464</f>
        <v>01 Mar 2025 13:43:23</v>
      </c>
      <c r="B458" s="12" t="str">
        <f t="shared" si="1"/>
        <v>March</v>
      </c>
      <c r="C458" s="12">
        <f t="shared" si="2"/>
        <v>3</v>
      </c>
      <c r="D458" s="12" t="str">
        <f>IFERROR(__xludf.DUMMYFUNCTION("IFERROR(IF(REGEXMATCH(LOWER(Raw_Data!C464),""fixed deposit|owealth|savings|target""),""Fixed Deposit"",IF(REGEXMATCH(LOWER(Raw_Data!C464),""airtime""),""Airtime"",IF(REGEXMATCH(LOWER(Raw_Data!C464),""electronic money transfer levy""),""Electronic Money Tr"&amp;"ansfer Levy"",IF(REGEXMATCH(LOWER(Raw_Data!C464),""transfer|trf|send""),""Transfer"",""Other"")))),""Other"")"),"Transfer")</f>
        <v>Transfer</v>
      </c>
      <c r="E458" s="20">
        <v>0.0</v>
      </c>
      <c r="F458" s="20">
        <v>1500.0</v>
      </c>
      <c r="G458" s="12" t="str">
        <f t="shared" si="3"/>
        <v>Deposit</v>
      </c>
      <c r="H458" s="12" t="str">
        <f>TEXT(Raw_Data!A464,"hh:mm:ss")
</f>
        <v>13:43:23</v>
      </c>
      <c r="I458" s="20">
        <f t="shared" si="4"/>
        <v>1500</v>
      </c>
    </row>
    <row r="459">
      <c r="A459" s="12" t="str">
        <f>Raw_Data!A465</f>
        <v>01 Mar 2025 15:50:05</v>
      </c>
      <c r="B459" s="12" t="str">
        <f t="shared" si="1"/>
        <v>March</v>
      </c>
      <c r="C459" s="12">
        <f t="shared" si="2"/>
        <v>3</v>
      </c>
      <c r="D459" s="12" t="str">
        <f>IFERROR(__xludf.DUMMYFUNCTION("IFERROR(IF(REGEXMATCH(LOWER(Raw_Data!C465),""fixed deposit|owealth|savings|target""),""Fixed Deposit"",IF(REGEXMATCH(LOWER(Raw_Data!C465),""airtime""),""Airtime"",IF(REGEXMATCH(LOWER(Raw_Data!C465),""electronic money transfer levy""),""Electronic Money Tr"&amp;"ansfer Levy"",IF(REGEXMATCH(LOWER(Raw_Data!C465),""transfer|trf|send""),""Transfer"",""Other"")))),""Other"")"),"Transfer")</f>
        <v>Transfer</v>
      </c>
      <c r="E459" s="20">
        <v>300.0</v>
      </c>
      <c r="F459" s="20">
        <v>0.0</v>
      </c>
      <c r="G459" s="12" t="str">
        <f t="shared" si="3"/>
        <v>Withdrawal</v>
      </c>
      <c r="H459" s="12" t="str">
        <f>TEXT(Raw_Data!A465,"hh:mm:ss")
</f>
        <v>15:50:05</v>
      </c>
      <c r="I459" s="20">
        <f t="shared" si="4"/>
        <v>300</v>
      </c>
    </row>
    <row r="460">
      <c r="A460" s="12" t="str">
        <f>Raw_Data!A466</f>
        <v>01 Mar 2025 15:50:28</v>
      </c>
      <c r="B460" s="12" t="str">
        <f t="shared" si="1"/>
        <v>March</v>
      </c>
      <c r="C460" s="12">
        <f t="shared" si="2"/>
        <v>3</v>
      </c>
      <c r="D460" s="12" t="str">
        <f>IFERROR(__xludf.DUMMYFUNCTION("IFERROR(IF(REGEXMATCH(LOWER(Raw_Data!C466),""fixed deposit|owealth|savings|target""),""Fixed Deposit"",IF(REGEXMATCH(LOWER(Raw_Data!C466),""airtime""),""Airtime"",IF(REGEXMATCH(LOWER(Raw_Data!C466),""electronic money transfer levy""),""Electronic Money Tr"&amp;"ansfer Levy"",IF(REGEXMATCH(LOWER(Raw_Data!C466),""transfer|trf|send""),""Transfer"",""Other"")))),""Other"")"),"Transfer")</f>
        <v>Transfer</v>
      </c>
      <c r="E460" s="20">
        <v>2500.0</v>
      </c>
      <c r="F460" s="20">
        <v>0.0</v>
      </c>
      <c r="G460" s="12" t="str">
        <f t="shared" si="3"/>
        <v>Withdrawal</v>
      </c>
      <c r="H460" s="12" t="str">
        <f>TEXT(Raw_Data!A466,"hh:mm:ss")
</f>
        <v>15:50:28</v>
      </c>
      <c r="I460" s="20">
        <f t="shared" si="4"/>
        <v>2500</v>
      </c>
    </row>
    <row r="461">
      <c r="A461" s="12" t="str">
        <f>Raw_Data!A467</f>
        <v>01 Mar 2025 16:51:20</v>
      </c>
      <c r="B461" s="12" t="str">
        <f t="shared" si="1"/>
        <v>March</v>
      </c>
      <c r="C461" s="12">
        <f t="shared" si="2"/>
        <v>3</v>
      </c>
      <c r="D461" s="12" t="str">
        <f>IFERROR(__xludf.DUMMYFUNCTION("IFERROR(IF(REGEXMATCH(LOWER(Raw_Data!C467),""fixed deposit|owealth|savings|target""),""Fixed Deposit"",IF(REGEXMATCH(LOWER(Raw_Data!C467),""airtime""),""Airtime"",IF(REGEXMATCH(LOWER(Raw_Data!C467),""electronic money transfer levy""),""Electronic Money Tr"&amp;"ansfer Levy"",IF(REGEXMATCH(LOWER(Raw_Data!C467),""transfer|trf|send""),""Transfer"",""Other"")))),""Other"")"),"Transfer")</f>
        <v>Transfer</v>
      </c>
      <c r="E461" s="20">
        <v>0.0</v>
      </c>
      <c r="F461" s="20">
        <v>5000.0</v>
      </c>
      <c r="G461" s="12" t="str">
        <f t="shared" si="3"/>
        <v>Deposit</v>
      </c>
      <c r="H461" s="12" t="str">
        <f>TEXT(Raw_Data!A467,"hh:mm:ss")
</f>
        <v>16:51:20</v>
      </c>
      <c r="I461" s="20">
        <f t="shared" si="4"/>
        <v>5000</v>
      </c>
    </row>
    <row r="462">
      <c r="A462" s="12" t="str">
        <f>Raw_Data!A468</f>
        <v>01 Mar 2025 17:38:53</v>
      </c>
      <c r="B462" s="12" t="str">
        <f t="shared" si="1"/>
        <v>March</v>
      </c>
      <c r="C462" s="12">
        <f t="shared" si="2"/>
        <v>3</v>
      </c>
      <c r="D462" s="12" t="str">
        <f>IFERROR(__xludf.DUMMYFUNCTION("IFERROR(IF(REGEXMATCH(LOWER(Raw_Data!C468),""fixed deposit|owealth|savings|target""),""Fixed Deposit"",IF(REGEXMATCH(LOWER(Raw_Data!C468),""airtime""),""Airtime"",IF(REGEXMATCH(LOWER(Raw_Data!C468),""electronic money transfer levy""),""Electronic Money Tr"&amp;"ansfer Levy"",IF(REGEXMATCH(LOWER(Raw_Data!C468),""transfer|trf|send""),""Transfer"",""Other"")))),""Other"")"),"Transfer")</f>
        <v>Transfer</v>
      </c>
      <c r="E462" s="20">
        <v>650.0</v>
      </c>
      <c r="F462" s="20">
        <v>0.0</v>
      </c>
      <c r="G462" s="12" t="str">
        <f t="shared" si="3"/>
        <v>Withdrawal</v>
      </c>
      <c r="H462" s="12" t="str">
        <f>TEXT(Raw_Data!A468,"hh:mm:ss")
</f>
        <v>17:38:53</v>
      </c>
      <c r="I462" s="20">
        <f t="shared" si="4"/>
        <v>650</v>
      </c>
    </row>
    <row r="463">
      <c r="A463" s="12" t="str">
        <f>Raw_Data!A469</f>
        <v>02 Mar 2025 09:59:16</v>
      </c>
      <c r="B463" s="12" t="str">
        <f t="shared" si="1"/>
        <v>March</v>
      </c>
      <c r="C463" s="12">
        <f t="shared" si="2"/>
        <v>3</v>
      </c>
      <c r="D463" s="12" t="str">
        <f>IFERROR(__xludf.DUMMYFUNCTION("IFERROR(IF(REGEXMATCH(LOWER(Raw_Data!C469),""fixed deposit|owealth|savings|target""),""Fixed Deposit"",IF(REGEXMATCH(LOWER(Raw_Data!C469),""airtime""),""Airtime"",IF(REGEXMATCH(LOWER(Raw_Data!C469),""electronic money transfer levy""),""Electronic Money Tr"&amp;"ansfer Levy"",IF(REGEXMATCH(LOWER(Raw_Data!C469),""transfer|trf|send""),""Transfer"",""Other"")))),""Other"")"),"Transfer")</f>
        <v>Transfer</v>
      </c>
      <c r="E463" s="20">
        <v>1000.0</v>
      </c>
      <c r="F463" s="20">
        <v>0.0</v>
      </c>
      <c r="G463" s="12" t="str">
        <f t="shared" si="3"/>
        <v>Withdrawal</v>
      </c>
      <c r="H463" s="12" t="str">
        <f>TEXT(Raw_Data!A469,"hh:mm:ss")
</f>
        <v>09:59:16</v>
      </c>
      <c r="I463" s="20">
        <f t="shared" si="4"/>
        <v>1000</v>
      </c>
    </row>
    <row r="464">
      <c r="A464" s="12" t="str">
        <f>Raw_Data!A470</f>
        <v>02 Mar 2025 10:00:55</v>
      </c>
      <c r="B464" s="12" t="str">
        <f t="shared" si="1"/>
        <v>March</v>
      </c>
      <c r="C464" s="12">
        <f t="shared" si="2"/>
        <v>3</v>
      </c>
      <c r="D464" s="12" t="str">
        <f>IFERROR(__xludf.DUMMYFUNCTION("IFERROR(IF(REGEXMATCH(LOWER(Raw_Data!C470),""fixed deposit|owealth|savings|target""),""Fixed Deposit"",IF(REGEXMATCH(LOWER(Raw_Data!C470),""airtime""),""Airtime"",IF(REGEXMATCH(LOWER(Raw_Data!C470),""electronic money transfer levy""),""Electronic Money Tr"&amp;"ansfer Levy"",IF(REGEXMATCH(LOWER(Raw_Data!C470),""transfer|trf|send""),""Transfer"",""Other"")))),""Other"")"),"Transfer")</f>
        <v>Transfer</v>
      </c>
      <c r="E464" s="20">
        <v>900.0</v>
      </c>
      <c r="F464" s="20">
        <v>0.0</v>
      </c>
      <c r="G464" s="12" t="str">
        <f t="shared" si="3"/>
        <v>Withdrawal</v>
      </c>
      <c r="H464" s="12" t="str">
        <f>TEXT(Raw_Data!A470,"hh:mm:ss")
</f>
        <v>10:00:55</v>
      </c>
      <c r="I464" s="20">
        <f t="shared" si="4"/>
        <v>900</v>
      </c>
    </row>
    <row r="465">
      <c r="A465" s="12" t="str">
        <f>Raw_Data!A471</f>
        <v>02 Mar 2025 12:05:01</v>
      </c>
      <c r="B465" s="12" t="str">
        <f t="shared" si="1"/>
        <v>March</v>
      </c>
      <c r="C465" s="12">
        <f t="shared" si="2"/>
        <v>3</v>
      </c>
      <c r="D465" s="12" t="str">
        <f>IFERROR(__xludf.DUMMYFUNCTION("IFERROR(IF(REGEXMATCH(LOWER(Raw_Data!C471),""fixed deposit|owealth|savings|target""),""Fixed Deposit"",IF(REGEXMATCH(LOWER(Raw_Data!C471),""airtime""),""Airtime"",IF(REGEXMATCH(LOWER(Raw_Data!C471),""electronic money transfer levy""),""Electronic Money Tr"&amp;"ansfer Levy"",IF(REGEXMATCH(LOWER(Raw_Data!C471),""transfer|trf|send""),""Transfer"",""Other"")))),""Other"")"),"Transfer")</f>
        <v>Transfer</v>
      </c>
      <c r="E465" s="20">
        <v>500.0</v>
      </c>
      <c r="F465" s="20">
        <v>0.0</v>
      </c>
      <c r="G465" s="12" t="str">
        <f t="shared" si="3"/>
        <v>Withdrawal</v>
      </c>
      <c r="H465" s="12" t="str">
        <f>TEXT(Raw_Data!A471,"hh:mm:ss")
</f>
        <v>12:05:01</v>
      </c>
      <c r="I465" s="20">
        <f t="shared" si="4"/>
        <v>500</v>
      </c>
    </row>
    <row r="466">
      <c r="A466" s="12" t="str">
        <f>Raw_Data!A472</f>
        <v>02 Mar 2025 12:14:03</v>
      </c>
      <c r="B466" s="12" t="str">
        <f t="shared" si="1"/>
        <v>March</v>
      </c>
      <c r="C466" s="12">
        <f t="shared" si="2"/>
        <v>3</v>
      </c>
      <c r="D466" s="12" t="str">
        <f>IFERROR(__xludf.DUMMYFUNCTION("IFERROR(IF(REGEXMATCH(LOWER(Raw_Data!C472),""fixed deposit|owealth|savings|target""),""Fixed Deposit"",IF(REGEXMATCH(LOWER(Raw_Data!C472),""airtime""),""Airtime"",IF(REGEXMATCH(LOWER(Raw_Data!C472),""electronic money transfer levy""),""Electronic Money Tr"&amp;"ansfer Levy"",IF(REGEXMATCH(LOWER(Raw_Data!C472),""transfer|trf|send""),""Transfer"",""Other"")))),""Other"")"),"Transfer")</f>
        <v>Transfer</v>
      </c>
      <c r="E466" s="20">
        <v>350.0</v>
      </c>
      <c r="F466" s="20">
        <v>0.0</v>
      </c>
      <c r="G466" s="12" t="str">
        <f t="shared" si="3"/>
        <v>Withdrawal</v>
      </c>
      <c r="H466" s="12" t="str">
        <f>TEXT(Raw_Data!A472,"hh:mm:ss")
</f>
        <v>12:14:03</v>
      </c>
      <c r="I466" s="20">
        <f t="shared" si="4"/>
        <v>350</v>
      </c>
    </row>
    <row r="467">
      <c r="A467" s="12" t="str">
        <f>Raw_Data!A473</f>
        <v>02 Mar 2025 12:29:43</v>
      </c>
      <c r="B467" s="12" t="str">
        <f t="shared" si="1"/>
        <v>March</v>
      </c>
      <c r="C467" s="12">
        <f t="shared" si="2"/>
        <v>3</v>
      </c>
      <c r="D467" s="12" t="str">
        <f>IFERROR(__xludf.DUMMYFUNCTION("IFERROR(IF(REGEXMATCH(LOWER(Raw_Data!C473),""fixed deposit|owealth|savings|target""),""Fixed Deposit"",IF(REGEXMATCH(LOWER(Raw_Data!C473),""airtime""),""Airtime"",IF(REGEXMATCH(LOWER(Raw_Data!C473),""electronic money transfer levy""),""Electronic Money Tr"&amp;"ansfer Levy"",IF(REGEXMATCH(LOWER(Raw_Data!C473),""transfer|trf|send""),""Transfer"",""Other"")))),""Other"")"),"Transfer")</f>
        <v>Transfer</v>
      </c>
      <c r="E467" s="20">
        <v>0.0</v>
      </c>
      <c r="F467" s="20">
        <v>2000.0</v>
      </c>
      <c r="G467" s="12" t="str">
        <f t="shared" si="3"/>
        <v>Deposit</v>
      </c>
      <c r="H467" s="12" t="str">
        <f>TEXT(Raw_Data!A473,"hh:mm:ss")
</f>
        <v>12:29:43</v>
      </c>
      <c r="I467" s="20">
        <f t="shared" si="4"/>
        <v>2000</v>
      </c>
    </row>
    <row r="468">
      <c r="A468" s="12" t="str">
        <f>Raw_Data!A474</f>
        <v>02 Mar 2025 12:31:02</v>
      </c>
      <c r="B468" s="12" t="str">
        <f t="shared" si="1"/>
        <v>March</v>
      </c>
      <c r="C468" s="12">
        <f t="shared" si="2"/>
        <v>3</v>
      </c>
      <c r="D468" s="12" t="str">
        <f>IFERROR(__xludf.DUMMYFUNCTION("IFERROR(IF(REGEXMATCH(LOWER(Raw_Data!C474),""fixed deposit|owealth|savings|target""),""Fixed Deposit"",IF(REGEXMATCH(LOWER(Raw_Data!C474),""airtime""),""Airtime"",IF(REGEXMATCH(LOWER(Raw_Data!C474),""electronic money transfer levy""),""Electronic Money Tr"&amp;"ansfer Levy"",IF(REGEXMATCH(LOWER(Raw_Data!C474),""transfer|trf|send""),""Transfer"",""Other"")))),""Other"")"),"Transfer")</f>
        <v>Transfer</v>
      </c>
      <c r="E468" s="20">
        <v>2100.0</v>
      </c>
      <c r="F468" s="20">
        <v>0.0</v>
      </c>
      <c r="G468" s="12" t="str">
        <f t="shared" si="3"/>
        <v>Withdrawal</v>
      </c>
      <c r="H468" s="12" t="str">
        <f>TEXT(Raw_Data!A474,"hh:mm:ss")
</f>
        <v>12:31:02</v>
      </c>
      <c r="I468" s="20">
        <f t="shared" si="4"/>
        <v>2100</v>
      </c>
    </row>
    <row r="469">
      <c r="A469" s="12" t="str">
        <f>Raw_Data!A475</f>
        <v>02 Mar 2025 15:55:28</v>
      </c>
      <c r="B469" s="12" t="str">
        <f t="shared" si="1"/>
        <v>March</v>
      </c>
      <c r="C469" s="12">
        <f t="shared" si="2"/>
        <v>3</v>
      </c>
      <c r="D469" s="12" t="str">
        <f>IFERROR(__xludf.DUMMYFUNCTION("IFERROR(IF(REGEXMATCH(LOWER(Raw_Data!C475),""fixed deposit|owealth|savings|target""),""Fixed Deposit"",IF(REGEXMATCH(LOWER(Raw_Data!C475),""airtime""),""Airtime"",IF(REGEXMATCH(LOWER(Raw_Data!C475),""electronic money transfer levy""),""Electronic Money Tr"&amp;"ansfer Levy"",IF(REGEXMATCH(LOWER(Raw_Data!C475),""transfer|trf|send""),""Transfer"",""Other"")))),""Other"")"),"Transfer")</f>
        <v>Transfer</v>
      </c>
      <c r="E469" s="20">
        <v>1000.0</v>
      </c>
      <c r="F469" s="20">
        <v>0.0</v>
      </c>
      <c r="G469" s="12" t="str">
        <f t="shared" si="3"/>
        <v>Withdrawal</v>
      </c>
      <c r="H469" s="12" t="str">
        <f>TEXT(Raw_Data!A475,"hh:mm:ss")
</f>
        <v>15:55:28</v>
      </c>
      <c r="I469" s="20">
        <f t="shared" si="4"/>
        <v>1000</v>
      </c>
    </row>
    <row r="470">
      <c r="A470" s="12" t="str">
        <f>Raw_Data!A476</f>
        <v>02 Mar 2025 17:38:26</v>
      </c>
      <c r="B470" s="12" t="str">
        <f t="shared" si="1"/>
        <v>March</v>
      </c>
      <c r="C470" s="12">
        <f t="shared" si="2"/>
        <v>3</v>
      </c>
      <c r="D470" s="12" t="str">
        <f>IFERROR(__xludf.DUMMYFUNCTION("IFERROR(IF(REGEXMATCH(LOWER(Raw_Data!C476),""fixed deposit|owealth|savings|target""),""Fixed Deposit"",IF(REGEXMATCH(LOWER(Raw_Data!C476),""airtime""),""Airtime"",IF(REGEXMATCH(LOWER(Raw_Data!C476),""electronic money transfer levy""),""Electronic Money Tr"&amp;"ansfer Levy"",IF(REGEXMATCH(LOWER(Raw_Data!C476),""transfer|trf|send""),""Transfer"",""Other"")))),""Other"")"),"Transfer")</f>
        <v>Transfer</v>
      </c>
      <c r="E470" s="20">
        <v>500.0</v>
      </c>
      <c r="F470" s="20">
        <v>0.0</v>
      </c>
      <c r="G470" s="12" t="str">
        <f t="shared" si="3"/>
        <v>Withdrawal</v>
      </c>
      <c r="H470" s="12" t="str">
        <f>TEXT(Raw_Data!A476,"hh:mm:ss")
</f>
        <v>17:38:26</v>
      </c>
      <c r="I470" s="20">
        <f t="shared" si="4"/>
        <v>500</v>
      </c>
    </row>
    <row r="471">
      <c r="A471" s="12" t="str">
        <f>Raw_Data!A477</f>
        <v>03 Mar 2025 03:47:05</v>
      </c>
      <c r="B471" s="12" t="str">
        <f t="shared" si="1"/>
        <v>March</v>
      </c>
      <c r="C471" s="12">
        <f t="shared" si="2"/>
        <v>3</v>
      </c>
      <c r="D471" s="12" t="str">
        <f>IFERROR(__xludf.DUMMYFUNCTION("IFERROR(IF(REGEXMATCH(LOWER(Raw_Data!C477),""fixed deposit|owealth|savings|target""),""Fixed Deposit"",IF(REGEXMATCH(LOWER(Raw_Data!C477),""airtime""),""Airtime"",IF(REGEXMATCH(LOWER(Raw_Data!C477),""electronic money transfer levy""),""Electronic Money Tr"&amp;"ansfer Levy"",IF(REGEXMATCH(LOWER(Raw_Data!C477),""transfer|trf|send""),""Transfer"",""Other"")))),""Other"")"),"Transfer")</f>
        <v>Transfer</v>
      </c>
      <c r="E471" s="20">
        <v>250.0</v>
      </c>
      <c r="F471" s="20">
        <v>0.0</v>
      </c>
      <c r="G471" s="12" t="str">
        <f t="shared" si="3"/>
        <v>Withdrawal</v>
      </c>
      <c r="H471" s="12" t="str">
        <f>TEXT(Raw_Data!A477,"hh:mm:ss")
</f>
        <v>03:47:05</v>
      </c>
      <c r="I471" s="20">
        <f t="shared" si="4"/>
        <v>250</v>
      </c>
    </row>
    <row r="472">
      <c r="A472" s="12" t="str">
        <f>Raw_Data!A478</f>
        <v>03 Mar 2025 14:03:43</v>
      </c>
      <c r="B472" s="12" t="str">
        <f t="shared" si="1"/>
        <v>March</v>
      </c>
      <c r="C472" s="12">
        <f t="shared" si="2"/>
        <v>3</v>
      </c>
      <c r="D472" s="12" t="str">
        <f>IFERROR(__xludf.DUMMYFUNCTION("IFERROR(IF(REGEXMATCH(LOWER(Raw_Data!C478),""fixed deposit|owealth|savings|target""),""Fixed Deposit"",IF(REGEXMATCH(LOWER(Raw_Data!C478),""airtime""),""Airtime"",IF(REGEXMATCH(LOWER(Raw_Data!C478),""electronic money transfer levy""),""Electronic Money Tr"&amp;"ansfer Levy"",IF(REGEXMATCH(LOWER(Raw_Data!C478),""transfer|trf|send""),""Transfer"",""Other"")))),""Other"")"),"Transfer")</f>
        <v>Transfer</v>
      </c>
      <c r="E472" s="20">
        <v>300.0</v>
      </c>
      <c r="F472" s="20">
        <v>0.0</v>
      </c>
      <c r="G472" s="12" t="str">
        <f t="shared" si="3"/>
        <v>Withdrawal</v>
      </c>
      <c r="H472" s="12" t="str">
        <f>TEXT(Raw_Data!A478,"hh:mm:ss")
</f>
        <v>14:03:43</v>
      </c>
      <c r="I472" s="20">
        <f t="shared" si="4"/>
        <v>300</v>
      </c>
    </row>
    <row r="473">
      <c r="A473" s="12" t="str">
        <f>Raw_Data!A479</f>
        <v>03 Mar 2025 16:26:50</v>
      </c>
      <c r="B473" s="12" t="str">
        <f t="shared" si="1"/>
        <v>March</v>
      </c>
      <c r="C473" s="12">
        <f t="shared" si="2"/>
        <v>3</v>
      </c>
      <c r="D473" s="12" t="str">
        <f>IFERROR(__xludf.DUMMYFUNCTION("IFERROR(IF(REGEXMATCH(LOWER(Raw_Data!C479),""fixed deposit|owealth|savings|target""),""Fixed Deposit"",IF(REGEXMATCH(LOWER(Raw_Data!C479),""airtime""),""Airtime"",IF(REGEXMATCH(LOWER(Raw_Data!C479),""electronic money transfer levy""),""Electronic Money Tr"&amp;"ansfer Levy"",IF(REGEXMATCH(LOWER(Raw_Data!C479),""transfer|trf|send""),""Transfer"",""Other"")))),""Other"")"),"Transfer")</f>
        <v>Transfer</v>
      </c>
      <c r="E473" s="20">
        <v>0.0</v>
      </c>
      <c r="F473" s="20">
        <v>500.0</v>
      </c>
      <c r="G473" s="12" t="str">
        <f t="shared" si="3"/>
        <v>Deposit</v>
      </c>
      <c r="H473" s="12" t="str">
        <f>TEXT(Raw_Data!A479,"hh:mm:ss")
</f>
        <v>16:26:50</v>
      </c>
      <c r="I473" s="20">
        <f t="shared" si="4"/>
        <v>500</v>
      </c>
    </row>
    <row r="474">
      <c r="A474" s="12" t="str">
        <f>Raw_Data!A480</f>
        <v>04 Mar 2025 07:40:13</v>
      </c>
      <c r="B474" s="12" t="str">
        <f t="shared" si="1"/>
        <v>March</v>
      </c>
      <c r="C474" s="12">
        <f t="shared" si="2"/>
        <v>3</v>
      </c>
      <c r="D474" s="12" t="str">
        <f>IFERROR(__xludf.DUMMYFUNCTION("IFERROR(IF(REGEXMATCH(LOWER(Raw_Data!C480),""fixed deposit|owealth|savings|target""),""Fixed Deposit"",IF(REGEXMATCH(LOWER(Raw_Data!C480),""airtime""),""Airtime"",IF(REGEXMATCH(LOWER(Raw_Data!C480),""electronic money transfer levy""),""Electronic Money Tr"&amp;"ansfer Levy"",IF(REGEXMATCH(LOWER(Raw_Data!C480),""transfer|trf|send""),""Transfer"",""Other"")))),""Other"")"),"Transfer")</f>
        <v>Transfer</v>
      </c>
      <c r="E474" s="20">
        <v>1000.0</v>
      </c>
      <c r="F474" s="20">
        <v>0.0</v>
      </c>
      <c r="G474" s="12" t="str">
        <f t="shared" si="3"/>
        <v>Withdrawal</v>
      </c>
      <c r="H474" s="12" t="str">
        <f>TEXT(Raw_Data!A480,"hh:mm:ss")
</f>
        <v>07:40:13</v>
      </c>
      <c r="I474" s="20">
        <f t="shared" si="4"/>
        <v>1000</v>
      </c>
    </row>
    <row r="475">
      <c r="A475" s="12" t="str">
        <f>Raw_Data!A481</f>
        <v>04 Mar 2025 13:58:11</v>
      </c>
      <c r="B475" s="12" t="str">
        <f t="shared" si="1"/>
        <v>March</v>
      </c>
      <c r="C475" s="12">
        <f t="shared" si="2"/>
        <v>3</v>
      </c>
      <c r="D475" s="12" t="str">
        <f>IFERROR(__xludf.DUMMYFUNCTION("IFERROR(IF(REGEXMATCH(LOWER(Raw_Data!C481),""fixed deposit|owealth|savings|target""),""Fixed Deposit"",IF(REGEXMATCH(LOWER(Raw_Data!C481),""airtime""),""Airtime"",IF(REGEXMATCH(LOWER(Raw_Data!C481),""electronic money transfer levy""),""Electronic Money Tr"&amp;"ansfer Levy"",IF(REGEXMATCH(LOWER(Raw_Data!C481),""transfer|trf|send""),""Transfer"",""Other"")))),""Other"")"),"Transfer")</f>
        <v>Transfer</v>
      </c>
      <c r="E475" s="20">
        <v>0.0</v>
      </c>
      <c r="F475" s="20">
        <v>2000.0</v>
      </c>
      <c r="G475" s="12" t="str">
        <f t="shared" si="3"/>
        <v>Deposit</v>
      </c>
      <c r="H475" s="12" t="str">
        <f>TEXT(Raw_Data!A481,"hh:mm:ss")
</f>
        <v>13:58:11</v>
      </c>
      <c r="I475" s="20">
        <f t="shared" si="4"/>
        <v>2000</v>
      </c>
    </row>
    <row r="476">
      <c r="A476" s="12" t="str">
        <f>Raw_Data!A482</f>
        <v>04 Mar 2025 14:49:55</v>
      </c>
      <c r="B476" s="12" t="str">
        <f t="shared" si="1"/>
        <v>March</v>
      </c>
      <c r="C476" s="12">
        <f t="shared" si="2"/>
        <v>3</v>
      </c>
      <c r="D476" s="12" t="str">
        <f>IFERROR(__xludf.DUMMYFUNCTION("IFERROR(IF(REGEXMATCH(LOWER(Raw_Data!C482),""fixed deposit|owealth|savings|target""),""Fixed Deposit"",IF(REGEXMATCH(LOWER(Raw_Data!C482),""airtime""),""Airtime"",IF(REGEXMATCH(LOWER(Raw_Data!C482),""electronic money transfer levy""),""Electronic Money Tr"&amp;"ansfer Levy"",IF(REGEXMATCH(LOWER(Raw_Data!C482),""transfer|trf|send""),""Transfer"",""Other"")))),""Other"")"),"Transfer")</f>
        <v>Transfer</v>
      </c>
      <c r="E476" s="20">
        <v>200.0</v>
      </c>
      <c r="F476" s="20">
        <v>0.0</v>
      </c>
      <c r="G476" s="12" t="str">
        <f t="shared" si="3"/>
        <v>Withdrawal</v>
      </c>
      <c r="H476" s="12" t="str">
        <f>TEXT(Raw_Data!A482,"hh:mm:ss")
</f>
        <v>14:49:55</v>
      </c>
      <c r="I476" s="20">
        <f t="shared" si="4"/>
        <v>200</v>
      </c>
    </row>
    <row r="477">
      <c r="A477" s="12" t="str">
        <f>Raw_Data!A483</f>
        <v>04 Mar 2025 15:22:43</v>
      </c>
      <c r="B477" s="12" t="str">
        <f t="shared" si="1"/>
        <v>March</v>
      </c>
      <c r="C477" s="12">
        <f t="shared" si="2"/>
        <v>3</v>
      </c>
      <c r="D477" s="12" t="str">
        <f>IFERROR(__xludf.DUMMYFUNCTION("IFERROR(IF(REGEXMATCH(LOWER(Raw_Data!C483),""fixed deposit|owealth|savings|target""),""Fixed Deposit"",IF(REGEXMATCH(LOWER(Raw_Data!C483),""airtime""),""Airtime"",IF(REGEXMATCH(LOWER(Raw_Data!C483),""electronic money transfer levy""),""Electronic Money Tr"&amp;"ansfer Levy"",IF(REGEXMATCH(LOWER(Raw_Data!C483),""transfer|trf|send""),""Transfer"",""Other"")))),""Other"")"),"Transfer")</f>
        <v>Transfer</v>
      </c>
      <c r="E477" s="20">
        <v>600.0</v>
      </c>
      <c r="F477" s="20">
        <v>0.0</v>
      </c>
      <c r="G477" s="12" t="str">
        <f t="shared" si="3"/>
        <v>Withdrawal</v>
      </c>
      <c r="H477" s="12" t="str">
        <f>TEXT(Raw_Data!A483,"hh:mm:ss")
</f>
        <v>15:22:43</v>
      </c>
      <c r="I477" s="20">
        <f t="shared" si="4"/>
        <v>600</v>
      </c>
    </row>
    <row r="478">
      <c r="A478" s="12" t="str">
        <f>Raw_Data!A484</f>
        <v>04 Mar 2025 15:49:57</v>
      </c>
      <c r="B478" s="12" t="str">
        <f t="shared" si="1"/>
        <v>March</v>
      </c>
      <c r="C478" s="12">
        <f t="shared" si="2"/>
        <v>3</v>
      </c>
      <c r="D478" s="12" t="str">
        <f>IFERROR(__xludf.DUMMYFUNCTION("IFERROR(IF(REGEXMATCH(LOWER(Raw_Data!C484),""fixed deposit|owealth|savings|target""),""Fixed Deposit"",IF(REGEXMATCH(LOWER(Raw_Data!C484),""airtime""),""Airtime"",IF(REGEXMATCH(LOWER(Raw_Data!C484),""electronic money transfer levy""),""Electronic Money Tr"&amp;"ansfer Levy"",IF(REGEXMATCH(LOWER(Raw_Data!C484),""transfer|trf|send""),""Transfer"",""Other"")))),""Other"")"),"Transfer")</f>
        <v>Transfer</v>
      </c>
      <c r="E478" s="20">
        <v>1300.0</v>
      </c>
      <c r="F478" s="20">
        <v>0.0</v>
      </c>
      <c r="G478" s="12" t="str">
        <f t="shared" si="3"/>
        <v>Withdrawal</v>
      </c>
      <c r="H478" s="12" t="str">
        <f>TEXT(Raw_Data!A484,"hh:mm:ss")
</f>
        <v>15:49:57</v>
      </c>
      <c r="I478" s="20">
        <f t="shared" si="4"/>
        <v>1300</v>
      </c>
    </row>
    <row r="479">
      <c r="A479" s="12" t="str">
        <f>Raw_Data!A485</f>
        <v>05 Mar 2025 13:25:44</v>
      </c>
      <c r="B479" s="12" t="str">
        <f t="shared" si="1"/>
        <v>March</v>
      </c>
      <c r="C479" s="12">
        <f t="shared" si="2"/>
        <v>3</v>
      </c>
      <c r="D479" s="12" t="str">
        <f>IFERROR(__xludf.DUMMYFUNCTION("IFERROR(IF(REGEXMATCH(LOWER(Raw_Data!C485),""fixed deposit|owealth|savings|target""),""Fixed Deposit"",IF(REGEXMATCH(LOWER(Raw_Data!C485),""airtime""),""Airtime"",IF(REGEXMATCH(LOWER(Raw_Data!C485),""electronic money transfer levy""),""Electronic Money Tr"&amp;"ansfer Levy"",IF(REGEXMATCH(LOWER(Raw_Data!C485),""transfer|trf|send""),""Transfer"",""Other"")))),""Other"")"),"Transfer")</f>
        <v>Transfer</v>
      </c>
      <c r="E479" s="20">
        <v>0.0</v>
      </c>
      <c r="F479" s="20">
        <v>1000.0</v>
      </c>
      <c r="G479" s="12" t="str">
        <f t="shared" si="3"/>
        <v>Deposit</v>
      </c>
      <c r="H479" s="12" t="str">
        <f>TEXT(Raw_Data!A485,"hh:mm:ss")
</f>
        <v>13:25:44</v>
      </c>
      <c r="I479" s="20">
        <f t="shared" si="4"/>
        <v>1000</v>
      </c>
    </row>
    <row r="480">
      <c r="A480" s="12" t="str">
        <f>Raw_Data!A486</f>
        <v>05 Mar 2025 14:31:55</v>
      </c>
      <c r="B480" s="12" t="str">
        <f t="shared" si="1"/>
        <v>March</v>
      </c>
      <c r="C480" s="12">
        <f t="shared" si="2"/>
        <v>3</v>
      </c>
      <c r="D480" s="12" t="str">
        <f>IFERROR(__xludf.DUMMYFUNCTION("IFERROR(IF(REGEXMATCH(LOWER(Raw_Data!C486),""fixed deposit|owealth|savings|target""),""Fixed Deposit"",IF(REGEXMATCH(LOWER(Raw_Data!C486),""airtime""),""Airtime"",IF(REGEXMATCH(LOWER(Raw_Data!C486),""electronic money transfer levy""),""Electronic Money Tr"&amp;"ansfer Levy"",IF(REGEXMATCH(LOWER(Raw_Data!C486),""transfer|trf|send""),""Transfer"",""Other"")))),""Other"")"),"Transfer")</f>
        <v>Transfer</v>
      </c>
      <c r="E480" s="20">
        <v>300.0</v>
      </c>
      <c r="F480" s="20">
        <v>0.0</v>
      </c>
      <c r="G480" s="12" t="str">
        <f t="shared" si="3"/>
        <v>Withdrawal</v>
      </c>
      <c r="H480" s="12" t="str">
        <f>TEXT(Raw_Data!A486,"hh:mm:ss")
</f>
        <v>14:31:55</v>
      </c>
      <c r="I480" s="20">
        <f t="shared" si="4"/>
        <v>300</v>
      </c>
    </row>
    <row r="481">
      <c r="A481" s="12" t="str">
        <f>Raw_Data!A487</f>
        <v>05 Mar 2025 14:35:13</v>
      </c>
      <c r="B481" s="12" t="str">
        <f t="shared" si="1"/>
        <v>March</v>
      </c>
      <c r="C481" s="12">
        <f t="shared" si="2"/>
        <v>3</v>
      </c>
      <c r="D481" s="12" t="str">
        <f>IFERROR(__xludf.DUMMYFUNCTION("IFERROR(IF(REGEXMATCH(LOWER(Raw_Data!C487),""fixed deposit|owealth|savings|target""),""Fixed Deposit"",IF(REGEXMATCH(LOWER(Raw_Data!C487),""airtime""),""Airtime"",IF(REGEXMATCH(LOWER(Raw_Data!C487),""electronic money transfer levy""),""Electronic Money Tr"&amp;"ansfer Levy"",IF(REGEXMATCH(LOWER(Raw_Data!C487),""transfer|trf|send""),""Transfer"",""Other"")))),""Other"")"),"Airtime")</f>
        <v>Airtime</v>
      </c>
      <c r="E481" s="20">
        <v>200.0</v>
      </c>
      <c r="F481" s="20">
        <v>0.0</v>
      </c>
      <c r="G481" s="12" t="str">
        <f t="shared" si="3"/>
        <v>Withdrawal</v>
      </c>
      <c r="H481" s="12" t="str">
        <f>TEXT(Raw_Data!A487,"hh:mm:ss")
</f>
        <v>14:35:13</v>
      </c>
      <c r="I481" s="20">
        <f t="shared" si="4"/>
        <v>200</v>
      </c>
    </row>
    <row r="482">
      <c r="A482" s="12" t="str">
        <f>Raw_Data!A488</f>
        <v>05 Mar 2025 15:45:02</v>
      </c>
      <c r="B482" s="12" t="str">
        <f t="shared" si="1"/>
        <v>March</v>
      </c>
      <c r="C482" s="12">
        <f t="shared" si="2"/>
        <v>3</v>
      </c>
      <c r="D482" s="12" t="str">
        <f>IFERROR(__xludf.DUMMYFUNCTION("IFERROR(IF(REGEXMATCH(LOWER(Raw_Data!C488),""fixed deposit|owealth|savings|target""),""Fixed Deposit"",IF(REGEXMATCH(LOWER(Raw_Data!C488),""airtime""),""Airtime"",IF(REGEXMATCH(LOWER(Raw_Data!C488),""electronic money transfer levy""),""Electronic Money Tr"&amp;"ansfer Levy"",IF(REGEXMATCH(LOWER(Raw_Data!C488),""transfer|trf|send""),""Transfer"",""Other"")))),""Other"")"),"Transfer")</f>
        <v>Transfer</v>
      </c>
      <c r="E482" s="20">
        <v>200.0</v>
      </c>
      <c r="F482" s="20">
        <v>0.0</v>
      </c>
      <c r="G482" s="12" t="str">
        <f t="shared" si="3"/>
        <v>Withdrawal</v>
      </c>
      <c r="H482" s="12" t="str">
        <f>TEXT(Raw_Data!A488,"hh:mm:ss")
</f>
        <v>15:45:02</v>
      </c>
      <c r="I482" s="20">
        <f t="shared" si="4"/>
        <v>200</v>
      </c>
    </row>
    <row r="483">
      <c r="A483" s="12" t="str">
        <f>Raw_Data!A489</f>
        <v>06 Mar 2025 03:34:44</v>
      </c>
      <c r="B483" s="12" t="str">
        <f t="shared" si="1"/>
        <v>March</v>
      </c>
      <c r="C483" s="12">
        <f t="shared" si="2"/>
        <v>3</v>
      </c>
      <c r="D483" s="12" t="str">
        <f>IFERROR(__xludf.DUMMYFUNCTION("IFERROR(IF(REGEXMATCH(LOWER(Raw_Data!C489),""fixed deposit|owealth|savings|target""),""Fixed Deposit"",IF(REGEXMATCH(LOWER(Raw_Data!C489),""airtime""),""Airtime"",IF(REGEXMATCH(LOWER(Raw_Data!C489),""electronic money transfer levy""),""Electronic Money Tr"&amp;"ansfer Levy"",IF(REGEXMATCH(LOWER(Raw_Data!C489),""transfer|trf|send""),""Transfer"",""Other"")))),""Other"")"),"Transfer")</f>
        <v>Transfer</v>
      </c>
      <c r="E483" s="20">
        <v>200.0</v>
      </c>
      <c r="F483" s="20">
        <v>0.0</v>
      </c>
      <c r="G483" s="12" t="str">
        <f t="shared" si="3"/>
        <v>Withdrawal</v>
      </c>
      <c r="H483" s="12" t="str">
        <f>TEXT(Raw_Data!A489,"hh:mm:ss")
</f>
        <v>03:34:44</v>
      </c>
      <c r="I483" s="20">
        <f t="shared" si="4"/>
        <v>200</v>
      </c>
    </row>
    <row r="484">
      <c r="A484" s="12" t="str">
        <f>Raw_Data!A490</f>
        <v>06 Mar 2025 15:21:01</v>
      </c>
      <c r="B484" s="12" t="str">
        <f t="shared" si="1"/>
        <v>March</v>
      </c>
      <c r="C484" s="12">
        <f t="shared" si="2"/>
        <v>3</v>
      </c>
      <c r="D484" s="12" t="str">
        <f>IFERROR(__xludf.DUMMYFUNCTION("IFERROR(IF(REGEXMATCH(LOWER(Raw_Data!C490),""fixed deposit|owealth|savings|target""),""Fixed Deposit"",IF(REGEXMATCH(LOWER(Raw_Data!C490),""airtime""),""Airtime"",IF(REGEXMATCH(LOWER(Raw_Data!C490),""electronic money transfer levy""),""Electronic Money Tr"&amp;"ansfer Levy"",IF(REGEXMATCH(LOWER(Raw_Data!C490),""transfer|trf|send""),""Transfer"",""Other"")))),""Other"")"),"Airtime")</f>
        <v>Airtime</v>
      </c>
      <c r="E484" s="20">
        <v>100.0</v>
      </c>
      <c r="F484" s="20">
        <v>0.0</v>
      </c>
      <c r="G484" s="12" t="str">
        <f t="shared" si="3"/>
        <v>Withdrawal</v>
      </c>
      <c r="H484" s="12" t="str">
        <f>TEXT(Raw_Data!A490,"hh:mm:ss")
</f>
        <v>15:21:01</v>
      </c>
      <c r="I484" s="20">
        <f t="shared" si="4"/>
        <v>100</v>
      </c>
    </row>
    <row r="485">
      <c r="A485" s="12" t="str">
        <f>Raw_Data!A491</f>
        <v>07 Mar 2025 13:08:33</v>
      </c>
      <c r="B485" s="12" t="str">
        <f t="shared" si="1"/>
        <v>March</v>
      </c>
      <c r="C485" s="12">
        <f t="shared" si="2"/>
        <v>3</v>
      </c>
      <c r="D485" s="12" t="str">
        <f>IFERROR(__xludf.DUMMYFUNCTION("IFERROR(IF(REGEXMATCH(LOWER(Raw_Data!C491),""fixed deposit|owealth|savings|target""),""Fixed Deposit"",IF(REGEXMATCH(LOWER(Raw_Data!C491),""airtime""),""Airtime"",IF(REGEXMATCH(LOWER(Raw_Data!C491),""electronic money transfer levy""),""Electronic Money Tr"&amp;"ansfer Levy"",IF(REGEXMATCH(LOWER(Raw_Data!C491),""transfer|trf|send""),""Transfer"",""Other"")))),""Other"")"),"Transfer")</f>
        <v>Transfer</v>
      </c>
      <c r="E485" s="20">
        <v>0.0</v>
      </c>
      <c r="F485" s="20">
        <v>3000.0</v>
      </c>
      <c r="G485" s="12" t="str">
        <f t="shared" si="3"/>
        <v>Deposit</v>
      </c>
      <c r="H485" s="12" t="str">
        <f>TEXT(Raw_Data!A491,"hh:mm:ss")
</f>
        <v>13:08:33</v>
      </c>
      <c r="I485" s="20">
        <f t="shared" si="4"/>
        <v>3000</v>
      </c>
    </row>
    <row r="486">
      <c r="A486" s="12" t="str">
        <f>Raw_Data!A492</f>
        <v>07 Mar 2025 19:49:34</v>
      </c>
      <c r="B486" s="12" t="str">
        <f t="shared" si="1"/>
        <v>March</v>
      </c>
      <c r="C486" s="12">
        <f t="shared" si="2"/>
        <v>3</v>
      </c>
      <c r="D486" s="12" t="str">
        <f>IFERROR(__xludf.DUMMYFUNCTION("IFERROR(IF(REGEXMATCH(LOWER(Raw_Data!C492),""fixed deposit|owealth|savings|target""),""Fixed Deposit"",IF(REGEXMATCH(LOWER(Raw_Data!C492),""airtime""),""Airtime"",IF(REGEXMATCH(LOWER(Raw_Data!C492),""electronic money transfer levy""),""Electronic Money Tr"&amp;"ansfer Levy"",IF(REGEXMATCH(LOWER(Raw_Data!C492),""transfer|trf|send""),""Transfer"",""Other"")))),""Other"")"),"Transfer")</f>
        <v>Transfer</v>
      </c>
      <c r="E486" s="20">
        <v>0.0</v>
      </c>
      <c r="F486" s="20">
        <v>5000.0</v>
      </c>
      <c r="G486" s="12" t="str">
        <f t="shared" si="3"/>
        <v>Deposit</v>
      </c>
      <c r="H486" s="12" t="str">
        <f>TEXT(Raw_Data!A492,"hh:mm:ss")
</f>
        <v>19:49:34</v>
      </c>
      <c r="I486" s="20">
        <f t="shared" si="4"/>
        <v>5000</v>
      </c>
    </row>
    <row r="487">
      <c r="A487" s="12" t="str">
        <f>Raw_Data!A493</f>
        <v>08 Mar 2025 04:16:38</v>
      </c>
      <c r="B487" s="12" t="str">
        <f t="shared" si="1"/>
        <v>March</v>
      </c>
      <c r="C487" s="12">
        <f t="shared" si="2"/>
        <v>3</v>
      </c>
      <c r="D487" s="12" t="str">
        <f>IFERROR(__xludf.DUMMYFUNCTION("IFERROR(IF(REGEXMATCH(LOWER(Raw_Data!C493),""fixed deposit|owealth|savings|target""),""Fixed Deposit"",IF(REGEXMATCH(LOWER(Raw_Data!C493),""airtime""),""Airtime"",IF(REGEXMATCH(LOWER(Raw_Data!C493),""electronic money transfer levy""),""Electronic Money Tr"&amp;"ansfer Levy"",IF(REGEXMATCH(LOWER(Raw_Data!C493),""transfer|trf|send""),""Transfer"",""Other"")))),""Other"")"),"Transfer")</f>
        <v>Transfer</v>
      </c>
      <c r="E487" s="20">
        <v>100.0</v>
      </c>
      <c r="F487" s="20">
        <v>0.0</v>
      </c>
      <c r="G487" s="12" t="str">
        <f t="shared" si="3"/>
        <v>Withdrawal</v>
      </c>
      <c r="H487" s="12" t="str">
        <f>TEXT(Raw_Data!A493,"hh:mm:ss")
</f>
        <v>04:16:38</v>
      </c>
      <c r="I487" s="20">
        <f t="shared" si="4"/>
        <v>100</v>
      </c>
    </row>
    <row r="488">
      <c r="A488" s="12" t="str">
        <f>Raw_Data!A494</f>
        <v>08 Mar 2025 04:44:33</v>
      </c>
      <c r="B488" s="12" t="str">
        <f t="shared" si="1"/>
        <v>March</v>
      </c>
      <c r="C488" s="12">
        <f t="shared" si="2"/>
        <v>3</v>
      </c>
      <c r="D488" s="12" t="str">
        <f>IFERROR(__xludf.DUMMYFUNCTION("IFERROR(IF(REGEXMATCH(LOWER(Raw_Data!C494),""fixed deposit|owealth|savings|target""),""Fixed Deposit"",IF(REGEXMATCH(LOWER(Raw_Data!C494),""airtime""),""Airtime"",IF(REGEXMATCH(LOWER(Raw_Data!C494),""electronic money transfer levy""),""Electronic Money Tr"&amp;"ansfer Levy"",IF(REGEXMATCH(LOWER(Raw_Data!C494),""transfer|trf|send""),""Transfer"",""Other"")))),""Other"")"),"Transfer")</f>
        <v>Transfer</v>
      </c>
      <c r="E488" s="20">
        <v>3000.0</v>
      </c>
      <c r="F488" s="20">
        <v>0.0</v>
      </c>
      <c r="G488" s="12" t="str">
        <f t="shared" si="3"/>
        <v>Withdrawal</v>
      </c>
      <c r="H488" s="12" t="str">
        <f>TEXT(Raw_Data!A494,"hh:mm:ss")
</f>
        <v>04:44:33</v>
      </c>
      <c r="I488" s="20">
        <f t="shared" si="4"/>
        <v>3000</v>
      </c>
    </row>
    <row r="489">
      <c r="A489" s="12" t="str">
        <f>Raw_Data!A495</f>
        <v>08 Mar 2025 07:56:46</v>
      </c>
      <c r="B489" s="12" t="str">
        <f t="shared" si="1"/>
        <v>March</v>
      </c>
      <c r="C489" s="12">
        <f t="shared" si="2"/>
        <v>3</v>
      </c>
      <c r="D489" s="12" t="str">
        <f>IFERROR(__xludf.DUMMYFUNCTION("IFERROR(IF(REGEXMATCH(LOWER(Raw_Data!C495),""fixed deposit|owealth|savings|target""),""Fixed Deposit"",IF(REGEXMATCH(LOWER(Raw_Data!C495),""airtime""),""Airtime"",IF(REGEXMATCH(LOWER(Raw_Data!C495),""electronic money transfer levy""),""Electronic Money Tr"&amp;"ansfer Levy"",IF(REGEXMATCH(LOWER(Raw_Data!C495),""transfer|trf|send""),""Transfer"",""Other"")))),""Other"")"),"Transfer")</f>
        <v>Transfer</v>
      </c>
      <c r="E489" s="20">
        <v>2000.0</v>
      </c>
      <c r="F489" s="20">
        <v>0.0</v>
      </c>
      <c r="G489" s="12" t="str">
        <f t="shared" si="3"/>
        <v>Withdrawal</v>
      </c>
      <c r="H489" s="12" t="str">
        <f>TEXT(Raw_Data!A495,"hh:mm:ss")
</f>
        <v>07:56:46</v>
      </c>
      <c r="I489" s="20">
        <f t="shared" si="4"/>
        <v>2000</v>
      </c>
    </row>
    <row r="490">
      <c r="A490" s="12" t="str">
        <f>Raw_Data!A496</f>
        <v>08 Mar 2025 10:26:27</v>
      </c>
      <c r="B490" s="12" t="str">
        <f t="shared" si="1"/>
        <v>March</v>
      </c>
      <c r="C490" s="12">
        <f t="shared" si="2"/>
        <v>3</v>
      </c>
      <c r="D490" s="12" t="str">
        <f>IFERROR(__xludf.DUMMYFUNCTION("IFERROR(IF(REGEXMATCH(LOWER(Raw_Data!C496),""fixed deposit|owealth|savings|target""),""Fixed Deposit"",IF(REGEXMATCH(LOWER(Raw_Data!C496),""airtime""),""Airtime"",IF(REGEXMATCH(LOWER(Raw_Data!C496),""electronic money transfer levy""),""Electronic Money Tr"&amp;"ansfer Levy"",IF(REGEXMATCH(LOWER(Raw_Data!C496),""transfer|trf|send""),""Transfer"",""Other"")))),""Other"")"),"Transfer")</f>
        <v>Transfer</v>
      </c>
      <c r="E490" s="20">
        <v>250.0</v>
      </c>
      <c r="F490" s="20">
        <v>0.0</v>
      </c>
      <c r="G490" s="12" t="str">
        <f t="shared" si="3"/>
        <v>Withdrawal</v>
      </c>
      <c r="H490" s="12" t="str">
        <f>TEXT(Raw_Data!A496,"hh:mm:ss")
</f>
        <v>10:26:27</v>
      </c>
      <c r="I490" s="20">
        <f t="shared" si="4"/>
        <v>250</v>
      </c>
    </row>
    <row r="491">
      <c r="A491" s="12" t="str">
        <f>Raw_Data!A497</f>
        <v>08 Mar 2025 14:13:31</v>
      </c>
      <c r="B491" s="12" t="str">
        <f t="shared" si="1"/>
        <v>March</v>
      </c>
      <c r="C491" s="12">
        <f t="shared" si="2"/>
        <v>3</v>
      </c>
      <c r="D491" s="12" t="str">
        <f>IFERROR(__xludf.DUMMYFUNCTION("IFERROR(IF(REGEXMATCH(LOWER(Raw_Data!C497),""fixed deposit|owealth|savings|target""),""Fixed Deposit"",IF(REGEXMATCH(LOWER(Raw_Data!C497),""airtime""),""Airtime"",IF(REGEXMATCH(LOWER(Raw_Data!C497),""electronic money transfer levy""),""Electronic Money Tr"&amp;"ansfer Levy"",IF(REGEXMATCH(LOWER(Raw_Data!C497),""transfer|trf|send""),""Transfer"",""Other"")))),""Other"")"),"Transfer")</f>
        <v>Transfer</v>
      </c>
      <c r="E491" s="20">
        <v>0.0</v>
      </c>
      <c r="F491" s="20">
        <v>1000.0</v>
      </c>
      <c r="G491" s="12" t="str">
        <f t="shared" si="3"/>
        <v>Deposit</v>
      </c>
      <c r="H491" s="12" t="str">
        <f>TEXT(Raw_Data!A497,"hh:mm:ss")
</f>
        <v>14:13:31</v>
      </c>
      <c r="I491" s="20">
        <f t="shared" si="4"/>
        <v>1000</v>
      </c>
    </row>
    <row r="492">
      <c r="A492" s="12" t="str">
        <f>Raw_Data!A498</f>
        <v>08 Mar 2025 14:57:33</v>
      </c>
      <c r="B492" s="12" t="str">
        <f t="shared" si="1"/>
        <v>March</v>
      </c>
      <c r="C492" s="12">
        <f t="shared" si="2"/>
        <v>3</v>
      </c>
      <c r="D492" s="12" t="str">
        <f>IFERROR(__xludf.DUMMYFUNCTION("IFERROR(IF(REGEXMATCH(LOWER(Raw_Data!C498),""fixed deposit|owealth|savings|target""),""Fixed Deposit"",IF(REGEXMATCH(LOWER(Raw_Data!C498),""airtime""),""Airtime"",IF(REGEXMATCH(LOWER(Raw_Data!C498),""electronic money transfer levy""),""Electronic Money Tr"&amp;"ansfer Levy"",IF(REGEXMATCH(LOWER(Raw_Data!C498),""transfer|trf|send""),""Transfer"",""Other"")))),""Other"")"),"Transfer")</f>
        <v>Transfer</v>
      </c>
      <c r="E492" s="20">
        <v>1000.0</v>
      </c>
      <c r="F492" s="20">
        <v>0.0</v>
      </c>
      <c r="G492" s="12" t="str">
        <f t="shared" si="3"/>
        <v>Withdrawal</v>
      </c>
      <c r="H492" s="12" t="str">
        <f>TEXT(Raw_Data!A498,"hh:mm:ss")
</f>
        <v>14:57:33</v>
      </c>
      <c r="I492" s="20">
        <f t="shared" si="4"/>
        <v>1000</v>
      </c>
    </row>
    <row r="493">
      <c r="A493" s="12" t="str">
        <f>Raw_Data!A499</f>
        <v>08 Mar 2025 15:43:47</v>
      </c>
      <c r="B493" s="12" t="str">
        <f t="shared" si="1"/>
        <v>March</v>
      </c>
      <c r="C493" s="12">
        <f t="shared" si="2"/>
        <v>3</v>
      </c>
      <c r="D493" s="12" t="str">
        <f>IFERROR(__xludf.DUMMYFUNCTION("IFERROR(IF(REGEXMATCH(LOWER(Raw_Data!C499),""fixed deposit|owealth|savings|target""),""Fixed Deposit"",IF(REGEXMATCH(LOWER(Raw_Data!C499),""airtime""),""Airtime"",IF(REGEXMATCH(LOWER(Raw_Data!C499),""electronic money transfer levy""),""Electronic Money Tr"&amp;"ansfer Levy"",IF(REGEXMATCH(LOWER(Raw_Data!C499),""transfer|trf|send""),""Transfer"",""Other"")))),""Other"")"),"Transfer")</f>
        <v>Transfer</v>
      </c>
      <c r="E493" s="20">
        <v>200.0</v>
      </c>
      <c r="F493" s="20">
        <v>0.0</v>
      </c>
      <c r="G493" s="12" t="str">
        <f t="shared" si="3"/>
        <v>Withdrawal</v>
      </c>
      <c r="H493" s="12" t="str">
        <f>TEXT(Raw_Data!A499,"hh:mm:ss")
</f>
        <v>15:43:47</v>
      </c>
      <c r="I493" s="20">
        <f t="shared" si="4"/>
        <v>200</v>
      </c>
    </row>
    <row r="494">
      <c r="A494" s="12" t="str">
        <f>Raw_Data!A500</f>
        <v>08 Mar 2025 15:47:21</v>
      </c>
      <c r="B494" s="12" t="str">
        <f t="shared" si="1"/>
        <v>March</v>
      </c>
      <c r="C494" s="12">
        <f t="shared" si="2"/>
        <v>3</v>
      </c>
      <c r="D494" s="12" t="str">
        <f>IFERROR(__xludf.DUMMYFUNCTION("IFERROR(IF(REGEXMATCH(LOWER(Raw_Data!C500),""fixed deposit|owealth|savings|target""),""Fixed Deposit"",IF(REGEXMATCH(LOWER(Raw_Data!C500),""airtime""),""Airtime"",IF(REGEXMATCH(LOWER(Raw_Data!C500),""electronic money transfer levy""),""Electronic Money Tr"&amp;"ansfer Levy"",IF(REGEXMATCH(LOWER(Raw_Data!C500),""transfer|trf|send""),""Transfer"",""Other"")))),""Other"")"),"Transfer")</f>
        <v>Transfer</v>
      </c>
      <c r="E494" s="20">
        <v>0.0</v>
      </c>
      <c r="F494" s="20">
        <v>20000.0</v>
      </c>
      <c r="G494" s="12" t="str">
        <f t="shared" si="3"/>
        <v>Deposit</v>
      </c>
      <c r="H494" s="12" t="str">
        <f>TEXT(Raw_Data!A500,"hh:mm:ss")
</f>
        <v>15:47:21</v>
      </c>
      <c r="I494" s="20">
        <f t="shared" si="4"/>
        <v>20000</v>
      </c>
    </row>
    <row r="495">
      <c r="A495" s="12" t="str">
        <f>Raw_Data!A501</f>
        <v>08 Mar 2025 15:47:27</v>
      </c>
      <c r="B495" s="12" t="str">
        <f t="shared" si="1"/>
        <v>March</v>
      </c>
      <c r="C495" s="12">
        <f t="shared" si="2"/>
        <v>3</v>
      </c>
      <c r="D495" s="12" t="str">
        <f>IFERROR(__xludf.DUMMYFUNCTION("IFERROR(IF(REGEXMATCH(LOWER(Raw_Data!C501),""fixed deposit|owealth|savings|target""),""Fixed Deposit"",IF(REGEXMATCH(LOWER(Raw_Data!C501),""airtime""),""Airtime"",IF(REGEXMATCH(LOWER(Raw_Data!C501),""electronic money transfer levy""),""Electronic Money Tr"&amp;"ansfer Levy"",IF(REGEXMATCH(LOWER(Raw_Data!C501),""transfer|trf|send""),""Transfer"",""Other"")))),""Other"")"),"Electronic Money Transfer Levy")</f>
        <v>Electronic Money Transfer Levy</v>
      </c>
      <c r="E495" s="20">
        <v>50.0</v>
      </c>
      <c r="F495" s="20">
        <v>0.0</v>
      </c>
      <c r="G495" s="12" t="str">
        <f t="shared" si="3"/>
        <v>Withdrawal</v>
      </c>
      <c r="H495" s="12" t="str">
        <f>TEXT(Raw_Data!A501,"hh:mm:ss")
</f>
        <v>15:47:27</v>
      </c>
      <c r="I495" s="20">
        <f t="shared" si="4"/>
        <v>50</v>
      </c>
    </row>
    <row r="496">
      <c r="A496" s="12" t="str">
        <f>Raw_Data!A502</f>
        <v>08 Mar 2025 15:54:45</v>
      </c>
      <c r="B496" s="12" t="str">
        <f t="shared" si="1"/>
        <v>March</v>
      </c>
      <c r="C496" s="12">
        <f t="shared" si="2"/>
        <v>3</v>
      </c>
      <c r="D496" s="12" t="str">
        <f>IFERROR(__xludf.DUMMYFUNCTION("IFERROR(IF(REGEXMATCH(LOWER(Raw_Data!C502),""fixed deposit|owealth|savings|target""),""Fixed Deposit"",IF(REGEXMATCH(LOWER(Raw_Data!C502),""airtime""),""Airtime"",IF(REGEXMATCH(LOWER(Raw_Data!C502),""electronic money transfer levy""),""Electronic Money Tr"&amp;"ansfer Levy"",IF(REGEXMATCH(LOWER(Raw_Data!C502),""transfer|trf|send""),""Transfer"",""Other"")))),""Other"")"),"Transfer")</f>
        <v>Transfer</v>
      </c>
      <c r="E496" s="20">
        <v>13010.0</v>
      </c>
      <c r="F496" s="20">
        <v>0.0</v>
      </c>
      <c r="G496" s="12" t="str">
        <f t="shared" si="3"/>
        <v>Withdrawal</v>
      </c>
      <c r="H496" s="12" t="str">
        <f>TEXT(Raw_Data!A502,"hh:mm:ss")
</f>
        <v>15:54:45</v>
      </c>
      <c r="I496" s="20">
        <f t="shared" si="4"/>
        <v>13010</v>
      </c>
    </row>
    <row r="497">
      <c r="A497" s="12" t="str">
        <f>Raw_Data!A503</f>
        <v>08 Mar 2025 17:04:39</v>
      </c>
      <c r="B497" s="12" t="str">
        <f t="shared" si="1"/>
        <v>March</v>
      </c>
      <c r="C497" s="12">
        <f t="shared" si="2"/>
        <v>3</v>
      </c>
      <c r="D497" s="12" t="str">
        <f>IFERROR(__xludf.DUMMYFUNCTION("IFERROR(IF(REGEXMATCH(LOWER(Raw_Data!C503),""fixed deposit|owealth|savings|target""),""Fixed Deposit"",IF(REGEXMATCH(LOWER(Raw_Data!C503),""airtime""),""Airtime"",IF(REGEXMATCH(LOWER(Raw_Data!C503),""electronic money transfer levy""),""Electronic Money Tr"&amp;"ansfer Levy"",IF(REGEXMATCH(LOWER(Raw_Data!C503),""transfer|trf|send""),""Transfer"",""Other"")))),""Other"")"),"Transfer")</f>
        <v>Transfer</v>
      </c>
      <c r="E497" s="20">
        <v>200.0</v>
      </c>
      <c r="F497" s="20">
        <v>0.0</v>
      </c>
      <c r="G497" s="12" t="str">
        <f t="shared" si="3"/>
        <v>Withdrawal</v>
      </c>
      <c r="H497" s="12" t="str">
        <f>TEXT(Raw_Data!A503,"hh:mm:ss")
</f>
        <v>17:04:39</v>
      </c>
      <c r="I497" s="20">
        <f t="shared" si="4"/>
        <v>200</v>
      </c>
    </row>
    <row r="498">
      <c r="A498" s="12" t="str">
        <f>Raw_Data!A504</f>
        <v>08 Mar 2025 19:02:27</v>
      </c>
      <c r="B498" s="12" t="str">
        <f t="shared" si="1"/>
        <v>March</v>
      </c>
      <c r="C498" s="12">
        <f t="shared" si="2"/>
        <v>3</v>
      </c>
      <c r="D498" s="12" t="str">
        <f>IFERROR(__xludf.DUMMYFUNCTION("IFERROR(IF(REGEXMATCH(LOWER(Raw_Data!C504),""fixed deposit|owealth|savings|target""),""Fixed Deposit"",IF(REGEXMATCH(LOWER(Raw_Data!C504),""airtime""),""Airtime"",IF(REGEXMATCH(LOWER(Raw_Data!C504),""electronic money transfer levy""),""Electronic Money Tr"&amp;"ansfer Levy"",IF(REGEXMATCH(LOWER(Raw_Data!C504),""transfer|trf|send""),""Transfer"",""Other"")))),""Other"")"),"Airtime")</f>
        <v>Airtime</v>
      </c>
      <c r="E498" s="20">
        <v>1000.0</v>
      </c>
      <c r="F498" s="20">
        <v>0.0</v>
      </c>
      <c r="G498" s="12" t="str">
        <f t="shared" si="3"/>
        <v>Withdrawal</v>
      </c>
      <c r="H498" s="12" t="str">
        <f>TEXT(Raw_Data!A504,"hh:mm:ss")
</f>
        <v>19:02:27</v>
      </c>
      <c r="I498" s="20">
        <f t="shared" si="4"/>
        <v>1000</v>
      </c>
    </row>
    <row r="499">
      <c r="A499" s="12" t="str">
        <f>Raw_Data!A505</f>
        <v>08 Mar 2025 21:16:05</v>
      </c>
      <c r="B499" s="12" t="str">
        <f t="shared" si="1"/>
        <v>March</v>
      </c>
      <c r="C499" s="12">
        <f t="shared" si="2"/>
        <v>3</v>
      </c>
      <c r="D499" s="12" t="str">
        <f>IFERROR(__xludf.DUMMYFUNCTION("IFERROR(IF(REGEXMATCH(LOWER(Raw_Data!C505),""fixed deposit|owealth|savings|target""),""Fixed Deposit"",IF(REGEXMATCH(LOWER(Raw_Data!C505),""airtime""),""Airtime"",IF(REGEXMATCH(LOWER(Raw_Data!C505),""electronic money transfer levy""),""Electronic Money Tr"&amp;"ansfer Levy"",IF(REGEXMATCH(LOWER(Raw_Data!C505),""transfer|trf|send""),""Transfer"",""Other"")))),""Other"")"),"Transfer")</f>
        <v>Transfer</v>
      </c>
      <c r="E499" s="20">
        <v>960.0</v>
      </c>
      <c r="F499" s="20">
        <v>0.0</v>
      </c>
      <c r="G499" s="12" t="str">
        <f t="shared" si="3"/>
        <v>Withdrawal</v>
      </c>
      <c r="H499" s="12" t="str">
        <f>TEXT(Raw_Data!A505,"hh:mm:ss")
</f>
        <v>21:16:05</v>
      </c>
      <c r="I499" s="20">
        <f t="shared" si="4"/>
        <v>960</v>
      </c>
    </row>
    <row r="500">
      <c r="A500" s="12" t="str">
        <f>Raw_Data!A506</f>
        <v>08 Mar 2025 21:57:39</v>
      </c>
      <c r="B500" s="12" t="str">
        <f t="shared" si="1"/>
        <v>March</v>
      </c>
      <c r="C500" s="12">
        <f t="shared" si="2"/>
        <v>3</v>
      </c>
      <c r="D500" s="12" t="str">
        <f>IFERROR(__xludf.DUMMYFUNCTION("IFERROR(IF(REGEXMATCH(LOWER(Raw_Data!C506),""fixed deposit|owealth|savings|target""),""Fixed Deposit"",IF(REGEXMATCH(LOWER(Raw_Data!C506),""airtime""),""Airtime"",IF(REGEXMATCH(LOWER(Raw_Data!C506),""electronic money transfer levy""),""Electronic Money Tr"&amp;"ansfer Levy"",IF(REGEXMATCH(LOWER(Raw_Data!C506),""transfer|trf|send""),""Transfer"",""Other"")))),""Other"")"),"Airtime")</f>
        <v>Airtime</v>
      </c>
      <c r="E500" s="20">
        <v>500.0</v>
      </c>
      <c r="F500" s="20">
        <v>0.0</v>
      </c>
      <c r="G500" s="12" t="str">
        <f t="shared" si="3"/>
        <v>Withdrawal</v>
      </c>
      <c r="H500" s="12" t="str">
        <f>TEXT(Raw_Data!A506,"hh:mm:ss")
</f>
        <v>21:57:39</v>
      </c>
      <c r="I500" s="20">
        <f t="shared" si="4"/>
        <v>500</v>
      </c>
    </row>
    <row r="501">
      <c r="A501" s="12" t="str">
        <f>Raw_Data!A507</f>
        <v>09 Mar 2025 04:14:42</v>
      </c>
      <c r="B501" s="12" t="str">
        <f t="shared" si="1"/>
        <v>March</v>
      </c>
      <c r="C501" s="12">
        <f t="shared" si="2"/>
        <v>3</v>
      </c>
      <c r="D501" s="12" t="str">
        <f>IFERROR(__xludf.DUMMYFUNCTION("IFERROR(IF(REGEXMATCH(LOWER(Raw_Data!C507),""fixed deposit|owealth|savings|target""),""Fixed Deposit"",IF(REGEXMATCH(LOWER(Raw_Data!C507),""airtime""),""Airtime"",IF(REGEXMATCH(LOWER(Raw_Data!C507),""electronic money transfer levy""),""Electronic Money Tr"&amp;"ansfer Levy"",IF(REGEXMATCH(LOWER(Raw_Data!C507),""transfer|trf|send""),""Transfer"",""Other"")))),""Other"")"),"Transfer")</f>
        <v>Transfer</v>
      </c>
      <c r="E501" s="20">
        <v>370.0</v>
      </c>
      <c r="F501" s="20">
        <v>0.0</v>
      </c>
      <c r="G501" s="12" t="str">
        <f t="shared" si="3"/>
        <v>Withdrawal</v>
      </c>
      <c r="H501" s="12" t="str">
        <f>TEXT(Raw_Data!A507,"hh:mm:ss")
</f>
        <v>04:14:42</v>
      </c>
      <c r="I501" s="20">
        <f t="shared" si="4"/>
        <v>370</v>
      </c>
    </row>
    <row r="502">
      <c r="A502" s="12" t="str">
        <f>Raw_Data!A508</f>
        <v>09 Mar 2025 07:31:19</v>
      </c>
      <c r="B502" s="12" t="str">
        <f t="shared" si="1"/>
        <v>March</v>
      </c>
      <c r="C502" s="12">
        <f t="shared" si="2"/>
        <v>3</v>
      </c>
      <c r="D502" s="12" t="str">
        <f>IFERROR(__xludf.DUMMYFUNCTION("IFERROR(IF(REGEXMATCH(LOWER(Raw_Data!C508),""fixed deposit|owealth|savings|target""),""Fixed Deposit"",IF(REGEXMATCH(LOWER(Raw_Data!C508),""airtime""),""Airtime"",IF(REGEXMATCH(LOWER(Raw_Data!C508),""electronic money transfer levy""),""Electronic Money Tr"&amp;"ansfer Levy"",IF(REGEXMATCH(LOWER(Raw_Data!C508),""transfer|trf|send""),""Transfer"",""Other"")))),""Other"")"),"Transfer")</f>
        <v>Transfer</v>
      </c>
      <c r="E502" s="20">
        <v>0.0</v>
      </c>
      <c r="F502" s="20">
        <v>15000.0</v>
      </c>
      <c r="G502" s="12" t="str">
        <f t="shared" si="3"/>
        <v>Deposit</v>
      </c>
      <c r="H502" s="12" t="str">
        <f>TEXT(Raw_Data!A508,"hh:mm:ss")
</f>
        <v>07:31:19</v>
      </c>
      <c r="I502" s="20">
        <f t="shared" si="4"/>
        <v>15000</v>
      </c>
    </row>
    <row r="503">
      <c r="A503" s="12" t="str">
        <f>Raw_Data!A509</f>
        <v>09 Mar 2025 07:31:31</v>
      </c>
      <c r="B503" s="12" t="str">
        <f t="shared" si="1"/>
        <v>March</v>
      </c>
      <c r="C503" s="12">
        <f t="shared" si="2"/>
        <v>3</v>
      </c>
      <c r="D503" s="12" t="str">
        <f>IFERROR(__xludf.DUMMYFUNCTION("IFERROR(IF(REGEXMATCH(LOWER(Raw_Data!C509),""fixed deposit|owealth|savings|target""),""Fixed Deposit"",IF(REGEXMATCH(LOWER(Raw_Data!C509),""airtime""),""Airtime"",IF(REGEXMATCH(LOWER(Raw_Data!C509),""electronic money transfer levy""),""Electronic Money Tr"&amp;"ansfer Levy"",IF(REGEXMATCH(LOWER(Raw_Data!C509),""transfer|trf|send""),""Transfer"",""Other"")))),""Other"")"),"Electronic Money Transfer Levy")</f>
        <v>Electronic Money Transfer Levy</v>
      </c>
      <c r="E503" s="20">
        <v>50.0</v>
      </c>
      <c r="F503" s="20">
        <v>0.0</v>
      </c>
      <c r="G503" s="12" t="str">
        <f t="shared" si="3"/>
        <v>Withdrawal</v>
      </c>
      <c r="H503" s="12" t="str">
        <f>TEXT(Raw_Data!A509,"hh:mm:ss")
</f>
        <v>07:31:31</v>
      </c>
      <c r="I503" s="20">
        <f t="shared" si="4"/>
        <v>50</v>
      </c>
    </row>
    <row r="504">
      <c r="A504" s="12" t="str">
        <f>Raw_Data!A510</f>
        <v>09 Mar 2025 11:50:11</v>
      </c>
      <c r="B504" s="12" t="str">
        <f t="shared" si="1"/>
        <v>March</v>
      </c>
      <c r="C504" s="12">
        <f t="shared" si="2"/>
        <v>3</v>
      </c>
      <c r="D504" s="12" t="str">
        <f>IFERROR(__xludf.DUMMYFUNCTION("IFERROR(IF(REGEXMATCH(LOWER(Raw_Data!C510),""fixed deposit|owealth|savings|target""),""Fixed Deposit"",IF(REGEXMATCH(LOWER(Raw_Data!C510),""airtime""),""Airtime"",IF(REGEXMATCH(LOWER(Raw_Data!C510),""electronic money transfer levy""),""Electronic Money Tr"&amp;"ansfer Levy"",IF(REGEXMATCH(LOWER(Raw_Data!C510),""transfer|trf|send""),""Transfer"",""Other"")))),""Other"")"),"Transfer")</f>
        <v>Transfer</v>
      </c>
      <c r="E504" s="20">
        <v>200.0</v>
      </c>
      <c r="F504" s="20">
        <v>0.0</v>
      </c>
      <c r="G504" s="12" t="str">
        <f t="shared" si="3"/>
        <v>Withdrawal</v>
      </c>
      <c r="H504" s="12" t="str">
        <f>TEXT(Raw_Data!A510,"hh:mm:ss")
</f>
        <v>11:50:11</v>
      </c>
      <c r="I504" s="20">
        <f t="shared" si="4"/>
        <v>200</v>
      </c>
    </row>
    <row r="505">
      <c r="A505" s="12" t="str">
        <f>Raw_Data!A511</f>
        <v>09 Mar 2025 16:02:13</v>
      </c>
      <c r="B505" s="12" t="str">
        <f t="shared" si="1"/>
        <v>March</v>
      </c>
      <c r="C505" s="12">
        <f t="shared" si="2"/>
        <v>3</v>
      </c>
      <c r="D505" s="12" t="str">
        <f>IFERROR(__xludf.DUMMYFUNCTION("IFERROR(IF(REGEXMATCH(LOWER(Raw_Data!C511),""fixed deposit|owealth|savings|target""),""Fixed Deposit"",IF(REGEXMATCH(LOWER(Raw_Data!C511),""airtime""),""Airtime"",IF(REGEXMATCH(LOWER(Raw_Data!C511),""electronic money transfer levy""),""Electronic Money Tr"&amp;"ansfer Levy"",IF(REGEXMATCH(LOWER(Raw_Data!C511),""transfer|trf|send""),""Transfer"",""Other"")))),""Other"")"),"Transfer")</f>
        <v>Transfer</v>
      </c>
      <c r="E505" s="20">
        <v>200.0</v>
      </c>
      <c r="F505" s="20">
        <v>0.0</v>
      </c>
      <c r="G505" s="12" t="str">
        <f t="shared" si="3"/>
        <v>Withdrawal</v>
      </c>
      <c r="H505" s="12" t="str">
        <f>TEXT(Raw_Data!A511,"hh:mm:ss")
</f>
        <v>16:02:13</v>
      </c>
      <c r="I505" s="20">
        <f t="shared" si="4"/>
        <v>200</v>
      </c>
    </row>
    <row r="506">
      <c r="A506" s="12" t="str">
        <f>Raw_Data!A512</f>
        <v>09 Mar 2025 17:54:52</v>
      </c>
      <c r="B506" s="12" t="str">
        <f t="shared" si="1"/>
        <v>March</v>
      </c>
      <c r="C506" s="12">
        <f t="shared" si="2"/>
        <v>3</v>
      </c>
      <c r="D506" s="12" t="str">
        <f>IFERROR(__xludf.DUMMYFUNCTION("IFERROR(IF(REGEXMATCH(LOWER(Raw_Data!C512),""fixed deposit|owealth|savings|target""),""Fixed Deposit"",IF(REGEXMATCH(LOWER(Raw_Data!C512),""airtime""),""Airtime"",IF(REGEXMATCH(LOWER(Raw_Data!C512),""electronic money transfer levy""),""Electronic Money Tr"&amp;"ansfer Levy"",IF(REGEXMATCH(LOWER(Raw_Data!C512),""transfer|trf|send""),""Transfer"",""Other"")))),""Other"")"),"Transfer")</f>
        <v>Transfer</v>
      </c>
      <c r="E506" s="20">
        <v>1050.0</v>
      </c>
      <c r="F506" s="20">
        <v>0.0</v>
      </c>
      <c r="G506" s="12" t="str">
        <f t="shared" si="3"/>
        <v>Withdrawal</v>
      </c>
      <c r="H506" s="12" t="str">
        <f>TEXT(Raw_Data!A512,"hh:mm:ss")
</f>
        <v>17:54:52</v>
      </c>
      <c r="I506" s="20">
        <f t="shared" si="4"/>
        <v>1050</v>
      </c>
    </row>
    <row r="507">
      <c r="A507" s="12" t="str">
        <f>Raw_Data!A513</f>
        <v>10 Mar 2025 03:29:26</v>
      </c>
      <c r="B507" s="12" t="str">
        <f t="shared" si="1"/>
        <v>March</v>
      </c>
      <c r="C507" s="12">
        <f t="shared" si="2"/>
        <v>3</v>
      </c>
      <c r="D507" s="12" t="str">
        <f>IFERROR(__xludf.DUMMYFUNCTION("IFERROR(IF(REGEXMATCH(LOWER(Raw_Data!C513),""fixed deposit|owealth|savings|target""),""Fixed Deposit"",IF(REGEXMATCH(LOWER(Raw_Data!C513),""airtime""),""Airtime"",IF(REGEXMATCH(LOWER(Raw_Data!C513),""electronic money transfer levy""),""Electronic Money Tr"&amp;"ansfer Levy"",IF(REGEXMATCH(LOWER(Raw_Data!C513),""transfer|trf|send""),""Transfer"",""Other"")))),""Other"")"),"Transfer")</f>
        <v>Transfer</v>
      </c>
      <c r="E507" s="20">
        <v>900.0</v>
      </c>
      <c r="F507" s="20">
        <v>0.0</v>
      </c>
      <c r="G507" s="12" t="str">
        <f t="shared" si="3"/>
        <v>Withdrawal</v>
      </c>
      <c r="H507" s="12" t="str">
        <f>TEXT(Raw_Data!A513,"hh:mm:ss")
</f>
        <v>03:29:26</v>
      </c>
      <c r="I507" s="20">
        <f t="shared" si="4"/>
        <v>900</v>
      </c>
    </row>
    <row r="508">
      <c r="A508" s="12" t="str">
        <f>Raw_Data!A514</f>
        <v>10 Mar 2025 03:32:07</v>
      </c>
      <c r="B508" s="12" t="str">
        <f t="shared" si="1"/>
        <v>March</v>
      </c>
      <c r="C508" s="12">
        <f t="shared" si="2"/>
        <v>3</v>
      </c>
      <c r="D508" s="12" t="str">
        <f>IFERROR(__xludf.DUMMYFUNCTION("IFERROR(IF(REGEXMATCH(LOWER(Raw_Data!C514),""fixed deposit|owealth|savings|target""),""Fixed Deposit"",IF(REGEXMATCH(LOWER(Raw_Data!C514),""airtime""),""Airtime"",IF(REGEXMATCH(LOWER(Raw_Data!C514),""electronic money transfer levy""),""Electronic Money Tr"&amp;"ansfer Levy"",IF(REGEXMATCH(LOWER(Raw_Data!C514),""transfer|trf|send""),""Transfer"",""Other"")))),""Other"")"),"Transfer")</f>
        <v>Transfer</v>
      </c>
      <c r="E508" s="20">
        <v>100.0</v>
      </c>
      <c r="F508" s="20">
        <v>0.0</v>
      </c>
      <c r="G508" s="12" t="str">
        <f t="shared" si="3"/>
        <v>Withdrawal</v>
      </c>
      <c r="H508" s="12" t="str">
        <f>TEXT(Raw_Data!A514,"hh:mm:ss")
</f>
        <v>03:32:07</v>
      </c>
      <c r="I508" s="20">
        <f t="shared" si="4"/>
        <v>100</v>
      </c>
    </row>
    <row r="509">
      <c r="A509" s="12" t="str">
        <f>Raw_Data!A515</f>
        <v>10 Mar 2025 04:09:29</v>
      </c>
      <c r="B509" s="12" t="str">
        <f t="shared" si="1"/>
        <v>March</v>
      </c>
      <c r="C509" s="12">
        <f t="shared" si="2"/>
        <v>3</v>
      </c>
      <c r="D509" s="12" t="str">
        <f>IFERROR(__xludf.DUMMYFUNCTION("IFERROR(IF(REGEXMATCH(LOWER(Raw_Data!C515),""fixed deposit|owealth|savings|target""),""Fixed Deposit"",IF(REGEXMATCH(LOWER(Raw_Data!C515),""airtime""),""Airtime"",IF(REGEXMATCH(LOWER(Raw_Data!C515),""electronic money transfer levy""),""Electronic Money Tr"&amp;"ansfer Levy"",IF(REGEXMATCH(LOWER(Raw_Data!C515),""transfer|trf|send""),""Transfer"",""Other"")))),""Other"")"),"Transfer")</f>
        <v>Transfer</v>
      </c>
      <c r="E509" s="20">
        <v>3500.0</v>
      </c>
      <c r="F509" s="20">
        <v>0.0</v>
      </c>
      <c r="G509" s="12" t="str">
        <f t="shared" si="3"/>
        <v>Withdrawal</v>
      </c>
      <c r="H509" s="12" t="str">
        <f>TEXT(Raw_Data!A515,"hh:mm:ss")
</f>
        <v>04:09:29</v>
      </c>
      <c r="I509" s="20">
        <f t="shared" si="4"/>
        <v>3500</v>
      </c>
    </row>
    <row r="510">
      <c r="A510" s="12" t="str">
        <f>Raw_Data!A516</f>
        <v>10 Mar 2025 10:15:53</v>
      </c>
      <c r="B510" s="12" t="str">
        <f t="shared" si="1"/>
        <v>March</v>
      </c>
      <c r="C510" s="12">
        <f t="shared" si="2"/>
        <v>3</v>
      </c>
      <c r="D510" s="12" t="str">
        <f>IFERROR(__xludf.DUMMYFUNCTION("IFERROR(IF(REGEXMATCH(LOWER(Raw_Data!C516),""fixed deposit|owealth|savings|target""),""Fixed Deposit"",IF(REGEXMATCH(LOWER(Raw_Data!C516),""airtime""),""Airtime"",IF(REGEXMATCH(LOWER(Raw_Data!C516),""electronic money transfer levy""),""Electronic Money Tr"&amp;"ansfer Levy"",IF(REGEXMATCH(LOWER(Raw_Data!C516),""transfer|trf|send""),""Transfer"",""Other"")))),""Other"")"),"Transfer")</f>
        <v>Transfer</v>
      </c>
      <c r="E510" s="20">
        <v>600.0</v>
      </c>
      <c r="F510" s="20">
        <v>0.0</v>
      </c>
      <c r="G510" s="12" t="str">
        <f t="shared" si="3"/>
        <v>Withdrawal</v>
      </c>
      <c r="H510" s="12" t="str">
        <f>TEXT(Raw_Data!A516,"hh:mm:ss")
</f>
        <v>10:15:53</v>
      </c>
      <c r="I510" s="20">
        <f t="shared" si="4"/>
        <v>600</v>
      </c>
    </row>
    <row r="511">
      <c r="A511" s="12" t="str">
        <f>Raw_Data!A517</f>
        <v>10 Mar 2025 11:27:52</v>
      </c>
      <c r="B511" s="12" t="str">
        <f t="shared" si="1"/>
        <v>March</v>
      </c>
      <c r="C511" s="12">
        <f t="shared" si="2"/>
        <v>3</v>
      </c>
      <c r="D511" s="12" t="str">
        <f>IFERROR(__xludf.DUMMYFUNCTION("IFERROR(IF(REGEXMATCH(LOWER(Raw_Data!C517),""fixed deposit|owealth|savings|target""),""Fixed Deposit"",IF(REGEXMATCH(LOWER(Raw_Data!C517),""airtime""),""Airtime"",IF(REGEXMATCH(LOWER(Raw_Data!C517),""electronic money transfer levy""),""Electronic Money Tr"&amp;"ansfer Levy"",IF(REGEXMATCH(LOWER(Raw_Data!C517),""transfer|trf|send""),""Transfer"",""Other"")))),""Other"")"),"Transfer")</f>
        <v>Transfer</v>
      </c>
      <c r="E511" s="20">
        <v>350.0</v>
      </c>
      <c r="F511" s="20">
        <v>0.0</v>
      </c>
      <c r="G511" s="12" t="str">
        <f t="shared" si="3"/>
        <v>Withdrawal</v>
      </c>
      <c r="H511" s="12" t="str">
        <f>TEXT(Raw_Data!A517,"hh:mm:ss")
</f>
        <v>11:27:52</v>
      </c>
      <c r="I511" s="20">
        <f t="shared" si="4"/>
        <v>350</v>
      </c>
    </row>
    <row r="512">
      <c r="A512" s="12" t="str">
        <f>Raw_Data!A518</f>
        <v>10 Mar 2025 16:16:53</v>
      </c>
      <c r="B512" s="12" t="str">
        <f t="shared" si="1"/>
        <v>March</v>
      </c>
      <c r="C512" s="12">
        <f t="shared" si="2"/>
        <v>3</v>
      </c>
      <c r="D512" s="12" t="str">
        <f>IFERROR(__xludf.DUMMYFUNCTION("IFERROR(IF(REGEXMATCH(LOWER(Raw_Data!C518),""fixed deposit|owealth|savings|target""),""Fixed Deposit"",IF(REGEXMATCH(LOWER(Raw_Data!C518),""airtime""),""Airtime"",IF(REGEXMATCH(LOWER(Raw_Data!C518),""electronic money transfer levy""),""Electronic Money Tr"&amp;"ansfer Levy"",IF(REGEXMATCH(LOWER(Raw_Data!C518),""transfer|trf|send""),""Transfer"",""Other"")))),""Other"")"),"Transfer")</f>
        <v>Transfer</v>
      </c>
      <c r="E512" s="20">
        <v>1070.0</v>
      </c>
      <c r="F512" s="20">
        <v>0.0</v>
      </c>
      <c r="G512" s="12" t="str">
        <f t="shared" si="3"/>
        <v>Withdrawal</v>
      </c>
      <c r="H512" s="12" t="str">
        <f>TEXT(Raw_Data!A518,"hh:mm:ss")
</f>
        <v>16:16:53</v>
      </c>
      <c r="I512" s="20">
        <f t="shared" si="4"/>
        <v>1070</v>
      </c>
    </row>
    <row r="513">
      <c r="A513" s="12" t="str">
        <f>Raw_Data!A519</f>
        <v>11 Mar 2025 03:42:14</v>
      </c>
      <c r="B513" s="12" t="str">
        <f t="shared" si="1"/>
        <v>March</v>
      </c>
      <c r="C513" s="12">
        <f t="shared" si="2"/>
        <v>3</v>
      </c>
      <c r="D513" s="12" t="str">
        <f>IFERROR(__xludf.DUMMYFUNCTION("IFERROR(IF(REGEXMATCH(LOWER(Raw_Data!C519),""fixed deposit|owealth|savings|target""),""Fixed Deposit"",IF(REGEXMATCH(LOWER(Raw_Data!C519),""airtime""),""Airtime"",IF(REGEXMATCH(LOWER(Raw_Data!C519),""electronic money transfer levy""),""Electronic Money Tr"&amp;"ansfer Levy"",IF(REGEXMATCH(LOWER(Raw_Data!C519),""transfer|trf|send""),""Transfer"",""Other"")))),""Other"")"),"Transfer")</f>
        <v>Transfer</v>
      </c>
      <c r="E513" s="20">
        <v>1050.0</v>
      </c>
      <c r="F513" s="20">
        <v>0.0</v>
      </c>
      <c r="G513" s="12" t="str">
        <f t="shared" si="3"/>
        <v>Withdrawal</v>
      </c>
      <c r="H513" s="12" t="str">
        <f>TEXT(Raw_Data!A519,"hh:mm:ss")
</f>
        <v>03:42:14</v>
      </c>
      <c r="I513" s="20">
        <f t="shared" si="4"/>
        <v>1050</v>
      </c>
    </row>
    <row r="514">
      <c r="A514" s="12" t="str">
        <f>Raw_Data!A520</f>
        <v>11 Mar 2025 12:46:13</v>
      </c>
      <c r="B514" s="12" t="str">
        <f t="shared" si="1"/>
        <v>March</v>
      </c>
      <c r="C514" s="12">
        <f t="shared" si="2"/>
        <v>3</v>
      </c>
      <c r="D514" s="12" t="str">
        <f>IFERROR(__xludf.DUMMYFUNCTION("IFERROR(IF(REGEXMATCH(LOWER(Raw_Data!C520),""fixed deposit|owealth|savings|target""),""Fixed Deposit"",IF(REGEXMATCH(LOWER(Raw_Data!C520),""airtime""),""Airtime"",IF(REGEXMATCH(LOWER(Raw_Data!C520),""electronic money transfer levy""),""Electronic Money Tr"&amp;"ansfer Levy"",IF(REGEXMATCH(LOWER(Raw_Data!C520),""transfer|trf|send""),""Transfer"",""Other"")))),""Other"")"),"Transfer")</f>
        <v>Transfer</v>
      </c>
      <c r="E514" s="20">
        <v>0.0</v>
      </c>
      <c r="F514" s="20">
        <v>5000.0</v>
      </c>
      <c r="G514" s="12" t="str">
        <f t="shared" si="3"/>
        <v>Deposit</v>
      </c>
      <c r="H514" s="12" t="str">
        <f>TEXT(Raw_Data!A520,"hh:mm:ss")
</f>
        <v>12:46:13</v>
      </c>
      <c r="I514" s="20">
        <f t="shared" si="4"/>
        <v>5000</v>
      </c>
    </row>
    <row r="515">
      <c r="A515" s="12" t="str">
        <f>Raw_Data!A521</f>
        <v>11 Mar 2025 13:26:44</v>
      </c>
      <c r="B515" s="12" t="str">
        <f t="shared" si="1"/>
        <v>March</v>
      </c>
      <c r="C515" s="12">
        <f t="shared" si="2"/>
        <v>3</v>
      </c>
      <c r="D515" s="12" t="str">
        <f>IFERROR(__xludf.DUMMYFUNCTION("IFERROR(IF(REGEXMATCH(LOWER(Raw_Data!C521),""fixed deposit|owealth|savings|target""),""Fixed Deposit"",IF(REGEXMATCH(LOWER(Raw_Data!C521),""airtime""),""Airtime"",IF(REGEXMATCH(LOWER(Raw_Data!C521),""electronic money transfer levy""),""Electronic Money Tr"&amp;"ansfer Levy"",IF(REGEXMATCH(LOWER(Raw_Data!C521),""transfer|trf|send""),""Transfer"",""Other"")))),""Other"")"),"Transfer")</f>
        <v>Transfer</v>
      </c>
      <c r="E515" s="20">
        <v>1200.0</v>
      </c>
      <c r="F515" s="20">
        <v>0.0</v>
      </c>
      <c r="G515" s="12" t="str">
        <f t="shared" si="3"/>
        <v>Withdrawal</v>
      </c>
      <c r="H515" s="12" t="str">
        <f>TEXT(Raw_Data!A521,"hh:mm:ss")
</f>
        <v>13:26:44</v>
      </c>
      <c r="I515" s="20">
        <f t="shared" si="4"/>
        <v>1200</v>
      </c>
    </row>
    <row r="516">
      <c r="A516" s="12" t="str">
        <f>Raw_Data!A522</f>
        <v>11 Mar 2025 13:42:55</v>
      </c>
      <c r="B516" s="12" t="str">
        <f t="shared" si="1"/>
        <v>March</v>
      </c>
      <c r="C516" s="12">
        <f t="shared" si="2"/>
        <v>3</v>
      </c>
      <c r="D516" s="12" t="str">
        <f>IFERROR(__xludf.DUMMYFUNCTION("IFERROR(IF(REGEXMATCH(LOWER(Raw_Data!C522),""fixed deposit|owealth|savings|target""),""Fixed Deposit"",IF(REGEXMATCH(LOWER(Raw_Data!C522),""airtime""),""Airtime"",IF(REGEXMATCH(LOWER(Raw_Data!C522),""electronic money transfer levy""),""Electronic Money Tr"&amp;"ansfer Levy"",IF(REGEXMATCH(LOWER(Raw_Data!C522),""transfer|trf|send""),""Transfer"",""Other"")))),""Other"")"),"Transfer")</f>
        <v>Transfer</v>
      </c>
      <c r="E516" s="20">
        <v>0.0</v>
      </c>
      <c r="F516" s="20">
        <v>64997.0</v>
      </c>
      <c r="G516" s="12" t="str">
        <f t="shared" si="3"/>
        <v>Deposit</v>
      </c>
      <c r="H516" s="12" t="str">
        <f>TEXT(Raw_Data!A522,"hh:mm:ss")
</f>
        <v>13:42:55</v>
      </c>
      <c r="I516" s="20">
        <f t="shared" si="4"/>
        <v>64997</v>
      </c>
    </row>
    <row r="517">
      <c r="A517" s="12" t="str">
        <f>Raw_Data!A523</f>
        <v>11 Mar 2025 13:43:01</v>
      </c>
      <c r="B517" s="12" t="str">
        <f t="shared" si="1"/>
        <v>March</v>
      </c>
      <c r="C517" s="12">
        <f t="shared" si="2"/>
        <v>3</v>
      </c>
      <c r="D517" s="12" t="str">
        <f>IFERROR(__xludf.DUMMYFUNCTION("IFERROR(IF(REGEXMATCH(LOWER(Raw_Data!C523),""fixed deposit|owealth|savings|target""),""Fixed Deposit"",IF(REGEXMATCH(LOWER(Raw_Data!C523),""airtime""),""Airtime"",IF(REGEXMATCH(LOWER(Raw_Data!C523),""electronic money transfer levy""),""Electronic Money Tr"&amp;"ansfer Levy"",IF(REGEXMATCH(LOWER(Raw_Data!C523),""transfer|trf|send""),""Transfer"",""Other"")))),""Other"")"),"Electronic Money Transfer Levy")</f>
        <v>Electronic Money Transfer Levy</v>
      </c>
      <c r="E517" s="20">
        <v>50.0</v>
      </c>
      <c r="F517" s="20">
        <v>0.0</v>
      </c>
      <c r="G517" s="12" t="str">
        <f t="shared" si="3"/>
        <v>Withdrawal</v>
      </c>
      <c r="H517" s="12" t="str">
        <f>TEXT(Raw_Data!A523,"hh:mm:ss")
</f>
        <v>13:43:01</v>
      </c>
      <c r="I517" s="20">
        <f t="shared" si="4"/>
        <v>50</v>
      </c>
    </row>
    <row r="518">
      <c r="A518" s="12" t="str">
        <f>Raw_Data!A524</f>
        <v>11 Mar 2025 13:45:07</v>
      </c>
      <c r="B518" s="12" t="str">
        <f t="shared" si="1"/>
        <v>March</v>
      </c>
      <c r="C518" s="12">
        <f t="shared" si="2"/>
        <v>3</v>
      </c>
      <c r="D518" s="12" t="str">
        <f>IFERROR(__xludf.DUMMYFUNCTION("IFERROR(IF(REGEXMATCH(LOWER(Raw_Data!C524),""fixed deposit|owealth|savings|target""),""Fixed Deposit"",IF(REGEXMATCH(LOWER(Raw_Data!C524),""airtime""),""Airtime"",IF(REGEXMATCH(LOWER(Raw_Data!C524),""electronic money transfer levy""),""Electronic Money Tr"&amp;"ansfer Levy"",IF(REGEXMATCH(LOWER(Raw_Data!C524),""transfer|trf|send""),""Transfer"",""Other"")))),""Other"")"),"Transfer")</f>
        <v>Transfer</v>
      </c>
      <c r="E518" s="20">
        <v>64000.0</v>
      </c>
      <c r="F518" s="20">
        <v>0.0</v>
      </c>
      <c r="G518" s="12" t="str">
        <f t="shared" si="3"/>
        <v>Withdrawal</v>
      </c>
      <c r="H518" s="12" t="str">
        <f>TEXT(Raw_Data!A524,"hh:mm:ss")
</f>
        <v>13:45:07</v>
      </c>
      <c r="I518" s="20">
        <f t="shared" si="4"/>
        <v>64000</v>
      </c>
    </row>
    <row r="519">
      <c r="A519" s="12" t="str">
        <f>Raw_Data!A525</f>
        <v>11 Mar 2025 14:02:09</v>
      </c>
      <c r="B519" s="12" t="str">
        <f t="shared" si="1"/>
        <v>March</v>
      </c>
      <c r="C519" s="12">
        <f t="shared" si="2"/>
        <v>3</v>
      </c>
      <c r="D519" s="12" t="str">
        <f>IFERROR(__xludf.DUMMYFUNCTION("IFERROR(IF(REGEXMATCH(LOWER(Raw_Data!C525),""fixed deposit|owealth|savings|target""),""Fixed Deposit"",IF(REGEXMATCH(LOWER(Raw_Data!C525),""airtime""),""Airtime"",IF(REGEXMATCH(LOWER(Raw_Data!C525),""electronic money transfer levy""),""Electronic Money Tr"&amp;"ansfer Levy"",IF(REGEXMATCH(LOWER(Raw_Data!C525),""transfer|trf|send""),""Transfer"",""Other"")))),""Other"")"),"Airtime")</f>
        <v>Airtime</v>
      </c>
      <c r="E519" s="20">
        <v>500.0</v>
      </c>
      <c r="F519" s="20">
        <v>0.0</v>
      </c>
      <c r="G519" s="12" t="str">
        <f t="shared" si="3"/>
        <v>Withdrawal</v>
      </c>
      <c r="H519" s="12" t="str">
        <f>TEXT(Raw_Data!A525,"hh:mm:ss")
</f>
        <v>14:02:09</v>
      </c>
      <c r="I519" s="20">
        <f t="shared" si="4"/>
        <v>500</v>
      </c>
    </row>
    <row r="520">
      <c r="A520" s="12" t="str">
        <f>Raw_Data!A526</f>
        <v>11 Mar 2025 14:22:05</v>
      </c>
      <c r="B520" s="12" t="str">
        <f t="shared" si="1"/>
        <v>March</v>
      </c>
      <c r="C520" s="12">
        <f t="shared" si="2"/>
        <v>3</v>
      </c>
      <c r="D520" s="12" t="str">
        <f>IFERROR(__xludf.DUMMYFUNCTION("IFERROR(IF(REGEXMATCH(LOWER(Raw_Data!C526),""fixed deposit|owealth|savings|target""),""Fixed Deposit"",IF(REGEXMATCH(LOWER(Raw_Data!C526),""airtime""),""Airtime"",IF(REGEXMATCH(LOWER(Raw_Data!C526),""electronic money transfer levy""),""Electronic Money Tr"&amp;"ansfer Levy"",IF(REGEXMATCH(LOWER(Raw_Data!C526),""transfer|trf|send""),""Transfer"",""Other"")))),""Other"")"),"Transfer")</f>
        <v>Transfer</v>
      </c>
      <c r="E520" s="20">
        <v>500.0</v>
      </c>
      <c r="F520" s="20">
        <v>0.0</v>
      </c>
      <c r="G520" s="12" t="str">
        <f t="shared" si="3"/>
        <v>Withdrawal</v>
      </c>
      <c r="H520" s="12" t="str">
        <f>TEXT(Raw_Data!A526,"hh:mm:ss")
</f>
        <v>14:22:05</v>
      </c>
      <c r="I520" s="20">
        <f t="shared" si="4"/>
        <v>500</v>
      </c>
    </row>
    <row r="521">
      <c r="A521" s="12" t="str">
        <f>Raw_Data!A527</f>
        <v>11 Mar 2025 15:23:36</v>
      </c>
      <c r="B521" s="12" t="str">
        <f t="shared" si="1"/>
        <v>March</v>
      </c>
      <c r="C521" s="12">
        <f t="shared" si="2"/>
        <v>3</v>
      </c>
      <c r="D521" s="12" t="str">
        <f>IFERROR(__xludf.DUMMYFUNCTION("IFERROR(IF(REGEXMATCH(LOWER(Raw_Data!C527),""fixed deposit|owealth|savings|target""),""Fixed Deposit"",IF(REGEXMATCH(LOWER(Raw_Data!C527),""airtime""),""Airtime"",IF(REGEXMATCH(LOWER(Raw_Data!C527),""electronic money transfer levy""),""Electronic Money Tr"&amp;"ansfer Levy"",IF(REGEXMATCH(LOWER(Raw_Data!C527),""transfer|trf|send""),""Transfer"",""Other"")))),""Other"")"),"Transfer")</f>
        <v>Transfer</v>
      </c>
      <c r="E521" s="20">
        <v>300.0</v>
      </c>
      <c r="F521" s="20">
        <v>0.0</v>
      </c>
      <c r="G521" s="12" t="str">
        <f t="shared" si="3"/>
        <v>Withdrawal</v>
      </c>
      <c r="H521" s="12" t="str">
        <f>TEXT(Raw_Data!A527,"hh:mm:ss")
</f>
        <v>15:23:36</v>
      </c>
      <c r="I521" s="20">
        <f t="shared" si="4"/>
        <v>300</v>
      </c>
    </row>
    <row r="522">
      <c r="A522" s="12" t="str">
        <f>Raw_Data!A528</f>
        <v>11 Mar 2025 15:51:04</v>
      </c>
      <c r="B522" s="12" t="str">
        <f t="shared" si="1"/>
        <v>March</v>
      </c>
      <c r="C522" s="12">
        <f t="shared" si="2"/>
        <v>3</v>
      </c>
      <c r="D522" s="12" t="str">
        <f>IFERROR(__xludf.DUMMYFUNCTION("IFERROR(IF(REGEXMATCH(LOWER(Raw_Data!C528),""fixed deposit|owealth|savings|target""),""Fixed Deposit"",IF(REGEXMATCH(LOWER(Raw_Data!C528),""airtime""),""Airtime"",IF(REGEXMATCH(LOWER(Raw_Data!C528),""electronic money transfer levy""),""Electronic Money Tr"&amp;"ansfer Levy"",IF(REGEXMATCH(LOWER(Raw_Data!C528),""transfer|trf|send""),""Transfer"",""Other"")))),""Other"")"),"Transfer")</f>
        <v>Transfer</v>
      </c>
      <c r="E522" s="20">
        <v>0.0</v>
      </c>
      <c r="F522" s="20">
        <v>5000.0</v>
      </c>
      <c r="G522" s="12" t="str">
        <f t="shared" si="3"/>
        <v>Deposit</v>
      </c>
      <c r="H522" s="12" t="str">
        <f>TEXT(Raw_Data!A528,"hh:mm:ss")
</f>
        <v>15:51:04</v>
      </c>
      <c r="I522" s="20">
        <f t="shared" si="4"/>
        <v>5000</v>
      </c>
    </row>
    <row r="523">
      <c r="A523" s="12" t="str">
        <f>Raw_Data!A529</f>
        <v>11 Mar 2025 17:36:36</v>
      </c>
      <c r="B523" s="12" t="str">
        <f t="shared" si="1"/>
        <v>March</v>
      </c>
      <c r="C523" s="12">
        <f t="shared" si="2"/>
        <v>3</v>
      </c>
      <c r="D523" s="12" t="str">
        <f>IFERROR(__xludf.DUMMYFUNCTION("IFERROR(IF(REGEXMATCH(LOWER(Raw_Data!C529),""fixed deposit|owealth|savings|target""),""Fixed Deposit"",IF(REGEXMATCH(LOWER(Raw_Data!C529),""airtime""),""Airtime"",IF(REGEXMATCH(LOWER(Raw_Data!C529),""electronic money transfer levy""),""Electronic Money Tr"&amp;"ansfer Levy"",IF(REGEXMATCH(LOWER(Raw_Data!C529),""transfer|trf|send""),""Transfer"",""Other"")))),""Other"")"),"Transfer")</f>
        <v>Transfer</v>
      </c>
      <c r="E523" s="20">
        <v>1200.0</v>
      </c>
      <c r="F523" s="20">
        <v>0.0</v>
      </c>
      <c r="G523" s="12" t="str">
        <f t="shared" si="3"/>
        <v>Withdrawal</v>
      </c>
      <c r="H523" s="12" t="str">
        <f>TEXT(Raw_Data!A529,"hh:mm:ss")
</f>
        <v>17:36:36</v>
      </c>
      <c r="I523" s="20">
        <f t="shared" si="4"/>
        <v>1200</v>
      </c>
    </row>
    <row r="524">
      <c r="A524" s="12" t="str">
        <f>Raw_Data!A530</f>
        <v>11 Mar 2025 19:31:29</v>
      </c>
      <c r="B524" s="12" t="str">
        <f t="shared" si="1"/>
        <v>March</v>
      </c>
      <c r="C524" s="12">
        <f t="shared" si="2"/>
        <v>3</v>
      </c>
      <c r="D524" s="12" t="str">
        <f>IFERROR(__xludf.DUMMYFUNCTION("IFERROR(IF(REGEXMATCH(LOWER(Raw_Data!C530),""fixed deposit|owealth|savings|target""),""Fixed Deposit"",IF(REGEXMATCH(LOWER(Raw_Data!C530),""airtime""),""Airtime"",IF(REGEXMATCH(LOWER(Raw_Data!C530),""electronic money transfer levy""),""Electronic Money Tr"&amp;"ansfer Levy"",IF(REGEXMATCH(LOWER(Raw_Data!C530),""transfer|trf|send""),""Transfer"",""Other"")))),""Other"")"),"Airtime")</f>
        <v>Airtime</v>
      </c>
      <c r="E524" s="20">
        <v>200.0</v>
      </c>
      <c r="F524" s="20">
        <v>0.0</v>
      </c>
      <c r="G524" s="12" t="str">
        <f t="shared" si="3"/>
        <v>Withdrawal</v>
      </c>
      <c r="H524" s="12" t="str">
        <f>TEXT(Raw_Data!A530,"hh:mm:ss")
</f>
        <v>19:31:29</v>
      </c>
      <c r="I524" s="20">
        <f t="shared" si="4"/>
        <v>200</v>
      </c>
    </row>
    <row r="525">
      <c r="A525" s="12" t="str">
        <f>Raw_Data!A531</f>
        <v>12 Mar 2025 00:12:27</v>
      </c>
      <c r="B525" s="12" t="str">
        <f t="shared" si="1"/>
        <v>March</v>
      </c>
      <c r="C525" s="12">
        <f t="shared" si="2"/>
        <v>3</v>
      </c>
      <c r="D525" s="12" t="str">
        <f>IFERROR(__xludf.DUMMYFUNCTION("IFERROR(IF(REGEXMATCH(LOWER(Raw_Data!C531),""fixed deposit|owealth|savings|target""),""Fixed Deposit"",IF(REGEXMATCH(LOWER(Raw_Data!C531),""airtime""),""Airtime"",IF(REGEXMATCH(LOWER(Raw_Data!C531),""electronic money transfer levy""),""Electronic Money Tr"&amp;"ansfer Levy"",IF(REGEXMATCH(LOWER(Raw_Data!C531),""transfer|trf|send""),""Transfer"",""Other"")))),""Other"")"),"Transfer")</f>
        <v>Transfer</v>
      </c>
      <c r="E525" s="20">
        <v>400.0</v>
      </c>
      <c r="F525" s="20">
        <v>0.0</v>
      </c>
      <c r="G525" s="12" t="str">
        <f t="shared" si="3"/>
        <v>Withdrawal</v>
      </c>
      <c r="H525" s="12" t="str">
        <f>TEXT(Raw_Data!A531,"hh:mm:ss")
</f>
        <v>00:12:27</v>
      </c>
      <c r="I525" s="20">
        <f t="shared" si="4"/>
        <v>400</v>
      </c>
    </row>
    <row r="526">
      <c r="A526" s="12" t="str">
        <f>Raw_Data!A532</f>
        <v>12 Mar 2025 04:04:39</v>
      </c>
      <c r="B526" s="12" t="str">
        <f t="shared" si="1"/>
        <v>March</v>
      </c>
      <c r="C526" s="12">
        <f t="shared" si="2"/>
        <v>3</v>
      </c>
      <c r="D526" s="12" t="str">
        <f>IFERROR(__xludf.DUMMYFUNCTION("IFERROR(IF(REGEXMATCH(LOWER(Raw_Data!C532),""fixed deposit|owealth|savings|target""),""Fixed Deposit"",IF(REGEXMATCH(LOWER(Raw_Data!C532),""airtime""),""Airtime"",IF(REGEXMATCH(LOWER(Raw_Data!C532),""electronic money transfer levy""),""Electronic Money Tr"&amp;"ansfer Levy"",IF(REGEXMATCH(LOWER(Raw_Data!C532),""transfer|trf|send""),""Transfer"",""Other"")))),""Other"")"),"Transfer")</f>
        <v>Transfer</v>
      </c>
      <c r="E526" s="20">
        <v>100.0</v>
      </c>
      <c r="F526" s="20">
        <v>0.0</v>
      </c>
      <c r="G526" s="12" t="str">
        <f t="shared" si="3"/>
        <v>Withdrawal</v>
      </c>
      <c r="H526" s="12" t="str">
        <f>TEXT(Raw_Data!A532,"hh:mm:ss")
</f>
        <v>04:04:39</v>
      </c>
      <c r="I526" s="20">
        <f t="shared" si="4"/>
        <v>100</v>
      </c>
    </row>
    <row r="527">
      <c r="A527" s="12" t="str">
        <f>Raw_Data!A533</f>
        <v>12 Mar 2025 10:55:17</v>
      </c>
      <c r="B527" s="12" t="str">
        <f t="shared" si="1"/>
        <v>March</v>
      </c>
      <c r="C527" s="12">
        <f t="shared" si="2"/>
        <v>3</v>
      </c>
      <c r="D527" s="12" t="str">
        <f>IFERROR(__xludf.DUMMYFUNCTION("IFERROR(IF(REGEXMATCH(LOWER(Raw_Data!C533),""fixed deposit|owealth|savings|target""),""Fixed Deposit"",IF(REGEXMATCH(LOWER(Raw_Data!C533),""airtime""),""Airtime"",IF(REGEXMATCH(LOWER(Raw_Data!C533),""electronic money transfer levy""),""Electronic Money Tr"&amp;"ansfer Levy"",IF(REGEXMATCH(LOWER(Raw_Data!C533),""transfer|trf|send""),""Transfer"",""Other"")))),""Other"")"),"Transfer")</f>
        <v>Transfer</v>
      </c>
      <c r="E527" s="20">
        <v>600.0</v>
      </c>
      <c r="F527" s="20">
        <v>0.0</v>
      </c>
      <c r="G527" s="12" t="str">
        <f t="shared" si="3"/>
        <v>Withdrawal</v>
      </c>
      <c r="H527" s="12" t="str">
        <f>TEXT(Raw_Data!A533,"hh:mm:ss")
</f>
        <v>10:55:17</v>
      </c>
      <c r="I527" s="20">
        <f t="shared" si="4"/>
        <v>600</v>
      </c>
    </row>
    <row r="528">
      <c r="A528" s="12" t="str">
        <f>Raw_Data!A534</f>
        <v>12 Mar 2025 17:43:55</v>
      </c>
      <c r="B528" s="12" t="str">
        <f t="shared" si="1"/>
        <v>March</v>
      </c>
      <c r="C528" s="12">
        <f t="shared" si="2"/>
        <v>3</v>
      </c>
      <c r="D528" s="12" t="str">
        <f>IFERROR(__xludf.DUMMYFUNCTION("IFERROR(IF(REGEXMATCH(LOWER(Raw_Data!C534),""fixed deposit|owealth|savings|target""),""Fixed Deposit"",IF(REGEXMATCH(LOWER(Raw_Data!C534),""airtime""),""Airtime"",IF(REGEXMATCH(LOWER(Raw_Data!C534),""electronic money transfer levy""),""Electronic Money Tr"&amp;"ansfer Levy"",IF(REGEXMATCH(LOWER(Raw_Data!C534),""transfer|trf|send""),""Transfer"",""Other"")))),""Other"")"),"Transfer")</f>
        <v>Transfer</v>
      </c>
      <c r="E528" s="20">
        <v>200.0</v>
      </c>
      <c r="F528" s="20">
        <v>0.0</v>
      </c>
      <c r="G528" s="12" t="str">
        <f t="shared" si="3"/>
        <v>Withdrawal</v>
      </c>
      <c r="H528" s="12" t="str">
        <f>TEXT(Raw_Data!A534,"hh:mm:ss")
</f>
        <v>17:43:55</v>
      </c>
      <c r="I528" s="20">
        <f t="shared" si="4"/>
        <v>200</v>
      </c>
    </row>
    <row r="529">
      <c r="A529" s="12" t="str">
        <f>Raw_Data!A535</f>
        <v>12 Mar 2025 17:44:40</v>
      </c>
      <c r="B529" s="12" t="str">
        <f t="shared" si="1"/>
        <v>March</v>
      </c>
      <c r="C529" s="12">
        <f t="shared" si="2"/>
        <v>3</v>
      </c>
      <c r="D529" s="12" t="str">
        <f>IFERROR(__xludf.DUMMYFUNCTION("IFERROR(IF(REGEXMATCH(LOWER(Raw_Data!C535),""fixed deposit|owealth|savings|target""),""Fixed Deposit"",IF(REGEXMATCH(LOWER(Raw_Data!C535),""airtime""),""Airtime"",IF(REGEXMATCH(LOWER(Raw_Data!C535),""electronic money transfer levy""),""Electronic Money Tr"&amp;"ansfer Levy"",IF(REGEXMATCH(LOWER(Raw_Data!C535),""transfer|trf|send""),""Transfer"",""Other"")))),""Other"")"),"Transfer")</f>
        <v>Transfer</v>
      </c>
      <c r="E529" s="20">
        <v>310.0</v>
      </c>
      <c r="F529" s="20">
        <v>0.0</v>
      </c>
      <c r="G529" s="12" t="str">
        <f t="shared" si="3"/>
        <v>Withdrawal</v>
      </c>
      <c r="H529" s="12" t="str">
        <f>TEXT(Raw_Data!A535,"hh:mm:ss")
</f>
        <v>17:44:40</v>
      </c>
      <c r="I529" s="20">
        <f t="shared" si="4"/>
        <v>310</v>
      </c>
    </row>
    <row r="530">
      <c r="A530" s="12" t="str">
        <f>Raw_Data!A536</f>
        <v>13 Mar 2025 03:25:01</v>
      </c>
      <c r="B530" s="12" t="str">
        <f t="shared" si="1"/>
        <v>March</v>
      </c>
      <c r="C530" s="12">
        <f t="shared" si="2"/>
        <v>3</v>
      </c>
      <c r="D530" s="12" t="str">
        <f>IFERROR(__xludf.DUMMYFUNCTION("IFERROR(IF(REGEXMATCH(LOWER(Raw_Data!C536),""fixed deposit|owealth|savings|target""),""Fixed Deposit"",IF(REGEXMATCH(LOWER(Raw_Data!C536),""airtime""),""Airtime"",IF(REGEXMATCH(LOWER(Raw_Data!C536),""electronic money transfer levy""),""Electronic Money Tr"&amp;"ansfer Levy"",IF(REGEXMATCH(LOWER(Raw_Data!C536),""transfer|trf|send""),""Transfer"",""Other"")))),""Other"")"),"Transfer")</f>
        <v>Transfer</v>
      </c>
      <c r="E530" s="20">
        <v>900.0</v>
      </c>
      <c r="F530" s="20">
        <v>0.0</v>
      </c>
      <c r="G530" s="12" t="str">
        <f t="shared" si="3"/>
        <v>Withdrawal</v>
      </c>
      <c r="H530" s="12" t="str">
        <f>TEXT(Raw_Data!A536,"hh:mm:ss")
</f>
        <v>03:25:01</v>
      </c>
      <c r="I530" s="20">
        <f t="shared" si="4"/>
        <v>900</v>
      </c>
    </row>
    <row r="531">
      <c r="A531" s="12" t="str">
        <f>Raw_Data!A537</f>
        <v>13 Mar 2025 03:28:20</v>
      </c>
      <c r="B531" s="12" t="str">
        <f t="shared" si="1"/>
        <v>March</v>
      </c>
      <c r="C531" s="12">
        <f t="shared" si="2"/>
        <v>3</v>
      </c>
      <c r="D531" s="12" t="str">
        <f>IFERROR(__xludf.DUMMYFUNCTION("IFERROR(IF(REGEXMATCH(LOWER(Raw_Data!C537),""fixed deposit|owealth|savings|target""),""Fixed Deposit"",IF(REGEXMATCH(LOWER(Raw_Data!C537),""airtime""),""Airtime"",IF(REGEXMATCH(LOWER(Raw_Data!C537),""electronic money transfer levy""),""Electronic Money Tr"&amp;"ansfer Levy"",IF(REGEXMATCH(LOWER(Raw_Data!C537),""transfer|trf|send""),""Transfer"",""Other"")))),""Other"")"),"Transfer")</f>
        <v>Transfer</v>
      </c>
      <c r="E531" s="20">
        <v>100.0</v>
      </c>
      <c r="F531" s="20">
        <v>0.0</v>
      </c>
      <c r="G531" s="12" t="str">
        <f t="shared" si="3"/>
        <v>Withdrawal</v>
      </c>
      <c r="H531" s="12" t="str">
        <f>TEXT(Raw_Data!A537,"hh:mm:ss")
</f>
        <v>03:28:20</v>
      </c>
      <c r="I531" s="20">
        <f t="shared" si="4"/>
        <v>100</v>
      </c>
    </row>
    <row r="532">
      <c r="A532" s="12" t="str">
        <f>Raw_Data!A538</f>
        <v>13 Mar 2025 04:14:16</v>
      </c>
      <c r="B532" s="12" t="str">
        <f t="shared" si="1"/>
        <v>March</v>
      </c>
      <c r="C532" s="12">
        <f t="shared" si="2"/>
        <v>3</v>
      </c>
      <c r="D532" s="12" t="str">
        <f>IFERROR(__xludf.DUMMYFUNCTION("IFERROR(IF(REGEXMATCH(LOWER(Raw_Data!C538),""fixed deposit|owealth|savings|target""),""Fixed Deposit"",IF(REGEXMATCH(LOWER(Raw_Data!C538),""airtime""),""Airtime"",IF(REGEXMATCH(LOWER(Raw_Data!C538),""electronic money transfer levy""),""Electronic Money Tr"&amp;"ansfer Levy"",IF(REGEXMATCH(LOWER(Raw_Data!C538),""transfer|trf|send""),""Transfer"",""Other"")))),""Other"")"),"Transfer")</f>
        <v>Transfer</v>
      </c>
      <c r="E532" s="20">
        <v>200.0</v>
      </c>
      <c r="F532" s="20">
        <v>0.0</v>
      </c>
      <c r="G532" s="12" t="str">
        <f t="shared" si="3"/>
        <v>Withdrawal</v>
      </c>
      <c r="H532" s="12" t="str">
        <f>TEXT(Raw_Data!A538,"hh:mm:ss")
</f>
        <v>04:14:16</v>
      </c>
      <c r="I532" s="20">
        <f t="shared" si="4"/>
        <v>200</v>
      </c>
    </row>
    <row r="533">
      <c r="A533" s="12" t="str">
        <f>Raw_Data!A539</f>
        <v>13 Mar 2025 12:19:47</v>
      </c>
      <c r="B533" s="12" t="str">
        <f t="shared" si="1"/>
        <v>March</v>
      </c>
      <c r="C533" s="12">
        <f t="shared" si="2"/>
        <v>3</v>
      </c>
      <c r="D533" s="12" t="str">
        <f>IFERROR(__xludf.DUMMYFUNCTION("IFERROR(IF(REGEXMATCH(LOWER(Raw_Data!C539),""fixed deposit|owealth|savings|target""),""Fixed Deposit"",IF(REGEXMATCH(LOWER(Raw_Data!C539),""airtime""),""Airtime"",IF(REGEXMATCH(LOWER(Raw_Data!C539),""electronic money transfer levy""),""Electronic Money Tr"&amp;"ansfer Levy"",IF(REGEXMATCH(LOWER(Raw_Data!C539),""transfer|trf|send""),""Transfer"",""Other"")))),""Other"")"),"Transfer")</f>
        <v>Transfer</v>
      </c>
      <c r="E533" s="20">
        <v>300.0</v>
      </c>
      <c r="F533" s="20">
        <v>0.0</v>
      </c>
      <c r="G533" s="12" t="str">
        <f t="shared" si="3"/>
        <v>Withdrawal</v>
      </c>
      <c r="H533" s="12" t="str">
        <f>TEXT(Raw_Data!A539,"hh:mm:ss")
</f>
        <v>12:19:47</v>
      </c>
      <c r="I533" s="20">
        <f t="shared" si="4"/>
        <v>300</v>
      </c>
    </row>
    <row r="534">
      <c r="A534" s="12" t="str">
        <f>Raw_Data!A540</f>
        <v>13 Mar 2025 12:44:12</v>
      </c>
      <c r="B534" s="12" t="str">
        <f t="shared" si="1"/>
        <v>March</v>
      </c>
      <c r="C534" s="12">
        <f t="shared" si="2"/>
        <v>3</v>
      </c>
      <c r="D534" s="12" t="str">
        <f>IFERROR(__xludf.DUMMYFUNCTION("IFERROR(IF(REGEXMATCH(LOWER(Raw_Data!C540),""fixed deposit|owealth|savings|target""),""Fixed Deposit"",IF(REGEXMATCH(LOWER(Raw_Data!C540),""airtime""),""Airtime"",IF(REGEXMATCH(LOWER(Raw_Data!C540),""electronic money transfer levy""),""Electronic Money Tr"&amp;"ansfer Levy"",IF(REGEXMATCH(LOWER(Raw_Data!C540),""transfer|trf|send""),""Transfer"",""Other"")))),""Other"")"),"Transfer")</f>
        <v>Transfer</v>
      </c>
      <c r="E534" s="20">
        <v>0.0</v>
      </c>
      <c r="F534" s="20">
        <v>2000.0</v>
      </c>
      <c r="G534" s="12" t="str">
        <f t="shared" si="3"/>
        <v>Deposit</v>
      </c>
      <c r="H534" s="12" t="str">
        <f>TEXT(Raw_Data!A540,"hh:mm:ss")
</f>
        <v>12:44:12</v>
      </c>
      <c r="I534" s="20">
        <f t="shared" si="4"/>
        <v>2000</v>
      </c>
    </row>
    <row r="535">
      <c r="A535" s="12" t="str">
        <f>Raw_Data!A541</f>
        <v>13 Mar 2025 15:11:09</v>
      </c>
      <c r="B535" s="12" t="str">
        <f t="shared" si="1"/>
        <v>March</v>
      </c>
      <c r="C535" s="12">
        <f t="shared" si="2"/>
        <v>3</v>
      </c>
      <c r="D535" s="12" t="str">
        <f>IFERROR(__xludf.DUMMYFUNCTION("IFERROR(IF(REGEXMATCH(LOWER(Raw_Data!C541),""fixed deposit|owealth|savings|target""),""Fixed Deposit"",IF(REGEXMATCH(LOWER(Raw_Data!C541),""airtime""),""Airtime"",IF(REGEXMATCH(LOWER(Raw_Data!C541),""electronic money transfer levy""),""Electronic Money Tr"&amp;"ansfer Levy"",IF(REGEXMATCH(LOWER(Raw_Data!C541),""transfer|trf|send""),""Transfer"",""Other"")))),""Other"")"),"Transfer")</f>
        <v>Transfer</v>
      </c>
      <c r="E535" s="20">
        <v>560.0</v>
      </c>
      <c r="F535" s="20">
        <v>0.0</v>
      </c>
      <c r="G535" s="12" t="str">
        <f t="shared" si="3"/>
        <v>Withdrawal</v>
      </c>
      <c r="H535" s="12" t="str">
        <f>TEXT(Raw_Data!A541,"hh:mm:ss")
</f>
        <v>15:11:09</v>
      </c>
      <c r="I535" s="20">
        <f t="shared" si="4"/>
        <v>560</v>
      </c>
    </row>
    <row r="536">
      <c r="A536" s="12" t="str">
        <f>Raw_Data!A542</f>
        <v>13 Mar 2025 17:54:34</v>
      </c>
      <c r="B536" s="12" t="str">
        <f t="shared" si="1"/>
        <v>March</v>
      </c>
      <c r="C536" s="12">
        <f t="shared" si="2"/>
        <v>3</v>
      </c>
      <c r="D536" s="12" t="str">
        <f>IFERROR(__xludf.DUMMYFUNCTION("IFERROR(IF(REGEXMATCH(LOWER(Raw_Data!C542),""fixed deposit|owealth|savings|target""),""Fixed Deposit"",IF(REGEXMATCH(LOWER(Raw_Data!C542),""airtime""),""Airtime"",IF(REGEXMATCH(LOWER(Raw_Data!C542),""electronic money transfer levy""),""Electronic Money Tr"&amp;"ansfer Levy"",IF(REGEXMATCH(LOWER(Raw_Data!C542),""transfer|trf|send""),""Transfer"",""Other"")))),""Other"")"),"Transfer")</f>
        <v>Transfer</v>
      </c>
      <c r="E536" s="20">
        <v>1010.0</v>
      </c>
      <c r="F536" s="20">
        <v>0.0</v>
      </c>
      <c r="G536" s="12" t="str">
        <f t="shared" si="3"/>
        <v>Withdrawal</v>
      </c>
      <c r="H536" s="12" t="str">
        <f>TEXT(Raw_Data!A542,"hh:mm:ss")
</f>
        <v>17:54:34</v>
      </c>
      <c r="I536" s="20">
        <f t="shared" si="4"/>
        <v>1010</v>
      </c>
    </row>
    <row r="537">
      <c r="A537" s="12" t="str">
        <f>Raw_Data!A543</f>
        <v>14 Mar 2025 09:05:17</v>
      </c>
      <c r="B537" s="12" t="str">
        <f t="shared" si="1"/>
        <v>March</v>
      </c>
      <c r="C537" s="12">
        <f t="shared" si="2"/>
        <v>3</v>
      </c>
      <c r="D537" s="12" t="str">
        <f>IFERROR(__xludf.DUMMYFUNCTION("IFERROR(IF(REGEXMATCH(LOWER(Raw_Data!C543),""fixed deposit|owealth|savings|target""),""Fixed Deposit"",IF(REGEXMATCH(LOWER(Raw_Data!C543),""airtime""),""Airtime"",IF(REGEXMATCH(LOWER(Raw_Data!C543),""electronic money transfer levy""),""Electronic Money Tr"&amp;"ansfer Levy"",IF(REGEXMATCH(LOWER(Raw_Data!C543),""transfer|trf|send""),""Transfer"",""Other"")))),""Other"")"),"Transfer")</f>
        <v>Transfer</v>
      </c>
      <c r="E537" s="20">
        <v>200.0</v>
      </c>
      <c r="F537" s="20">
        <v>0.0</v>
      </c>
      <c r="G537" s="12" t="str">
        <f t="shared" si="3"/>
        <v>Withdrawal</v>
      </c>
      <c r="H537" s="12" t="str">
        <f>TEXT(Raw_Data!A543,"hh:mm:ss")
</f>
        <v>09:05:17</v>
      </c>
      <c r="I537" s="20">
        <f t="shared" si="4"/>
        <v>200</v>
      </c>
    </row>
    <row r="538">
      <c r="A538" s="12" t="str">
        <f>Raw_Data!A544</f>
        <v>14 Mar 2025 14:07:45</v>
      </c>
      <c r="B538" s="12" t="str">
        <f t="shared" si="1"/>
        <v>March</v>
      </c>
      <c r="C538" s="12">
        <f t="shared" si="2"/>
        <v>3</v>
      </c>
      <c r="D538" s="12" t="str">
        <f>IFERROR(__xludf.DUMMYFUNCTION("IFERROR(IF(REGEXMATCH(LOWER(Raw_Data!C544),""fixed deposit|owealth|savings|target""),""Fixed Deposit"",IF(REGEXMATCH(LOWER(Raw_Data!C544),""airtime""),""Airtime"",IF(REGEXMATCH(LOWER(Raw_Data!C544),""electronic money transfer levy""),""Electronic Money Tr"&amp;"ansfer Levy"",IF(REGEXMATCH(LOWER(Raw_Data!C544),""transfer|trf|send""),""Transfer"",""Other"")))),""Other"")"),"Transfer")</f>
        <v>Transfer</v>
      </c>
      <c r="E538" s="20">
        <v>1000.0</v>
      </c>
      <c r="F538" s="20">
        <v>0.0</v>
      </c>
      <c r="G538" s="12" t="str">
        <f t="shared" si="3"/>
        <v>Withdrawal</v>
      </c>
      <c r="H538" s="12" t="str">
        <f>TEXT(Raw_Data!A544,"hh:mm:ss")
</f>
        <v>14:07:45</v>
      </c>
      <c r="I538" s="20">
        <f t="shared" si="4"/>
        <v>1000</v>
      </c>
    </row>
    <row r="539">
      <c r="A539" s="12" t="str">
        <f>Raw_Data!A545</f>
        <v>14 Mar 2025 20:23:24</v>
      </c>
      <c r="B539" s="12" t="str">
        <f t="shared" si="1"/>
        <v>March</v>
      </c>
      <c r="C539" s="12">
        <f t="shared" si="2"/>
        <v>3</v>
      </c>
      <c r="D539" s="12" t="str">
        <f>IFERROR(__xludf.DUMMYFUNCTION("IFERROR(IF(REGEXMATCH(LOWER(Raw_Data!C545),""fixed deposit|owealth|savings|target""),""Fixed Deposit"",IF(REGEXMATCH(LOWER(Raw_Data!C545),""airtime""),""Airtime"",IF(REGEXMATCH(LOWER(Raw_Data!C545),""electronic money transfer levy""),""Electronic Money Tr"&amp;"ansfer Levy"",IF(REGEXMATCH(LOWER(Raw_Data!C545),""transfer|trf|send""),""Transfer"",""Other"")))),""Other"")"),"Transfer")</f>
        <v>Transfer</v>
      </c>
      <c r="E539" s="20">
        <v>600.0</v>
      </c>
      <c r="F539" s="20">
        <v>0.0</v>
      </c>
      <c r="G539" s="12" t="str">
        <f t="shared" si="3"/>
        <v>Withdrawal</v>
      </c>
      <c r="H539" s="12" t="str">
        <f>TEXT(Raw_Data!A545,"hh:mm:ss")
</f>
        <v>20:23:24</v>
      </c>
      <c r="I539" s="20">
        <f t="shared" si="4"/>
        <v>600</v>
      </c>
    </row>
    <row r="540">
      <c r="A540" s="12" t="str">
        <f>Raw_Data!A546</f>
        <v>15 Mar 2025 03:24:25</v>
      </c>
      <c r="B540" s="12" t="str">
        <f t="shared" si="1"/>
        <v>March</v>
      </c>
      <c r="C540" s="12">
        <f t="shared" si="2"/>
        <v>3</v>
      </c>
      <c r="D540" s="12" t="str">
        <f>IFERROR(__xludf.DUMMYFUNCTION("IFERROR(IF(REGEXMATCH(LOWER(Raw_Data!C546),""fixed deposit|owealth|savings|target""),""Fixed Deposit"",IF(REGEXMATCH(LOWER(Raw_Data!C546),""airtime""),""Airtime"",IF(REGEXMATCH(LOWER(Raw_Data!C546),""electronic money transfer levy""),""Electronic Money Tr"&amp;"ansfer Levy"",IF(REGEXMATCH(LOWER(Raw_Data!C546),""transfer|trf|send""),""Transfer"",""Other"")))),""Other"")"),"Transfer")</f>
        <v>Transfer</v>
      </c>
      <c r="E540" s="20">
        <v>500.0</v>
      </c>
      <c r="F540" s="20">
        <v>0.0</v>
      </c>
      <c r="G540" s="12" t="str">
        <f t="shared" si="3"/>
        <v>Withdrawal</v>
      </c>
      <c r="H540" s="12" t="str">
        <f>TEXT(Raw_Data!A546,"hh:mm:ss")
</f>
        <v>03:24:25</v>
      </c>
      <c r="I540" s="20">
        <f t="shared" si="4"/>
        <v>500</v>
      </c>
    </row>
    <row r="541">
      <c r="A541" s="12" t="str">
        <f>Raw_Data!A547</f>
        <v>15 Mar 2025 07:35:23</v>
      </c>
      <c r="B541" s="12" t="str">
        <f t="shared" si="1"/>
        <v>March</v>
      </c>
      <c r="C541" s="12">
        <f t="shared" si="2"/>
        <v>3</v>
      </c>
      <c r="D541" s="12" t="str">
        <f>IFERROR(__xludf.DUMMYFUNCTION("IFERROR(IF(REGEXMATCH(LOWER(Raw_Data!C547),""fixed deposit|owealth|savings|target""),""Fixed Deposit"",IF(REGEXMATCH(LOWER(Raw_Data!C547),""airtime""),""Airtime"",IF(REGEXMATCH(LOWER(Raw_Data!C547),""electronic money transfer levy""),""Electronic Money Tr"&amp;"ansfer Levy"",IF(REGEXMATCH(LOWER(Raw_Data!C547),""transfer|trf|send""),""Transfer"",""Other"")))),""Other"")"),"Transfer")</f>
        <v>Transfer</v>
      </c>
      <c r="E541" s="20">
        <v>0.0</v>
      </c>
      <c r="F541" s="20">
        <v>5000.0</v>
      </c>
      <c r="G541" s="12" t="str">
        <f t="shared" si="3"/>
        <v>Deposit</v>
      </c>
      <c r="H541" s="12" t="str">
        <f>TEXT(Raw_Data!A547,"hh:mm:ss")
</f>
        <v>07:35:23</v>
      </c>
      <c r="I541" s="20">
        <f t="shared" si="4"/>
        <v>5000</v>
      </c>
    </row>
    <row r="542">
      <c r="A542" s="12" t="str">
        <f>Raw_Data!A548</f>
        <v>15 Mar 2025 11:09:35</v>
      </c>
      <c r="B542" s="12" t="str">
        <f t="shared" si="1"/>
        <v>March</v>
      </c>
      <c r="C542" s="12">
        <f t="shared" si="2"/>
        <v>3</v>
      </c>
      <c r="D542" s="12" t="str">
        <f>IFERROR(__xludf.DUMMYFUNCTION("IFERROR(IF(REGEXMATCH(LOWER(Raw_Data!C548),""fixed deposit|owealth|savings|target""),""Fixed Deposit"",IF(REGEXMATCH(LOWER(Raw_Data!C548),""airtime""),""Airtime"",IF(REGEXMATCH(LOWER(Raw_Data!C548),""electronic money transfer levy""),""Electronic Money Tr"&amp;"ansfer Levy"",IF(REGEXMATCH(LOWER(Raw_Data!C548),""transfer|trf|send""),""Transfer"",""Other"")))),""Other"")"),"Transfer")</f>
        <v>Transfer</v>
      </c>
      <c r="E542" s="20">
        <v>2000.0</v>
      </c>
      <c r="F542" s="20">
        <v>0.0</v>
      </c>
      <c r="G542" s="12" t="str">
        <f t="shared" si="3"/>
        <v>Withdrawal</v>
      </c>
      <c r="H542" s="12" t="str">
        <f>TEXT(Raw_Data!A548,"hh:mm:ss")
</f>
        <v>11:09:35</v>
      </c>
      <c r="I542" s="20">
        <f t="shared" si="4"/>
        <v>2000</v>
      </c>
    </row>
    <row r="543">
      <c r="A543" s="12" t="str">
        <f>Raw_Data!A549</f>
        <v>15 Mar 2025 12:52:55</v>
      </c>
      <c r="B543" s="12" t="str">
        <f t="shared" si="1"/>
        <v>March</v>
      </c>
      <c r="C543" s="12">
        <f t="shared" si="2"/>
        <v>3</v>
      </c>
      <c r="D543" s="12" t="str">
        <f>IFERROR(__xludf.DUMMYFUNCTION("IFERROR(IF(REGEXMATCH(LOWER(Raw_Data!C549),""fixed deposit|owealth|savings|target""),""Fixed Deposit"",IF(REGEXMATCH(LOWER(Raw_Data!C549),""airtime""),""Airtime"",IF(REGEXMATCH(LOWER(Raw_Data!C549),""electronic money transfer levy""),""Electronic Money Tr"&amp;"ansfer Levy"",IF(REGEXMATCH(LOWER(Raw_Data!C549),""transfer|trf|send""),""Transfer"",""Other"")))),""Other"")"),"Transfer")</f>
        <v>Transfer</v>
      </c>
      <c r="E543" s="20">
        <v>0.0</v>
      </c>
      <c r="F543" s="20">
        <v>4500.0</v>
      </c>
      <c r="G543" s="12" t="str">
        <f t="shared" si="3"/>
        <v>Deposit</v>
      </c>
      <c r="H543" s="12" t="str">
        <f>TEXT(Raw_Data!A549,"hh:mm:ss")
</f>
        <v>12:52:55</v>
      </c>
      <c r="I543" s="20">
        <f t="shared" si="4"/>
        <v>4500</v>
      </c>
    </row>
    <row r="544">
      <c r="A544" s="12" t="str">
        <f>Raw_Data!A550</f>
        <v>15 Mar 2025 12:58:12</v>
      </c>
      <c r="B544" s="12" t="str">
        <f t="shared" si="1"/>
        <v>March</v>
      </c>
      <c r="C544" s="12">
        <f t="shared" si="2"/>
        <v>3</v>
      </c>
      <c r="D544" s="12" t="str">
        <f>IFERROR(__xludf.DUMMYFUNCTION("IFERROR(IF(REGEXMATCH(LOWER(Raw_Data!C550),""fixed deposit|owealth|savings|target""),""Fixed Deposit"",IF(REGEXMATCH(LOWER(Raw_Data!C550),""airtime""),""Airtime"",IF(REGEXMATCH(LOWER(Raw_Data!C550),""electronic money transfer levy""),""Electronic Money Tr"&amp;"ansfer Levy"",IF(REGEXMATCH(LOWER(Raw_Data!C550),""transfer|trf|send""),""Transfer"",""Other"")))),""Other"")"),"Transfer")</f>
        <v>Transfer</v>
      </c>
      <c r="E544" s="20">
        <v>0.0</v>
      </c>
      <c r="F544" s="20">
        <v>6000.0</v>
      </c>
      <c r="G544" s="12" t="str">
        <f t="shared" si="3"/>
        <v>Deposit</v>
      </c>
      <c r="H544" s="12" t="str">
        <f>TEXT(Raw_Data!A550,"hh:mm:ss")
</f>
        <v>12:58:12</v>
      </c>
      <c r="I544" s="20">
        <f t="shared" si="4"/>
        <v>6000</v>
      </c>
    </row>
    <row r="545">
      <c r="A545" s="12" t="str">
        <f>Raw_Data!A551</f>
        <v>15 Mar 2025 13:05:42</v>
      </c>
      <c r="B545" s="12" t="str">
        <f t="shared" si="1"/>
        <v>March</v>
      </c>
      <c r="C545" s="12">
        <f t="shared" si="2"/>
        <v>3</v>
      </c>
      <c r="D545" s="12" t="str">
        <f>IFERROR(__xludf.DUMMYFUNCTION("IFERROR(IF(REGEXMATCH(LOWER(Raw_Data!C551),""fixed deposit|owealth|savings|target""),""Fixed Deposit"",IF(REGEXMATCH(LOWER(Raw_Data!C551),""airtime""),""Airtime"",IF(REGEXMATCH(LOWER(Raw_Data!C551),""electronic money transfer levy""),""Electronic Money Tr"&amp;"ansfer Levy"",IF(REGEXMATCH(LOWER(Raw_Data!C551),""transfer|trf|send""),""Transfer"",""Other"")))),""Other"")"),"Transfer")</f>
        <v>Transfer</v>
      </c>
      <c r="E545" s="20">
        <v>0.0</v>
      </c>
      <c r="F545" s="20">
        <v>4500.0</v>
      </c>
      <c r="G545" s="12" t="str">
        <f t="shared" si="3"/>
        <v>Deposit</v>
      </c>
      <c r="H545" s="12" t="str">
        <f>TEXT(Raw_Data!A551,"hh:mm:ss")
</f>
        <v>13:05:42</v>
      </c>
      <c r="I545" s="20">
        <f t="shared" si="4"/>
        <v>4500</v>
      </c>
    </row>
    <row r="546">
      <c r="A546" s="12" t="str">
        <f>Raw_Data!A552</f>
        <v>15 Mar 2025 13:08:11</v>
      </c>
      <c r="B546" s="12" t="str">
        <f t="shared" si="1"/>
        <v>March</v>
      </c>
      <c r="C546" s="12">
        <f t="shared" si="2"/>
        <v>3</v>
      </c>
      <c r="D546" s="12" t="str">
        <f>IFERROR(__xludf.DUMMYFUNCTION("IFERROR(IF(REGEXMATCH(LOWER(Raw_Data!C552),""fixed deposit|owealth|savings|target""),""Fixed Deposit"",IF(REGEXMATCH(LOWER(Raw_Data!C552),""airtime""),""Airtime"",IF(REGEXMATCH(LOWER(Raw_Data!C552),""electronic money transfer levy""),""Electronic Money Tr"&amp;"ansfer Levy"",IF(REGEXMATCH(LOWER(Raw_Data!C552),""transfer|trf|send""),""Transfer"",""Other"")))),""Other"")"),"Transfer")</f>
        <v>Transfer</v>
      </c>
      <c r="E546" s="20">
        <v>21000.0</v>
      </c>
      <c r="F546" s="20">
        <v>0.0</v>
      </c>
      <c r="G546" s="12" t="str">
        <f t="shared" si="3"/>
        <v>Withdrawal</v>
      </c>
      <c r="H546" s="12" t="str">
        <f>TEXT(Raw_Data!A552,"hh:mm:ss")
</f>
        <v>13:08:11</v>
      </c>
      <c r="I546" s="20">
        <f t="shared" si="4"/>
        <v>21000</v>
      </c>
    </row>
    <row r="547">
      <c r="A547" s="12" t="str">
        <f>Raw_Data!A553</f>
        <v>15 Mar 2025 13:19:26</v>
      </c>
      <c r="B547" s="12" t="str">
        <f t="shared" si="1"/>
        <v>March</v>
      </c>
      <c r="C547" s="12">
        <f t="shared" si="2"/>
        <v>3</v>
      </c>
      <c r="D547" s="12" t="str">
        <f>IFERROR(__xludf.DUMMYFUNCTION("IFERROR(IF(REGEXMATCH(LOWER(Raw_Data!C553),""fixed deposit|owealth|savings|target""),""Fixed Deposit"",IF(REGEXMATCH(LOWER(Raw_Data!C553),""airtime""),""Airtime"",IF(REGEXMATCH(LOWER(Raw_Data!C553),""electronic money transfer levy""),""Electronic Money Tr"&amp;"ansfer Levy"",IF(REGEXMATCH(LOWER(Raw_Data!C553),""transfer|trf|send""),""Transfer"",""Other"")))),""Other"")"),"Transfer")</f>
        <v>Transfer</v>
      </c>
      <c r="E547" s="20">
        <v>0.0</v>
      </c>
      <c r="F547" s="20">
        <v>5000.0</v>
      </c>
      <c r="G547" s="12" t="str">
        <f t="shared" si="3"/>
        <v>Deposit</v>
      </c>
      <c r="H547" s="12" t="str">
        <f>TEXT(Raw_Data!A553,"hh:mm:ss")
</f>
        <v>13:19:26</v>
      </c>
      <c r="I547" s="20">
        <f t="shared" si="4"/>
        <v>5000</v>
      </c>
    </row>
    <row r="548">
      <c r="A548" s="12" t="str">
        <f>Raw_Data!A554</f>
        <v>15 Mar 2025 13:20:20</v>
      </c>
      <c r="B548" s="12" t="str">
        <f t="shared" si="1"/>
        <v>March</v>
      </c>
      <c r="C548" s="12">
        <f t="shared" si="2"/>
        <v>3</v>
      </c>
      <c r="D548" s="12" t="str">
        <f>IFERROR(__xludf.DUMMYFUNCTION("IFERROR(IF(REGEXMATCH(LOWER(Raw_Data!C554),""fixed deposit|owealth|savings|target""),""Fixed Deposit"",IF(REGEXMATCH(LOWER(Raw_Data!C554),""airtime""),""Airtime"",IF(REGEXMATCH(LOWER(Raw_Data!C554),""electronic money transfer levy""),""Electronic Money Tr"&amp;"ansfer Levy"",IF(REGEXMATCH(LOWER(Raw_Data!C554),""transfer|trf|send""),""Transfer"",""Other"")))),""Other"")"),"Transfer")</f>
        <v>Transfer</v>
      </c>
      <c r="E548" s="20">
        <v>2800.0</v>
      </c>
      <c r="F548" s="20">
        <v>0.0</v>
      </c>
      <c r="G548" s="12" t="str">
        <f t="shared" si="3"/>
        <v>Withdrawal</v>
      </c>
      <c r="H548" s="12" t="str">
        <f>TEXT(Raw_Data!A554,"hh:mm:ss")
</f>
        <v>13:20:20</v>
      </c>
      <c r="I548" s="20">
        <f t="shared" si="4"/>
        <v>2800</v>
      </c>
    </row>
    <row r="549">
      <c r="A549" s="12" t="str">
        <f>Raw_Data!A555</f>
        <v>15 Mar 2025 13:26:42</v>
      </c>
      <c r="B549" s="12" t="str">
        <f t="shared" si="1"/>
        <v>March</v>
      </c>
      <c r="C549" s="12">
        <f t="shared" si="2"/>
        <v>3</v>
      </c>
      <c r="D549" s="12" t="str">
        <f>IFERROR(__xludf.DUMMYFUNCTION("IFERROR(IF(REGEXMATCH(LOWER(Raw_Data!C555),""fixed deposit|owealth|savings|target""),""Fixed Deposit"",IF(REGEXMATCH(LOWER(Raw_Data!C555),""airtime""),""Airtime"",IF(REGEXMATCH(LOWER(Raw_Data!C555),""electronic money transfer levy""),""Electronic Money Tr"&amp;"ansfer Levy"",IF(REGEXMATCH(LOWER(Raw_Data!C555),""transfer|trf|send""),""Transfer"",""Other"")))),""Other"")"),"Transfer")</f>
        <v>Transfer</v>
      </c>
      <c r="E549" s="20">
        <v>7000.0</v>
      </c>
      <c r="F549" s="20">
        <v>0.0</v>
      </c>
      <c r="G549" s="12" t="str">
        <f t="shared" si="3"/>
        <v>Withdrawal</v>
      </c>
      <c r="H549" s="12" t="str">
        <f>TEXT(Raw_Data!A555,"hh:mm:ss")
</f>
        <v>13:26:42</v>
      </c>
      <c r="I549" s="20">
        <f t="shared" si="4"/>
        <v>7000</v>
      </c>
    </row>
    <row r="550">
      <c r="A550" s="12" t="str">
        <f>Raw_Data!A556</f>
        <v>15 Mar 2025 15:02:55</v>
      </c>
      <c r="B550" s="12" t="str">
        <f t="shared" si="1"/>
        <v>March</v>
      </c>
      <c r="C550" s="12">
        <f t="shared" si="2"/>
        <v>3</v>
      </c>
      <c r="D550" s="12" t="str">
        <f>IFERROR(__xludf.DUMMYFUNCTION("IFERROR(IF(REGEXMATCH(LOWER(Raw_Data!C556),""fixed deposit|owealth|savings|target""),""Fixed Deposit"",IF(REGEXMATCH(LOWER(Raw_Data!C556),""airtime""),""Airtime"",IF(REGEXMATCH(LOWER(Raw_Data!C556),""electronic money transfer levy""),""Electronic Money Tr"&amp;"ansfer Levy"",IF(REGEXMATCH(LOWER(Raw_Data!C556),""transfer|trf|send""),""Transfer"",""Other"")))),""Other"")"),"Transfer")</f>
        <v>Transfer</v>
      </c>
      <c r="E550" s="20">
        <v>300.0</v>
      </c>
      <c r="F550" s="20">
        <v>0.0</v>
      </c>
      <c r="G550" s="12" t="str">
        <f t="shared" si="3"/>
        <v>Withdrawal</v>
      </c>
      <c r="H550" s="12" t="str">
        <f>TEXT(Raw_Data!A556,"hh:mm:ss")
</f>
        <v>15:02:55</v>
      </c>
      <c r="I550" s="20">
        <f t="shared" si="4"/>
        <v>300</v>
      </c>
    </row>
    <row r="551">
      <c r="A551" s="12" t="str">
        <f>Raw_Data!A557</f>
        <v>15 Mar 2025 15:03:32</v>
      </c>
      <c r="B551" s="12" t="str">
        <f t="shared" si="1"/>
        <v>March</v>
      </c>
      <c r="C551" s="12">
        <f t="shared" si="2"/>
        <v>3</v>
      </c>
      <c r="D551" s="12" t="str">
        <f>IFERROR(__xludf.DUMMYFUNCTION("IFERROR(IF(REGEXMATCH(LOWER(Raw_Data!C557),""fixed deposit|owealth|savings|target""),""Fixed Deposit"",IF(REGEXMATCH(LOWER(Raw_Data!C557),""airtime""),""Airtime"",IF(REGEXMATCH(LOWER(Raw_Data!C557),""electronic money transfer levy""),""Electronic Money Tr"&amp;"ansfer Levy"",IF(REGEXMATCH(LOWER(Raw_Data!C557),""transfer|trf|send""),""Transfer"",""Other"")))),""Other"")"),"Transfer")</f>
        <v>Transfer</v>
      </c>
      <c r="E551" s="20">
        <v>2000.0</v>
      </c>
      <c r="F551" s="20">
        <v>0.0</v>
      </c>
      <c r="G551" s="12" t="str">
        <f t="shared" si="3"/>
        <v>Withdrawal</v>
      </c>
      <c r="H551" s="12" t="str">
        <f>TEXT(Raw_Data!A557,"hh:mm:ss")
</f>
        <v>15:03:32</v>
      </c>
      <c r="I551" s="20">
        <f t="shared" si="4"/>
        <v>2000</v>
      </c>
    </row>
    <row r="552">
      <c r="A552" s="12" t="str">
        <f>Raw_Data!A558</f>
        <v>15 Mar 2025 15:05:47</v>
      </c>
      <c r="B552" s="12" t="str">
        <f t="shared" si="1"/>
        <v>March</v>
      </c>
      <c r="C552" s="12">
        <f t="shared" si="2"/>
        <v>3</v>
      </c>
      <c r="D552" s="12" t="str">
        <f>IFERROR(__xludf.DUMMYFUNCTION("IFERROR(IF(REGEXMATCH(LOWER(Raw_Data!C558),""fixed deposit|owealth|savings|target""),""Fixed Deposit"",IF(REGEXMATCH(LOWER(Raw_Data!C558),""airtime""),""Airtime"",IF(REGEXMATCH(LOWER(Raw_Data!C558),""electronic money transfer levy""),""Electronic Money Tr"&amp;"ansfer Levy"",IF(REGEXMATCH(LOWER(Raw_Data!C558),""transfer|trf|send""),""Transfer"",""Other"")))),""Other"")"),"Transfer")</f>
        <v>Transfer</v>
      </c>
      <c r="E552" s="20">
        <v>210.0</v>
      </c>
      <c r="F552" s="20">
        <v>0.0</v>
      </c>
      <c r="G552" s="12" t="str">
        <f t="shared" si="3"/>
        <v>Withdrawal</v>
      </c>
      <c r="H552" s="12" t="str">
        <f>TEXT(Raw_Data!A558,"hh:mm:ss")
</f>
        <v>15:05:47</v>
      </c>
      <c r="I552" s="20">
        <f t="shared" si="4"/>
        <v>210</v>
      </c>
    </row>
    <row r="553">
      <c r="A553" s="12" t="str">
        <f>Raw_Data!A559</f>
        <v>15 Mar 2025 15:46:54</v>
      </c>
      <c r="B553" s="12" t="str">
        <f t="shared" si="1"/>
        <v>March</v>
      </c>
      <c r="C553" s="12">
        <f t="shared" si="2"/>
        <v>3</v>
      </c>
      <c r="D553" s="12" t="str">
        <f>IFERROR(__xludf.DUMMYFUNCTION("IFERROR(IF(REGEXMATCH(LOWER(Raw_Data!C559),""fixed deposit|owealth|savings|target""),""Fixed Deposit"",IF(REGEXMATCH(LOWER(Raw_Data!C559),""airtime""),""Airtime"",IF(REGEXMATCH(LOWER(Raw_Data!C559),""electronic money transfer levy""),""Electronic Money Tr"&amp;"ansfer Levy"",IF(REGEXMATCH(LOWER(Raw_Data!C559),""transfer|trf|send""),""Transfer"",""Other"")))),""Other"")"),"Transfer")</f>
        <v>Transfer</v>
      </c>
      <c r="E553" s="20">
        <v>0.0</v>
      </c>
      <c r="F553" s="20">
        <v>4200.0</v>
      </c>
      <c r="G553" s="12" t="str">
        <f t="shared" si="3"/>
        <v>Deposit</v>
      </c>
      <c r="H553" s="12" t="str">
        <f>TEXT(Raw_Data!A559,"hh:mm:ss")
</f>
        <v>15:46:54</v>
      </c>
      <c r="I553" s="20">
        <f t="shared" si="4"/>
        <v>4200</v>
      </c>
    </row>
    <row r="554">
      <c r="A554" s="12" t="str">
        <f>Raw_Data!A560</f>
        <v>15 Mar 2025 17:02:26</v>
      </c>
      <c r="B554" s="12" t="str">
        <f t="shared" si="1"/>
        <v>March</v>
      </c>
      <c r="C554" s="12">
        <f t="shared" si="2"/>
        <v>3</v>
      </c>
      <c r="D554" s="12" t="str">
        <f>IFERROR(__xludf.DUMMYFUNCTION("IFERROR(IF(REGEXMATCH(LOWER(Raw_Data!C560),""fixed deposit|owealth|savings|target""),""Fixed Deposit"",IF(REGEXMATCH(LOWER(Raw_Data!C560),""airtime""),""Airtime"",IF(REGEXMATCH(LOWER(Raw_Data!C560),""electronic money transfer levy""),""Electronic Money Tr"&amp;"ansfer Levy"",IF(REGEXMATCH(LOWER(Raw_Data!C560),""transfer|trf|send""),""Transfer"",""Other"")))),""Other"")"),"Transfer")</f>
        <v>Transfer</v>
      </c>
      <c r="E554" s="20">
        <v>1510.0</v>
      </c>
      <c r="F554" s="20">
        <v>0.0</v>
      </c>
      <c r="G554" s="12" t="str">
        <f t="shared" si="3"/>
        <v>Withdrawal</v>
      </c>
      <c r="H554" s="12" t="str">
        <f>TEXT(Raw_Data!A560,"hh:mm:ss")
</f>
        <v>17:02:26</v>
      </c>
      <c r="I554" s="20">
        <f t="shared" si="4"/>
        <v>1510</v>
      </c>
    </row>
    <row r="555">
      <c r="A555" s="12" t="str">
        <f>Raw_Data!A561</f>
        <v>15 Mar 2025 17:24:09</v>
      </c>
      <c r="B555" s="12" t="str">
        <f t="shared" si="1"/>
        <v>March</v>
      </c>
      <c r="C555" s="12">
        <f t="shared" si="2"/>
        <v>3</v>
      </c>
      <c r="D555" s="12" t="str">
        <f>IFERROR(__xludf.DUMMYFUNCTION("IFERROR(IF(REGEXMATCH(LOWER(Raw_Data!C561),""fixed deposit|owealth|savings|target""),""Fixed Deposit"",IF(REGEXMATCH(LOWER(Raw_Data!C561),""airtime""),""Airtime"",IF(REGEXMATCH(LOWER(Raw_Data!C561),""electronic money transfer levy""),""Electronic Money Tr"&amp;"ansfer Levy"",IF(REGEXMATCH(LOWER(Raw_Data!C561),""transfer|trf|send""),""Transfer"",""Other"")))),""Other"")"),"Transfer")</f>
        <v>Transfer</v>
      </c>
      <c r="E555" s="20">
        <v>500.0</v>
      </c>
      <c r="F555" s="20">
        <v>0.0</v>
      </c>
      <c r="G555" s="12" t="str">
        <f t="shared" si="3"/>
        <v>Withdrawal</v>
      </c>
      <c r="H555" s="12" t="str">
        <f>TEXT(Raw_Data!A561,"hh:mm:ss")
</f>
        <v>17:24:09</v>
      </c>
      <c r="I555" s="20">
        <f t="shared" si="4"/>
        <v>500</v>
      </c>
    </row>
    <row r="556">
      <c r="A556" s="12" t="str">
        <f>Raw_Data!A562</f>
        <v>15 Mar 2025 18:57:28</v>
      </c>
      <c r="B556" s="12" t="str">
        <f t="shared" si="1"/>
        <v>March</v>
      </c>
      <c r="C556" s="12">
        <f t="shared" si="2"/>
        <v>3</v>
      </c>
      <c r="D556" s="12" t="str">
        <f>IFERROR(__xludf.DUMMYFUNCTION("IFERROR(IF(REGEXMATCH(LOWER(Raw_Data!C562),""fixed deposit|owealth|savings|target""),""Fixed Deposit"",IF(REGEXMATCH(LOWER(Raw_Data!C562),""airtime""),""Airtime"",IF(REGEXMATCH(LOWER(Raw_Data!C562),""electronic money transfer levy""),""Electronic Money Tr"&amp;"ansfer Levy"",IF(REGEXMATCH(LOWER(Raw_Data!C562),""transfer|trf|send""),""Transfer"",""Other"")))),""Other"")"),"Transfer")</f>
        <v>Transfer</v>
      </c>
      <c r="E556" s="20">
        <v>110.0</v>
      </c>
      <c r="F556" s="20">
        <v>0.0</v>
      </c>
      <c r="G556" s="12" t="str">
        <f t="shared" si="3"/>
        <v>Withdrawal</v>
      </c>
      <c r="H556" s="12" t="str">
        <f>TEXT(Raw_Data!A562,"hh:mm:ss")
</f>
        <v>18:57:28</v>
      </c>
      <c r="I556" s="20">
        <f t="shared" si="4"/>
        <v>110</v>
      </c>
    </row>
    <row r="557">
      <c r="A557" s="12" t="str">
        <f>Raw_Data!A563</f>
        <v>16 Mar 2025 03:43:14</v>
      </c>
      <c r="B557" s="12" t="str">
        <f t="shared" si="1"/>
        <v>March</v>
      </c>
      <c r="C557" s="12">
        <f t="shared" si="2"/>
        <v>3</v>
      </c>
      <c r="D557" s="12" t="str">
        <f>IFERROR(__xludf.DUMMYFUNCTION("IFERROR(IF(REGEXMATCH(LOWER(Raw_Data!C563),""fixed deposit|owealth|savings|target""),""Fixed Deposit"",IF(REGEXMATCH(LOWER(Raw_Data!C563),""airtime""),""Airtime"",IF(REGEXMATCH(LOWER(Raw_Data!C563),""electronic money transfer levy""),""Electronic Money Tr"&amp;"ansfer Levy"",IF(REGEXMATCH(LOWER(Raw_Data!C563),""transfer|trf|send""),""Transfer"",""Other"")))),""Other"")"),"Transfer")</f>
        <v>Transfer</v>
      </c>
      <c r="E557" s="20">
        <v>1150.0</v>
      </c>
      <c r="F557" s="20">
        <v>0.0</v>
      </c>
      <c r="G557" s="12" t="str">
        <f t="shared" si="3"/>
        <v>Withdrawal</v>
      </c>
      <c r="H557" s="12" t="str">
        <f>TEXT(Raw_Data!A563,"hh:mm:ss")
</f>
        <v>03:43:14</v>
      </c>
      <c r="I557" s="20">
        <f t="shared" si="4"/>
        <v>1150</v>
      </c>
    </row>
    <row r="558">
      <c r="A558" s="12" t="str">
        <f>Raw_Data!A564</f>
        <v>16 Mar 2025 03:43:51</v>
      </c>
      <c r="B558" s="12" t="str">
        <f t="shared" si="1"/>
        <v>March</v>
      </c>
      <c r="C558" s="12">
        <f t="shared" si="2"/>
        <v>3</v>
      </c>
      <c r="D558" s="12" t="str">
        <f>IFERROR(__xludf.DUMMYFUNCTION("IFERROR(IF(REGEXMATCH(LOWER(Raw_Data!C564),""fixed deposit|owealth|savings|target""),""Fixed Deposit"",IF(REGEXMATCH(LOWER(Raw_Data!C564),""airtime""),""Airtime"",IF(REGEXMATCH(LOWER(Raw_Data!C564),""electronic money transfer levy""),""Electronic Money Tr"&amp;"ansfer Levy"",IF(REGEXMATCH(LOWER(Raw_Data!C564),""transfer|trf|send""),""Transfer"",""Other"")))),""Other"")"),"Transfer")</f>
        <v>Transfer</v>
      </c>
      <c r="E558" s="20">
        <v>350.0</v>
      </c>
      <c r="F558" s="20">
        <v>0.0</v>
      </c>
      <c r="G558" s="12" t="str">
        <f t="shared" si="3"/>
        <v>Withdrawal</v>
      </c>
      <c r="H558" s="12" t="str">
        <f>TEXT(Raw_Data!A564,"hh:mm:ss")
</f>
        <v>03:43:51</v>
      </c>
      <c r="I558" s="20">
        <f t="shared" si="4"/>
        <v>350</v>
      </c>
    </row>
    <row r="559">
      <c r="A559" s="12" t="str">
        <f>Raw_Data!A565</f>
        <v>16 Mar 2025 15:56:56</v>
      </c>
      <c r="B559" s="12" t="str">
        <f t="shared" si="1"/>
        <v>March</v>
      </c>
      <c r="C559" s="12">
        <f t="shared" si="2"/>
        <v>3</v>
      </c>
      <c r="D559" s="12" t="str">
        <f>IFERROR(__xludf.DUMMYFUNCTION("IFERROR(IF(REGEXMATCH(LOWER(Raw_Data!C565),""fixed deposit|owealth|savings|target""),""Fixed Deposit"",IF(REGEXMATCH(LOWER(Raw_Data!C565),""airtime""),""Airtime"",IF(REGEXMATCH(LOWER(Raw_Data!C565),""electronic money transfer levy""),""Electronic Money Tr"&amp;"ansfer Levy"",IF(REGEXMATCH(LOWER(Raw_Data!C565),""transfer|trf|send""),""Transfer"",""Other"")))),""Other"")"),"Transfer")</f>
        <v>Transfer</v>
      </c>
      <c r="E559" s="20">
        <v>0.0</v>
      </c>
      <c r="F559" s="20">
        <v>3000.0</v>
      </c>
      <c r="G559" s="12" t="str">
        <f t="shared" si="3"/>
        <v>Deposit</v>
      </c>
      <c r="H559" s="12" t="str">
        <f>TEXT(Raw_Data!A565,"hh:mm:ss")
</f>
        <v>15:56:56</v>
      </c>
      <c r="I559" s="20">
        <f t="shared" si="4"/>
        <v>3000</v>
      </c>
    </row>
    <row r="560">
      <c r="A560" s="12" t="str">
        <f>Raw_Data!A566</f>
        <v>16 Mar 2025 17:24:57</v>
      </c>
      <c r="B560" s="12" t="str">
        <f t="shared" si="1"/>
        <v>March</v>
      </c>
      <c r="C560" s="12">
        <f t="shared" si="2"/>
        <v>3</v>
      </c>
      <c r="D560" s="12" t="str">
        <f>IFERROR(__xludf.DUMMYFUNCTION("IFERROR(IF(REGEXMATCH(LOWER(Raw_Data!C566),""fixed deposit|owealth|savings|target""),""Fixed Deposit"",IF(REGEXMATCH(LOWER(Raw_Data!C566),""airtime""),""Airtime"",IF(REGEXMATCH(LOWER(Raw_Data!C566),""electronic money transfer levy""),""Electronic Money Tr"&amp;"ansfer Levy"",IF(REGEXMATCH(LOWER(Raw_Data!C566),""transfer|trf|send""),""Transfer"",""Other"")))),""Other"")"),"Transfer")</f>
        <v>Transfer</v>
      </c>
      <c r="E560" s="20">
        <v>400.0</v>
      </c>
      <c r="F560" s="20">
        <v>0.0</v>
      </c>
      <c r="G560" s="12" t="str">
        <f t="shared" si="3"/>
        <v>Withdrawal</v>
      </c>
      <c r="H560" s="12" t="str">
        <f>TEXT(Raw_Data!A566,"hh:mm:ss")
</f>
        <v>17:24:57</v>
      </c>
      <c r="I560" s="20">
        <f t="shared" si="4"/>
        <v>400</v>
      </c>
    </row>
    <row r="561">
      <c r="A561" s="12" t="str">
        <f>Raw_Data!A567</f>
        <v>16 Mar 2025 18:04:20</v>
      </c>
      <c r="B561" s="12" t="str">
        <f t="shared" si="1"/>
        <v>March</v>
      </c>
      <c r="C561" s="12">
        <f t="shared" si="2"/>
        <v>3</v>
      </c>
      <c r="D561" s="12" t="str">
        <f>IFERROR(__xludf.DUMMYFUNCTION("IFERROR(IF(REGEXMATCH(LOWER(Raw_Data!C567),""fixed deposit|owealth|savings|target""),""Fixed Deposit"",IF(REGEXMATCH(LOWER(Raw_Data!C567),""airtime""),""Airtime"",IF(REGEXMATCH(LOWER(Raw_Data!C567),""electronic money transfer levy""),""Electronic Money Tr"&amp;"ansfer Levy"",IF(REGEXMATCH(LOWER(Raw_Data!C567),""transfer|trf|send""),""Transfer"",""Other"")))),""Other"")"),"Transfer")</f>
        <v>Transfer</v>
      </c>
      <c r="E561" s="20">
        <v>800.0</v>
      </c>
      <c r="F561" s="20">
        <v>0.0</v>
      </c>
      <c r="G561" s="12" t="str">
        <f t="shared" si="3"/>
        <v>Withdrawal</v>
      </c>
      <c r="H561" s="12" t="str">
        <f>TEXT(Raw_Data!A567,"hh:mm:ss")
</f>
        <v>18:04:20</v>
      </c>
      <c r="I561" s="20">
        <f t="shared" si="4"/>
        <v>800</v>
      </c>
    </row>
    <row r="562">
      <c r="A562" s="12" t="str">
        <f>Raw_Data!A568</f>
        <v>16 Mar 2025 18:05:07</v>
      </c>
      <c r="B562" s="12" t="str">
        <f t="shared" si="1"/>
        <v>March</v>
      </c>
      <c r="C562" s="12">
        <f t="shared" si="2"/>
        <v>3</v>
      </c>
      <c r="D562" s="12" t="str">
        <f>IFERROR(__xludf.DUMMYFUNCTION("IFERROR(IF(REGEXMATCH(LOWER(Raw_Data!C568),""fixed deposit|owealth|savings|target""),""Fixed Deposit"",IF(REGEXMATCH(LOWER(Raw_Data!C568),""airtime""),""Airtime"",IF(REGEXMATCH(LOWER(Raw_Data!C568),""electronic money transfer levy""),""Electronic Money Tr"&amp;"ansfer Levy"",IF(REGEXMATCH(LOWER(Raw_Data!C568),""transfer|trf|send""),""Transfer"",""Other"")))),""Other"")"),"Transfer")</f>
        <v>Transfer</v>
      </c>
      <c r="E562" s="20">
        <v>210.0</v>
      </c>
      <c r="F562" s="20">
        <v>0.0</v>
      </c>
      <c r="G562" s="12" t="str">
        <f t="shared" si="3"/>
        <v>Withdrawal</v>
      </c>
      <c r="H562" s="12" t="str">
        <f>TEXT(Raw_Data!A568,"hh:mm:ss")
</f>
        <v>18:05:07</v>
      </c>
      <c r="I562" s="20">
        <f t="shared" si="4"/>
        <v>210</v>
      </c>
    </row>
    <row r="563">
      <c r="A563" s="12" t="str">
        <f>Raw_Data!A569</f>
        <v>16 Mar 2025 18:46:02</v>
      </c>
      <c r="B563" s="12" t="str">
        <f t="shared" si="1"/>
        <v>March</v>
      </c>
      <c r="C563" s="12">
        <f t="shared" si="2"/>
        <v>3</v>
      </c>
      <c r="D563" s="12" t="str">
        <f>IFERROR(__xludf.DUMMYFUNCTION("IFERROR(IF(REGEXMATCH(LOWER(Raw_Data!C569),""fixed deposit|owealth|savings|target""),""Fixed Deposit"",IF(REGEXMATCH(LOWER(Raw_Data!C569),""airtime""),""Airtime"",IF(REGEXMATCH(LOWER(Raw_Data!C569),""electronic money transfer levy""),""Electronic Money Tr"&amp;"ansfer Levy"",IF(REGEXMATCH(LOWER(Raw_Data!C569),""transfer|trf|send""),""Transfer"",""Other"")))),""Other"")"),"Transfer")</f>
        <v>Transfer</v>
      </c>
      <c r="E563" s="20">
        <v>600.0</v>
      </c>
      <c r="F563" s="20">
        <v>0.0</v>
      </c>
      <c r="G563" s="12" t="str">
        <f t="shared" si="3"/>
        <v>Withdrawal</v>
      </c>
      <c r="H563" s="12" t="str">
        <f>TEXT(Raw_Data!A569,"hh:mm:ss")
</f>
        <v>18:46:02</v>
      </c>
      <c r="I563" s="20">
        <f t="shared" si="4"/>
        <v>600</v>
      </c>
    </row>
    <row r="564">
      <c r="A564" s="12" t="str">
        <f>Raw_Data!A570</f>
        <v>16 Mar 2025 18:49:57</v>
      </c>
      <c r="B564" s="12" t="str">
        <f t="shared" si="1"/>
        <v>March</v>
      </c>
      <c r="C564" s="12">
        <f t="shared" si="2"/>
        <v>3</v>
      </c>
      <c r="D564" s="12" t="str">
        <f>IFERROR(__xludf.DUMMYFUNCTION("IFERROR(IF(REGEXMATCH(LOWER(Raw_Data!C570),""fixed deposit|owealth|savings|target""),""Fixed Deposit"",IF(REGEXMATCH(LOWER(Raw_Data!C570),""airtime""),""Airtime"",IF(REGEXMATCH(LOWER(Raw_Data!C570),""electronic money transfer levy""),""Electronic Money Tr"&amp;"ansfer Levy"",IF(REGEXMATCH(LOWER(Raw_Data!C570),""transfer|trf|send""),""Transfer"",""Other"")))),""Other"")"),"Transfer")</f>
        <v>Transfer</v>
      </c>
      <c r="E564" s="20">
        <v>260.0</v>
      </c>
      <c r="F564" s="20">
        <v>0.0</v>
      </c>
      <c r="G564" s="12" t="str">
        <f t="shared" si="3"/>
        <v>Withdrawal</v>
      </c>
      <c r="H564" s="12" t="str">
        <f>TEXT(Raw_Data!A570,"hh:mm:ss")
</f>
        <v>18:49:57</v>
      </c>
      <c r="I564" s="20">
        <f t="shared" si="4"/>
        <v>260</v>
      </c>
    </row>
    <row r="565">
      <c r="A565" s="12" t="str">
        <f>Raw_Data!A571</f>
        <v>16 Mar 2025 19:36:23</v>
      </c>
      <c r="B565" s="12" t="str">
        <f t="shared" si="1"/>
        <v>March</v>
      </c>
      <c r="C565" s="12">
        <f t="shared" si="2"/>
        <v>3</v>
      </c>
      <c r="D565" s="12" t="str">
        <f>IFERROR(__xludf.DUMMYFUNCTION("IFERROR(IF(REGEXMATCH(LOWER(Raw_Data!C571),""fixed deposit|owealth|savings|target""),""Fixed Deposit"",IF(REGEXMATCH(LOWER(Raw_Data!C571),""airtime""),""Airtime"",IF(REGEXMATCH(LOWER(Raw_Data!C571),""electronic money transfer levy""),""Electronic Money Tr"&amp;"ansfer Levy"",IF(REGEXMATCH(LOWER(Raw_Data!C571),""transfer|trf|send""),""Transfer"",""Other"")))),""Other"")"),"Airtime")</f>
        <v>Airtime</v>
      </c>
      <c r="E565" s="20">
        <v>500.0</v>
      </c>
      <c r="F565" s="20">
        <v>0.0</v>
      </c>
      <c r="G565" s="12" t="str">
        <f t="shared" si="3"/>
        <v>Withdrawal</v>
      </c>
      <c r="H565" s="12" t="str">
        <f>TEXT(Raw_Data!A571,"hh:mm:ss")
</f>
        <v>19:36:23</v>
      </c>
      <c r="I565" s="20">
        <f t="shared" si="4"/>
        <v>500</v>
      </c>
    </row>
    <row r="566">
      <c r="A566" s="12" t="str">
        <f>Raw_Data!A572</f>
        <v>17 Mar 2025 03:32:35</v>
      </c>
      <c r="B566" s="12" t="str">
        <f t="shared" si="1"/>
        <v>March</v>
      </c>
      <c r="C566" s="12">
        <f t="shared" si="2"/>
        <v>3</v>
      </c>
      <c r="D566" s="12" t="str">
        <f>IFERROR(__xludf.DUMMYFUNCTION("IFERROR(IF(REGEXMATCH(LOWER(Raw_Data!C572),""fixed deposit|owealth|savings|target""),""Fixed Deposit"",IF(REGEXMATCH(LOWER(Raw_Data!C572),""airtime""),""Airtime"",IF(REGEXMATCH(LOWER(Raw_Data!C572),""electronic money transfer levy""),""Electronic Money Tr"&amp;"ansfer Levy"",IF(REGEXMATCH(LOWER(Raw_Data!C572),""transfer|trf|send""),""Transfer"",""Other"")))),""Other"")"),"Transfer")</f>
        <v>Transfer</v>
      </c>
      <c r="E566" s="20">
        <v>900.0</v>
      </c>
      <c r="F566" s="20">
        <v>0.0</v>
      </c>
      <c r="G566" s="12" t="str">
        <f t="shared" si="3"/>
        <v>Withdrawal</v>
      </c>
      <c r="H566" s="12" t="str">
        <f>TEXT(Raw_Data!A572,"hh:mm:ss")
</f>
        <v>03:32:35</v>
      </c>
      <c r="I566" s="20">
        <f t="shared" si="4"/>
        <v>900</v>
      </c>
    </row>
    <row r="567">
      <c r="A567" s="12" t="str">
        <f>Raw_Data!A573</f>
        <v>17 Mar 2025 03:32:36</v>
      </c>
      <c r="B567" s="12" t="str">
        <f t="shared" si="1"/>
        <v>March</v>
      </c>
      <c r="C567" s="12">
        <f t="shared" si="2"/>
        <v>3</v>
      </c>
      <c r="D567" s="12" t="str">
        <f>IFERROR(__xludf.DUMMYFUNCTION("IFERROR(IF(REGEXMATCH(LOWER(Raw_Data!C573),""fixed deposit|owealth|savings|target""),""Fixed Deposit"",IF(REGEXMATCH(LOWER(Raw_Data!C573),""airtime""),""Airtime"",IF(REGEXMATCH(LOWER(Raw_Data!C573),""electronic money transfer levy""),""Electronic Money Tr"&amp;"ansfer Levy"",IF(REGEXMATCH(LOWER(Raw_Data!C573),""transfer|trf|send""),""Transfer"",""Other"")))),""Other"")"),"Transfer")</f>
        <v>Transfer</v>
      </c>
      <c r="E567" s="20">
        <v>0.0</v>
      </c>
      <c r="F567" s="20">
        <v>400.0</v>
      </c>
      <c r="G567" s="12" t="str">
        <f t="shared" si="3"/>
        <v>Deposit</v>
      </c>
      <c r="H567" s="12" t="str">
        <f>TEXT(Raw_Data!A573,"hh:mm:ss")
</f>
        <v>03:32:36</v>
      </c>
      <c r="I567" s="20">
        <f t="shared" si="4"/>
        <v>400</v>
      </c>
    </row>
    <row r="568">
      <c r="A568" s="12" t="str">
        <f>Raw_Data!A574</f>
        <v>17 Mar 2025 17:19:04</v>
      </c>
      <c r="B568" s="12" t="str">
        <f t="shared" si="1"/>
        <v>March</v>
      </c>
      <c r="C568" s="12">
        <f t="shared" si="2"/>
        <v>3</v>
      </c>
      <c r="D568" s="12" t="str">
        <f>IFERROR(__xludf.DUMMYFUNCTION("IFERROR(IF(REGEXMATCH(LOWER(Raw_Data!C574),""fixed deposit|owealth|savings|target""),""Fixed Deposit"",IF(REGEXMATCH(LOWER(Raw_Data!C574),""airtime""),""Airtime"",IF(REGEXMATCH(LOWER(Raw_Data!C574),""electronic money transfer levy""),""Electronic Money Tr"&amp;"ansfer Levy"",IF(REGEXMATCH(LOWER(Raw_Data!C574),""transfer|trf|send""),""Transfer"",""Other"")))),""Other"")"),"Transfer")</f>
        <v>Transfer</v>
      </c>
      <c r="E568" s="20">
        <v>1200.0</v>
      </c>
      <c r="F568" s="20">
        <v>0.0</v>
      </c>
      <c r="G568" s="12" t="str">
        <f t="shared" si="3"/>
        <v>Withdrawal</v>
      </c>
      <c r="H568" s="12" t="str">
        <f>TEXT(Raw_Data!A574,"hh:mm:ss")
</f>
        <v>17:19:04</v>
      </c>
      <c r="I568" s="20">
        <f t="shared" si="4"/>
        <v>1200</v>
      </c>
    </row>
    <row r="569">
      <c r="A569" s="12" t="str">
        <f>Raw_Data!A575</f>
        <v>17 Mar 2025 18:46:26</v>
      </c>
      <c r="B569" s="12" t="str">
        <f t="shared" si="1"/>
        <v>March</v>
      </c>
      <c r="C569" s="12">
        <f t="shared" si="2"/>
        <v>3</v>
      </c>
      <c r="D569" s="12" t="str">
        <f>IFERROR(__xludf.DUMMYFUNCTION("IFERROR(IF(REGEXMATCH(LOWER(Raw_Data!C575),""fixed deposit|owealth|savings|target""),""Fixed Deposit"",IF(REGEXMATCH(LOWER(Raw_Data!C575),""airtime""),""Airtime"",IF(REGEXMATCH(LOWER(Raw_Data!C575),""electronic money transfer levy""),""Electronic Money Tr"&amp;"ansfer Levy"",IF(REGEXMATCH(LOWER(Raw_Data!C575),""transfer|trf|send""),""Transfer"",""Other"")))),""Other"")"),"Transfer")</f>
        <v>Transfer</v>
      </c>
      <c r="E569" s="20">
        <v>550.0</v>
      </c>
      <c r="F569" s="20">
        <v>0.0</v>
      </c>
      <c r="G569" s="12" t="str">
        <f t="shared" si="3"/>
        <v>Withdrawal</v>
      </c>
      <c r="H569" s="12" t="str">
        <f>TEXT(Raw_Data!A575,"hh:mm:ss")
</f>
        <v>18:46:26</v>
      </c>
      <c r="I569" s="20">
        <f t="shared" si="4"/>
        <v>550</v>
      </c>
    </row>
    <row r="570">
      <c r="A570" s="12" t="str">
        <f>Raw_Data!A576</f>
        <v>17 Mar 2025 19:37:04</v>
      </c>
      <c r="B570" s="12" t="str">
        <f t="shared" si="1"/>
        <v>March</v>
      </c>
      <c r="C570" s="12">
        <f t="shared" si="2"/>
        <v>3</v>
      </c>
      <c r="D570" s="12" t="str">
        <f>IFERROR(__xludf.DUMMYFUNCTION("IFERROR(IF(REGEXMATCH(LOWER(Raw_Data!C576),""fixed deposit|owealth|savings|target""),""Fixed Deposit"",IF(REGEXMATCH(LOWER(Raw_Data!C576),""airtime""),""Airtime"",IF(REGEXMATCH(LOWER(Raw_Data!C576),""electronic money transfer levy""),""Electronic Money Tr"&amp;"ansfer Levy"",IF(REGEXMATCH(LOWER(Raw_Data!C576),""transfer|trf|send""),""Transfer"",""Other"")))),""Other"")"),"Transfer")</f>
        <v>Transfer</v>
      </c>
      <c r="E570" s="20">
        <v>0.0</v>
      </c>
      <c r="F570" s="20">
        <v>3000.0</v>
      </c>
      <c r="G570" s="12" t="str">
        <f t="shared" si="3"/>
        <v>Deposit</v>
      </c>
      <c r="H570" s="12" t="str">
        <f>TEXT(Raw_Data!A576,"hh:mm:ss")
</f>
        <v>19:37:04</v>
      </c>
      <c r="I570" s="20">
        <f t="shared" si="4"/>
        <v>3000</v>
      </c>
    </row>
    <row r="571">
      <c r="A571" s="12" t="str">
        <f>Raw_Data!A577</f>
        <v>18 Mar 2025 03:41:04</v>
      </c>
      <c r="B571" s="12" t="str">
        <f t="shared" si="1"/>
        <v>March</v>
      </c>
      <c r="C571" s="12">
        <f t="shared" si="2"/>
        <v>3</v>
      </c>
      <c r="D571" s="12" t="str">
        <f>IFERROR(__xludf.DUMMYFUNCTION("IFERROR(IF(REGEXMATCH(LOWER(Raw_Data!C577),""fixed deposit|owealth|savings|target""),""Fixed Deposit"",IF(REGEXMATCH(LOWER(Raw_Data!C577),""airtime""),""Airtime"",IF(REGEXMATCH(LOWER(Raw_Data!C577),""electronic money transfer levy""),""Electronic Money Tr"&amp;"ansfer Levy"",IF(REGEXMATCH(LOWER(Raw_Data!C577),""transfer|trf|send""),""Transfer"",""Other"")))),""Other"")"),"Transfer")</f>
        <v>Transfer</v>
      </c>
      <c r="E571" s="20">
        <v>300.0</v>
      </c>
      <c r="F571" s="20">
        <v>0.0</v>
      </c>
      <c r="G571" s="12" t="str">
        <f t="shared" si="3"/>
        <v>Withdrawal</v>
      </c>
      <c r="H571" s="12" t="str">
        <f>TEXT(Raw_Data!A577,"hh:mm:ss")
</f>
        <v>03:41:04</v>
      </c>
      <c r="I571" s="20">
        <f t="shared" si="4"/>
        <v>300</v>
      </c>
    </row>
    <row r="572">
      <c r="A572" s="12" t="str">
        <f>Raw_Data!A578</f>
        <v>18 Mar 2025 04:05:22</v>
      </c>
      <c r="B572" s="12" t="str">
        <f t="shared" si="1"/>
        <v>March</v>
      </c>
      <c r="C572" s="12">
        <f t="shared" si="2"/>
        <v>3</v>
      </c>
      <c r="D572" s="12" t="str">
        <f>IFERROR(__xludf.DUMMYFUNCTION("IFERROR(IF(REGEXMATCH(LOWER(Raw_Data!C578),""fixed deposit|owealth|savings|target""),""Fixed Deposit"",IF(REGEXMATCH(LOWER(Raw_Data!C578),""airtime""),""Airtime"",IF(REGEXMATCH(LOWER(Raw_Data!C578),""electronic money transfer levy""),""Electronic Money Tr"&amp;"ansfer Levy"",IF(REGEXMATCH(LOWER(Raw_Data!C578),""transfer|trf|send""),""Transfer"",""Other"")))),""Other"")"),"Transfer")</f>
        <v>Transfer</v>
      </c>
      <c r="E572" s="20">
        <v>400.0</v>
      </c>
      <c r="F572" s="20">
        <v>0.0</v>
      </c>
      <c r="G572" s="12" t="str">
        <f t="shared" si="3"/>
        <v>Withdrawal</v>
      </c>
      <c r="H572" s="12" t="str">
        <f>TEXT(Raw_Data!A578,"hh:mm:ss")
</f>
        <v>04:05:22</v>
      </c>
      <c r="I572" s="20">
        <f t="shared" si="4"/>
        <v>400</v>
      </c>
    </row>
    <row r="573">
      <c r="A573" s="12" t="str">
        <f>Raw_Data!A579</f>
        <v>18 Mar 2025 04:07:34</v>
      </c>
      <c r="B573" s="12" t="str">
        <f t="shared" si="1"/>
        <v>March</v>
      </c>
      <c r="C573" s="12">
        <f t="shared" si="2"/>
        <v>3</v>
      </c>
      <c r="D573" s="12" t="str">
        <f>IFERROR(__xludf.DUMMYFUNCTION("IFERROR(IF(REGEXMATCH(LOWER(Raw_Data!C579),""fixed deposit|owealth|savings|target""),""Fixed Deposit"",IF(REGEXMATCH(LOWER(Raw_Data!C579),""airtime""),""Airtime"",IF(REGEXMATCH(LOWER(Raw_Data!C579),""electronic money transfer levy""),""Electronic Money Tr"&amp;"ansfer Levy"",IF(REGEXMATCH(LOWER(Raw_Data!C579),""transfer|trf|send""),""Transfer"",""Other"")))),""Other"")"),"Transfer")</f>
        <v>Transfer</v>
      </c>
      <c r="E573" s="20">
        <v>0.0</v>
      </c>
      <c r="F573" s="20">
        <v>400.0</v>
      </c>
      <c r="G573" s="12" t="str">
        <f t="shared" si="3"/>
        <v>Deposit</v>
      </c>
      <c r="H573" s="12" t="str">
        <f>TEXT(Raw_Data!A579,"hh:mm:ss")
</f>
        <v>04:07:34</v>
      </c>
      <c r="I573" s="20">
        <f t="shared" si="4"/>
        <v>400</v>
      </c>
    </row>
    <row r="574">
      <c r="A574" s="12" t="str">
        <f>Raw_Data!A580</f>
        <v>18 Mar 2025 04:08:19</v>
      </c>
      <c r="B574" s="12" t="str">
        <f t="shared" si="1"/>
        <v>March</v>
      </c>
      <c r="C574" s="12">
        <f t="shared" si="2"/>
        <v>3</v>
      </c>
      <c r="D574" s="12" t="str">
        <f>IFERROR(__xludf.DUMMYFUNCTION("IFERROR(IF(REGEXMATCH(LOWER(Raw_Data!C580),""fixed deposit|owealth|savings|target""),""Fixed Deposit"",IF(REGEXMATCH(LOWER(Raw_Data!C580),""airtime""),""Airtime"",IF(REGEXMATCH(LOWER(Raw_Data!C580),""electronic money transfer levy""),""Electronic Money Tr"&amp;"ansfer Levy"",IF(REGEXMATCH(LOWER(Raw_Data!C580),""transfer|trf|send""),""Transfer"",""Other"")))),""Other"")"),"Transfer")</f>
        <v>Transfer</v>
      </c>
      <c r="E574" s="20">
        <v>400.0</v>
      </c>
      <c r="F574" s="20">
        <v>0.0</v>
      </c>
      <c r="G574" s="12" t="str">
        <f t="shared" si="3"/>
        <v>Withdrawal</v>
      </c>
      <c r="H574" s="12" t="str">
        <f>TEXT(Raw_Data!A580,"hh:mm:ss")
</f>
        <v>04:08:19</v>
      </c>
      <c r="I574" s="20">
        <f t="shared" si="4"/>
        <v>400</v>
      </c>
    </row>
    <row r="575">
      <c r="A575" s="12" t="str">
        <f>Raw_Data!A581</f>
        <v>18 Mar 2025 07:56:04</v>
      </c>
      <c r="B575" s="12" t="str">
        <f t="shared" si="1"/>
        <v>March</v>
      </c>
      <c r="C575" s="12">
        <f t="shared" si="2"/>
        <v>3</v>
      </c>
      <c r="D575" s="12" t="str">
        <f>IFERROR(__xludf.DUMMYFUNCTION("IFERROR(IF(REGEXMATCH(LOWER(Raw_Data!C581),""fixed deposit|owealth|savings|target""),""Fixed Deposit"",IF(REGEXMATCH(LOWER(Raw_Data!C581),""airtime""),""Airtime"",IF(REGEXMATCH(LOWER(Raw_Data!C581),""electronic money transfer levy""),""Electronic Money Tr"&amp;"ansfer Levy"",IF(REGEXMATCH(LOWER(Raw_Data!C581),""transfer|trf|send""),""Transfer"",""Other"")))),""Other"")"),"Transfer")</f>
        <v>Transfer</v>
      </c>
      <c r="E575" s="20">
        <v>210.0</v>
      </c>
      <c r="F575" s="20">
        <v>0.0</v>
      </c>
      <c r="G575" s="12" t="str">
        <f t="shared" si="3"/>
        <v>Withdrawal</v>
      </c>
      <c r="H575" s="12" t="str">
        <f>TEXT(Raw_Data!A581,"hh:mm:ss")
</f>
        <v>07:56:04</v>
      </c>
      <c r="I575" s="20">
        <f t="shared" si="4"/>
        <v>210</v>
      </c>
    </row>
    <row r="576">
      <c r="A576" s="12" t="str">
        <f>Raw_Data!A582</f>
        <v>18 Mar 2025 09:43:01</v>
      </c>
      <c r="B576" s="12" t="str">
        <f t="shared" si="1"/>
        <v>March</v>
      </c>
      <c r="C576" s="12">
        <f t="shared" si="2"/>
        <v>3</v>
      </c>
      <c r="D576" s="12" t="str">
        <f>IFERROR(__xludf.DUMMYFUNCTION("IFERROR(IF(REGEXMATCH(LOWER(Raw_Data!C582),""fixed deposit|owealth|savings|target""),""Fixed Deposit"",IF(REGEXMATCH(LOWER(Raw_Data!C582),""airtime""),""Airtime"",IF(REGEXMATCH(LOWER(Raw_Data!C582),""electronic money transfer levy""),""Electronic Money Tr"&amp;"ansfer Levy"",IF(REGEXMATCH(LOWER(Raw_Data!C582),""transfer|trf|send""),""Transfer"",""Other"")))),""Other"")"),"Transfer")</f>
        <v>Transfer</v>
      </c>
      <c r="E576" s="20">
        <v>260.0</v>
      </c>
      <c r="F576" s="20">
        <v>0.0</v>
      </c>
      <c r="G576" s="12" t="str">
        <f t="shared" si="3"/>
        <v>Withdrawal</v>
      </c>
      <c r="H576" s="12" t="str">
        <f>TEXT(Raw_Data!A582,"hh:mm:ss")
</f>
        <v>09:43:01</v>
      </c>
      <c r="I576" s="20">
        <f t="shared" si="4"/>
        <v>260</v>
      </c>
    </row>
    <row r="577">
      <c r="A577" s="12" t="str">
        <f>Raw_Data!A583</f>
        <v>18 Mar 2025 16:47:28</v>
      </c>
      <c r="B577" s="12" t="str">
        <f t="shared" si="1"/>
        <v>March</v>
      </c>
      <c r="C577" s="12">
        <f t="shared" si="2"/>
        <v>3</v>
      </c>
      <c r="D577" s="12" t="str">
        <f>IFERROR(__xludf.DUMMYFUNCTION("IFERROR(IF(REGEXMATCH(LOWER(Raw_Data!C583),""fixed deposit|owealth|savings|target""),""Fixed Deposit"",IF(REGEXMATCH(LOWER(Raw_Data!C583),""airtime""),""Airtime"",IF(REGEXMATCH(LOWER(Raw_Data!C583),""electronic money transfer levy""),""Electronic Money Tr"&amp;"ansfer Levy"",IF(REGEXMATCH(LOWER(Raw_Data!C583),""transfer|trf|send""),""Transfer"",""Other"")))),""Other"")"),"Transfer")</f>
        <v>Transfer</v>
      </c>
      <c r="E577" s="20">
        <v>700.0</v>
      </c>
      <c r="F577" s="20">
        <v>0.0</v>
      </c>
      <c r="G577" s="12" t="str">
        <f t="shared" si="3"/>
        <v>Withdrawal</v>
      </c>
      <c r="H577" s="12" t="str">
        <f>TEXT(Raw_Data!A583,"hh:mm:ss")
</f>
        <v>16:47:28</v>
      </c>
      <c r="I577" s="20">
        <f t="shared" si="4"/>
        <v>700</v>
      </c>
    </row>
    <row r="578">
      <c r="A578" s="12" t="str">
        <f>Raw_Data!A584</f>
        <v>18 Mar 2025 17:05:30</v>
      </c>
      <c r="B578" s="12" t="str">
        <f t="shared" si="1"/>
        <v>March</v>
      </c>
      <c r="C578" s="12">
        <f t="shared" si="2"/>
        <v>3</v>
      </c>
      <c r="D578" s="12" t="str">
        <f>IFERROR(__xludf.DUMMYFUNCTION("IFERROR(IF(REGEXMATCH(LOWER(Raw_Data!C584),""fixed deposit|owealth|savings|target""),""Fixed Deposit"",IF(REGEXMATCH(LOWER(Raw_Data!C584),""airtime""),""Airtime"",IF(REGEXMATCH(LOWER(Raw_Data!C584),""electronic money transfer levy""),""Electronic Money Tr"&amp;"ansfer Levy"",IF(REGEXMATCH(LOWER(Raw_Data!C584),""transfer|trf|send""),""Transfer"",""Other"")))),""Other"")"),"Transfer")</f>
        <v>Transfer</v>
      </c>
      <c r="E578" s="20">
        <v>0.0</v>
      </c>
      <c r="F578" s="20">
        <v>440.0</v>
      </c>
      <c r="G578" s="12" t="str">
        <f t="shared" si="3"/>
        <v>Deposit</v>
      </c>
      <c r="H578" s="12" t="str">
        <f>TEXT(Raw_Data!A584,"hh:mm:ss")
</f>
        <v>17:05:30</v>
      </c>
      <c r="I578" s="20">
        <f t="shared" si="4"/>
        <v>440</v>
      </c>
    </row>
    <row r="579">
      <c r="A579" s="12" t="str">
        <f>Raw_Data!A585</f>
        <v>18 Mar 2025 17:06:21</v>
      </c>
      <c r="B579" s="12" t="str">
        <f t="shared" si="1"/>
        <v>March</v>
      </c>
      <c r="C579" s="12">
        <f t="shared" si="2"/>
        <v>3</v>
      </c>
      <c r="D579" s="12" t="str">
        <f>IFERROR(__xludf.DUMMYFUNCTION("IFERROR(IF(REGEXMATCH(LOWER(Raw_Data!C585),""fixed deposit|owealth|savings|target""),""Fixed Deposit"",IF(REGEXMATCH(LOWER(Raw_Data!C585),""airtime""),""Airtime"",IF(REGEXMATCH(LOWER(Raw_Data!C585),""electronic money transfer levy""),""Electronic Money Tr"&amp;"ansfer Levy"",IF(REGEXMATCH(LOWER(Raw_Data!C585),""transfer|trf|send""),""Transfer"",""Other"")))),""Other"")"),"Transfer")</f>
        <v>Transfer</v>
      </c>
      <c r="E579" s="20">
        <v>670.0</v>
      </c>
      <c r="F579" s="20">
        <v>0.0</v>
      </c>
      <c r="G579" s="12" t="str">
        <f t="shared" si="3"/>
        <v>Withdrawal</v>
      </c>
      <c r="H579" s="12" t="str">
        <f>TEXT(Raw_Data!A585,"hh:mm:ss")
</f>
        <v>17:06:21</v>
      </c>
      <c r="I579" s="20">
        <f t="shared" si="4"/>
        <v>670</v>
      </c>
    </row>
    <row r="580">
      <c r="A580" s="12" t="str">
        <f>Raw_Data!A586</f>
        <v>18 Mar 2025 17:27:08</v>
      </c>
      <c r="B580" s="12" t="str">
        <f t="shared" si="1"/>
        <v>March</v>
      </c>
      <c r="C580" s="12">
        <f t="shared" si="2"/>
        <v>3</v>
      </c>
      <c r="D580" s="12" t="str">
        <f>IFERROR(__xludf.DUMMYFUNCTION("IFERROR(IF(REGEXMATCH(LOWER(Raw_Data!C586),""fixed deposit|owealth|savings|target""),""Fixed Deposit"",IF(REGEXMATCH(LOWER(Raw_Data!C586),""airtime""),""Airtime"",IF(REGEXMATCH(LOWER(Raw_Data!C586),""electronic money transfer levy""),""Electronic Money Tr"&amp;"ansfer Levy"",IF(REGEXMATCH(LOWER(Raw_Data!C586),""transfer|trf|send""),""Transfer"",""Other"")))),""Other"")"),"Transfer")</f>
        <v>Transfer</v>
      </c>
      <c r="E580" s="20">
        <v>500.0</v>
      </c>
      <c r="F580" s="20">
        <v>0.0</v>
      </c>
      <c r="G580" s="12" t="str">
        <f t="shared" si="3"/>
        <v>Withdrawal</v>
      </c>
      <c r="H580" s="12" t="str">
        <f>TEXT(Raw_Data!A586,"hh:mm:ss")
</f>
        <v>17:27:08</v>
      </c>
      <c r="I580" s="20">
        <f t="shared" si="4"/>
        <v>500</v>
      </c>
    </row>
    <row r="581">
      <c r="A581" s="12" t="str">
        <f>Raw_Data!A587</f>
        <v>18 Mar 2025 18:30:30</v>
      </c>
      <c r="B581" s="12" t="str">
        <f t="shared" si="1"/>
        <v>March</v>
      </c>
      <c r="C581" s="12">
        <f t="shared" si="2"/>
        <v>3</v>
      </c>
      <c r="D581" s="12" t="str">
        <f>IFERROR(__xludf.DUMMYFUNCTION("IFERROR(IF(REGEXMATCH(LOWER(Raw_Data!C587),""fixed deposit|owealth|savings|target""),""Fixed Deposit"",IF(REGEXMATCH(LOWER(Raw_Data!C587),""airtime""),""Airtime"",IF(REGEXMATCH(LOWER(Raw_Data!C587),""electronic money transfer levy""),""Electronic Money Tr"&amp;"ansfer Levy"",IF(REGEXMATCH(LOWER(Raw_Data!C587),""transfer|trf|send""),""Transfer"",""Other"")))),""Other"")"),"Transfer")</f>
        <v>Transfer</v>
      </c>
      <c r="E581" s="20">
        <v>210.0</v>
      </c>
      <c r="F581" s="20">
        <v>0.0</v>
      </c>
      <c r="G581" s="12" t="str">
        <f t="shared" si="3"/>
        <v>Withdrawal</v>
      </c>
      <c r="H581" s="12" t="str">
        <f>TEXT(Raw_Data!A587,"hh:mm:ss")
</f>
        <v>18:30:30</v>
      </c>
      <c r="I581" s="20">
        <f t="shared" si="4"/>
        <v>210</v>
      </c>
    </row>
    <row r="582">
      <c r="A582" s="12" t="str">
        <f>Raw_Data!A588</f>
        <v>19 Mar 2025 09:01:59</v>
      </c>
      <c r="B582" s="12" t="str">
        <f t="shared" si="1"/>
        <v>March</v>
      </c>
      <c r="C582" s="12">
        <f t="shared" si="2"/>
        <v>3</v>
      </c>
      <c r="D582" s="12" t="str">
        <f>IFERROR(__xludf.DUMMYFUNCTION("IFERROR(IF(REGEXMATCH(LOWER(Raw_Data!C588),""fixed deposit|owealth|savings|target""),""Fixed Deposit"",IF(REGEXMATCH(LOWER(Raw_Data!C588),""airtime""),""Airtime"",IF(REGEXMATCH(LOWER(Raw_Data!C588),""electronic money transfer levy""),""Electronic Money Tr"&amp;"ansfer Levy"",IF(REGEXMATCH(LOWER(Raw_Data!C588),""transfer|trf|send""),""Transfer"",""Other"")))),""Other"")"),"Transfer")</f>
        <v>Transfer</v>
      </c>
      <c r="E582" s="20">
        <v>0.0</v>
      </c>
      <c r="F582" s="20">
        <v>400.0</v>
      </c>
      <c r="G582" s="12" t="str">
        <f t="shared" si="3"/>
        <v>Deposit</v>
      </c>
      <c r="H582" s="12" t="str">
        <f>TEXT(Raw_Data!A588,"hh:mm:ss")
</f>
        <v>09:01:59</v>
      </c>
      <c r="I582" s="20">
        <f t="shared" si="4"/>
        <v>400</v>
      </c>
    </row>
    <row r="583">
      <c r="A583" s="12" t="str">
        <f>Raw_Data!A589</f>
        <v>19 Mar 2025 09:02:33</v>
      </c>
      <c r="B583" s="12" t="str">
        <f t="shared" si="1"/>
        <v>March</v>
      </c>
      <c r="C583" s="12">
        <f t="shared" si="2"/>
        <v>3</v>
      </c>
      <c r="D583" s="12" t="str">
        <f>IFERROR(__xludf.DUMMYFUNCTION("IFERROR(IF(REGEXMATCH(LOWER(Raw_Data!C589),""fixed deposit|owealth|savings|target""),""Fixed Deposit"",IF(REGEXMATCH(LOWER(Raw_Data!C589),""airtime""),""Airtime"",IF(REGEXMATCH(LOWER(Raw_Data!C589),""electronic money transfer levy""),""Electronic Money Tr"&amp;"ansfer Levy"",IF(REGEXMATCH(LOWER(Raw_Data!C589),""transfer|trf|send""),""Transfer"",""Other"")))),""Other"")"),"Transfer")</f>
        <v>Transfer</v>
      </c>
      <c r="E583" s="20">
        <v>400.0</v>
      </c>
      <c r="F583" s="20">
        <v>0.0</v>
      </c>
      <c r="G583" s="12" t="str">
        <f t="shared" si="3"/>
        <v>Withdrawal</v>
      </c>
      <c r="H583" s="12" t="str">
        <f>TEXT(Raw_Data!A589,"hh:mm:ss")
</f>
        <v>09:02:33</v>
      </c>
      <c r="I583" s="20">
        <f t="shared" si="4"/>
        <v>400</v>
      </c>
    </row>
    <row r="584">
      <c r="A584" s="12" t="str">
        <f>Raw_Data!A590</f>
        <v>19 Mar 2025 16:41:31</v>
      </c>
      <c r="B584" s="12" t="str">
        <f t="shared" si="1"/>
        <v>March</v>
      </c>
      <c r="C584" s="12">
        <f t="shared" si="2"/>
        <v>3</v>
      </c>
      <c r="D584" s="12" t="str">
        <f>IFERROR(__xludf.DUMMYFUNCTION("IFERROR(IF(REGEXMATCH(LOWER(Raw_Data!C590),""fixed deposit|owealth|savings|target""),""Fixed Deposit"",IF(REGEXMATCH(LOWER(Raw_Data!C590),""airtime""),""Airtime"",IF(REGEXMATCH(LOWER(Raw_Data!C590),""electronic money transfer levy""),""Electronic Money Tr"&amp;"ansfer Levy"",IF(REGEXMATCH(LOWER(Raw_Data!C590),""transfer|trf|send""),""Transfer"",""Other"")))),""Other"")"),"Transfer")</f>
        <v>Transfer</v>
      </c>
      <c r="E584" s="20">
        <v>0.0</v>
      </c>
      <c r="F584" s="20">
        <v>5000.0</v>
      </c>
      <c r="G584" s="12" t="str">
        <f t="shared" si="3"/>
        <v>Deposit</v>
      </c>
      <c r="H584" s="12" t="str">
        <f>TEXT(Raw_Data!A590,"hh:mm:ss")
</f>
        <v>16:41:31</v>
      </c>
      <c r="I584" s="20">
        <f t="shared" si="4"/>
        <v>5000</v>
      </c>
    </row>
    <row r="585">
      <c r="A585" s="12" t="str">
        <f>Raw_Data!A591</f>
        <v>19 Mar 2025 16:58:45</v>
      </c>
      <c r="B585" s="12" t="str">
        <f t="shared" si="1"/>
        <v>March</v>
      </c>
      <c r="C585" s="12">
        <f t="shared" si="2"/>
        <v>3</v>
      </c>
      <c r="D585" s="12" t="str">
        <f>IFERROR(__xludf.DUMMYFUNCTION("IFERROR(IF(REGEXMATCH(LOWER(Raw_Data!C591),""fixed deposit|owealth|savings|target""),""Fixed Deposit"",IF(REGEXMATCH(LOWER(Raw_Data!C591),""airtime""),""Airtime"",IF(REGEXMATCH(LOWER(Raw_Data!C591),""electronic money transfer levy""),""Electronic Money Tr"&amp;"ansfer Levy"",IF(REGEXMATCH(LOWER(Raw_Data!C591),""transfer|trf|send""),""Transfer"",""Other"")))),""Other"")"),"Transfer")</f>
        <v>Transfer</v>
      </c>
      <c r="E585" s="20">
        <v>700.0</v>
      </c>
      <c r="F585" s="20">
        <v>0.0</v>
      </c>
      <c r="G585" s="12" t="str">
        <f t="shared" si="3"/>
        <v>Withdrawal</v>
      </c>
      <c r="H585" s="12" t="str">
        <f>TEXT(Raw_Data!A591,"hh:mm:ss")
</f>
        <v>16:58:45</v>
      </c>
      <c r="I585" s="20">
        <f t="shared" si="4"/>
        <v>700</v>
      </c>
    </row>
    <row r="586">
      <c r="A586" s="12" t="str">
        <f>Raw_Data!A592</f>
        <v>19 Mar 2025 17:01:56</v>
      </c>
      <c r="B586" s="12" t="str">
        <f t="shared" si="1"/>
        <v>March</v>
      </c>
      <c r="C586" s="12">
        <f t="shared" si="2"/>
        <v>3</v>
      </c>
      <c r="D586" s="12" t="str">
        <f>IFERROR(__xludf.DUMMYFUNCTION("IFERROR(IF(REGEXMATCH(LOWER(Raw_Data!C592),""fixed deposit|owealth|savings|target""),""Fixed Deposit"",IF(REGEXMATCH(LOWER(Raw_Data!C592),""airtime""),""Airtime"",IF(REGEXMATCH(LOWER(Raw_Data!C592),""electronic money transfer levy""),""Electronic Money Tr"&amp;"ansfer Levy"",IF(REGEXMATCH(LOWER(Raw_Data!C592),""transfer|trf|send""),""Transfer"",""Other"")))),""Other"")"),"Transfer")</f>
        <v>Transfer</v>
      </c>
      <c r="E586" s="20">
        <v>0.0</v>
      </c>
      <c r="F586" s="20">
        <v>700.0</v>
      </c>
      <c r="G586" s="12" t="str">
        <f t="shared" si="3"/>
        <v>Deposit</v>
      </c>
      <c r="H586" s="12" t="str">
        <f>TEXT(Raw_Data!A592,"hh:mm:ss")
</f>
        <v>17:01:56</v>
      </c>
      <c r="I586" s="20">
        <f t="shared" si="4"/>
        <v>700</v>
      </c>
    </row>
    <row r="587">
      <c r="A587" s="12" t="str">
        <f>Raw_Data!A593</f>
        <v>19 Mar 2025 17:28:10</v>
      </c>
      <c r="B587" s="12" t="str">
        <f t="shared" si="1"/>
        <v>March</v>
      </c>
      <c r="C587" s="12">
        <f t="shared" si="2"/>
        <v>3</v>
      </c>
      <c r="D587" s="12" t="str">
        <f>IFERROR(__xludf.DUMMYFUNCTION("IFERROR(IF(REGEXMATCH(LOWER(Raw_Data!C593),""fixed deposit|owealth|savings|target""),""Fixed Deposit"",IF(REGEXMATCH(LOWER(Raw_Data!C593),""airtime""),""Airtime"",IF(REGEXMATCH(LOWER(Raw_Data!C593),""electronic money transfer levy""),""Electronic Money Tr"&amp;"ansfer Levy"",IF(REGEXMATCH(LOWER(Raw_Data!C593),""transfer|trf|send""),""Transfer"",""Other"")))),""Other"")"),"Transfer")</f>
        <v>Transfer</v>
      </c>
      <c r="E587" s="20">
        <v>1500.0</v>
      </c>
      <c r="F587" s="20">
        <v>0.0</v>
      </c>
      <c r="G587" s="12" t="str">
        <f t="shared" si="3"/>
        <v>Withdrawal</v>
      </c>
      <c r="H587" s="12" t="str">
        <f>TEXT(Raw_Data!A593,"hh:mm:ss")
</f>
        <v>17:28:10</v>
      </c>
      <c r="I587" s="20">
        <f t="shared" si="4"/>
        <v>1500</v>
      </c>
    </row>
    <row r="588">
      <c r="A588" s="12" t="str">
        <f>Raw_Data!A594</f>
        <v>19 Mar 2025 17:46:44</v>
      </c>
      <c r="B588" s="12" t="str">
        <f t="shared" si="1"/>
        <v>March</v>
      </c>
      <c r="C588" s="12">
        <f t="shared" si="2"/>
        <v>3</v>
      </c>
      <c r="D588" s="12" t="str">
        <f>IFERROR(__xludf.DUMMYFUNCTION("IFERROR(IF(REGEXMATCH(LOWER(Raw_Data!C594),""fixed deposit|owealth|savings|target""),""Fixed Deposit"",IF(REGEXMATCH(LOWER(Raw_Data!C594),""airtime""),""Airtime"",IF(REGEXMATCH(LOWER(Raw_Data!C594),""electronic money transfer levy""),""Electronic Money Tr"&amp;"ansfer Levy"",IF(REGEXMATCH(LOWER(Raw_Data!C594),""transfer|trf|send""),""Transfer"",""Other"")))),""Other"")"),"Transfer")</f>
        <v>Transfer</v>
      </c>
      <c r="E588" s="20">
        <v>900.0</v>
      </c>
      <c r="F588" s="20">
        <v>0.0</v>
      </c>
      <c r="G588" s="12" t="str">
        <f t="shared" si="3"/>
        <v>Withdrawal</v>
      </c>
      <c r="H588" s="12" t="str">
        <f>TEXT(Raw_Data!A594,"hh:mm:ss")
</f>
        <v>17:46:44</v>
      </c>
      <c r="I588" s="20">
        <f t="shared" si="4"/>
        <v>900</v>
      </c>
    </row>
    <row r="589">
      <c r="A589" s="12" t="str">
        <f>Raw_Data!A595</f>
        <v>20 Mar 2025 10:00:04</v>
      </c>
      <c r="B589" s="12" t="str">
        <f t="shared" si="1"/>
        <v>March</v>
      </c>
      <c r="C589" s="12">
        <f t="shared" si="2"/>
        <v>3</v>
      </c>
      <c r="D589" s="12" t="str">
        <f>IFERROR(__xludf.DUMMYFUNCTION("IFERROR(IF(REGEXMATCH(LOWER(Raw_Data!C595),""fixed deposit|owealth|savings|target""),""Fixed Deposit"",IF(REGEXMATCH(LOWER(Raw_Data!C595),""airtime""),""Airtime"",IF(REGEXMATCH(LOWER(Raw_Data!C595),""electronic money transfer levy""),""Electronic Money Tr"&amp;"ansfer Levy"",IF(REGEXMATCH(LOWER(Raw_Data!C595),""transfer|trf|send""),""Transfer"",""Other"")))),""Other"")"),"Transfer")</f>
        <v>Transfer</v>
      </c>
      <c r="E589" s="20">
        <v>0.0</v>
      </c>
      <c r="F589" s="20">
        <v>5000.0</v>
      </c>
      <c r="G589" s="12" t="str">
        <f t="shared" si="3"/>
        <v>Deposit</v>
      </c>
      <c r="H589" s="12" t="str">
        <f>TEXT(Raw_Data!A595,"hh:mm:ss")
</f>
        <v>10:00:04</v>
      </c>
      <c r="I589" s="20">
        <f t="shared" si="4"/>
        <v>5000</v>
      </c>
    </row>
    <row r="590">
      <c r="A590" s="12" t="str">
        <f>Raw_Data!A596</f>
        <v>20 Mar 2025 10:36:53</v>
      </c>
      <c r="B590" s="12" t="str">
        <f t="shared" si="1"/>
        <v>March</v>
      </c>
      <c r="C590" s="12">
        <f t="shared" si="2"/>
        <v>3</v>
      </c>
      <c r="D590" s="12" t="str">
        <f>IFERROR(__xludf.DUMMYFUNCTION("IFERROR(IF(REGEXMATCH(LOWER(Raw_Data!C596),""fixed deposit|owealth|savings|target""),""Fixed Deposit"",IF(REGEXMATCH(LOWER(Raw_Data!C596),""airtime""),""Airtime"",IF(REGEXMATCH(LOWER(Raw_Data!C596),""electronic money transfer levy""),""Electronic Money Tr"&amp;"ansfer Levy"",IF(REGEXMATCH(LOWER(Raw_Data!C596),""transfer|trf|send""),""Transfer"",""Other"")))),""Other"")"),"Transfer")</f>
        <v>Transfer</v>
      </c>
      <c r="E590" s="20">
        <v>1500.0</v>
      </c>
      <c r="F590" s="20">
        <v>0.0</v>
      </c>
      <c r="G590" s="12" t="str">
        <f t="shared" si="3"/>
        <v>Withdrawal</v>
      </c>
      <c r="H590" s="12" t="str">
        <f>TEXT(Raw_Data!A596,"hh:mm:ss")
</f>
        <v>10:36:53</v>
      </c>
      <c r="I590" s="20">
        <f t="shared" si="4"/>
        <v>1500</v>
      </c>
    </row>
    <row r="591">
      <c r="A591" s="12" t="str">
        <f>Raw_Data!A597</f>
        <v>20 Mar 2025 16:07:30</v>
      </c>
      <c r="B591" s="12" t="str">
        <f t="shared" si="1"/>
        <v>March</v>
      </c>
      <c r="C591" s="12">
        <f t="shared" si="2"/>
        <v>3</v>
      </c>
      <c r="D591" s="12" t="str">
        <f>IFERROR(__xludf.DUMMYFUNCTION("IFERROR(IF(REGEXMATCH(LOWER(Raw_Data!C597),""fixed deposit|owealth|savings|target""),""Fixed Deposit"",IF(REGEXMATCH(LOWER(Raw_Data!C597),""airtime""),""Airtime"",IF(REGEXMATCH(LOWER(Raw_Data!C597),""electronic money transfer levy""),""Electronic Money Tr"&amp;"ansfer Levy"",IF(REGEXMATCH(LOWER(Raw_Data!C597),""transfer|trf|send""),""Transfer"",""Other"")))),""Other"")"),"Transfer")</f>
        <v>Transfer</v>
      </c>
      <c r="E591" s="20">
        <v>500.0</v>
      </c>
      <c r="F591" s="20">
        <v>0.0</v>
      </c>
      <c r="G591" s="12" t="str">
        <f t="shared" si="3"/>
        <v>Withdrawal</v>
      </c>
      <c r="H591" s="12" t="str">
        <f>TEXT(Raw_Data!A597,"hh:mm:ss")
</f>
        <v>16:07:30</v>
      </c>
      <c r="I591" s="20">
        <f t="shared" si="4"/>
        <v>500</v>
      </c>
    </row>
    <row r="592">
      <c r="A592" s="12" t="str">
        <f>Raw_Data!A598</f>
        <v>20 Mar 2025 18:16:20</v>
      </c>
      <c r="B592" s="12" t="str">
        <f t="shared" si="1"/>
        <v>March</v>
      </c>
      <c r="C592" s="12">
        <f t="shared" si="2"/>
        <v>3</v>
      </c>
      <c r="D592" s="12" t="str">
        <f>IFERROR(__xludf.DUMMYFUNCTION("IFERROR(IF(REGEXMATCH(LOWER(Raw_Data!C598),""fixed deposit|owealth|savings|target""),""Fixed Deposit"",IF(REGEXMATCH(LOWER(Raw_Data!C598),""airtime""),""Airtime"",IF(REGEXMATCH(LOWER(Raw_Data!C598),""electronic money transfer levy""),""Electronic Money Tr"&amp;"ansfer Levy"",IF(REGEXMATCH(LOWER(Raw_Data!C598),""transfer|trf|send""),""Transfer"",""Other"")))),""Other"")"),"Transfer")</f>
        <v>Transfer</v>
      </c>
      <c r="E592" s="20">
        <v>5000.0</v>
      </c>
      <c r="F592" s="20">
        <v>0.0</v>
      </c>
      <c r="G592" s="12" t="str">
        <f t="shared" si="3"/>
        <v>Withdrawal</v>
      </c>
      <c r="H592" s="12" t="str">
        <f>TEXT(Raw_Data!A598,"hh:mm:ss")
</f>
        <v>18:16:20</v>
      </c>
      <c r="I592" s="20">
        <f t="shared" si="4"/>
        <v>5000</v>
      </c>
    </row>
    <row r="593">
      <c r="A593" s="12" t="str">
        <f>Raw_Data!A599</f>
        <v>21 Mar 2025 11:11:50</v>
      </c>
      <c r="B593" s="12" t="str">
        <f t="shared" si="1"/>
        <v>March</v>
      </c>
      <c r="C593" s="12">
        <f t="shared" si="2"/>
        <v>3</v>
      </c>
      <c r="D593" s="12" t="str">
        <f>IFERROR(__xludf.DUMMYFUNCTION("IFERROR(IF(REGEXMATCH(LOWER(Raw_Data!C599),""fixed deposit|owealth|savings|target""),""Fixed Deposit"",IF(REGEXMATCH(LOWER(Raw_Data!C599),""airtime""),""Airtime"",IF(REGEXMATCH(LOWER(Raw_Data!C599),""electronic money transfer levy""),""Electronic Money Tr"&amp;"ansfer Levy"",IF(REGEXMATCH(LOWER(Raw_Data!C599),""transfer|trf|send""),""Transfer"",""Other"")))),""Other"")"),"Transfer")</f>
        <v>Transfer</v>
      </c>
      <c r="E593" s="20">
        <v>0.0</v>
      </c>
      <c r="F593" s="20">
        <v>161343.0</v>
      </c>
      <c r="G593" s="12" t="str">
        <f t="shared" si="3"/>
        <v>Deposit</v>
      </c>
      <c r="H593" s="12" t="str">
        <f>TEXT(Raw_Data!A599,"hh:mm:ss")
</f>
        <v>11:11:50</v>
      </c>
      <c r="I593" s="20">
        <f t="shared" si="4"/>
        <v>161343</v>
      </c>
    </row>
    <row r="594">
      <c r="A594" s="12" t="str">
        <f>Raw_Data!A600</f>
        <v>21 Mar 2025 11:11:56</v>
      </c>
      <c r="B594" s="12" t="str">
        <f t="shared" si="1"/>
        <v>March</v>
      </c>
      <c r="C594" s="12">
        <f t="shared" si="2"/>
        <v>3</v>
      </c>
      <c r="D594" s="12" t="str">
        <f>IFERROR(__xludf.DUMMYFUNCTION("IFERROR(IF(REGEXMATCH(LOWER(Raw_Data!C600),""fixed deposit|owealth|savings|target""),""Fixed Deposit"",IF(REGEXMATCH(LOWER(Raw_Data!C600),""airtime""),""Airtime"",IF(REGEXMATCH(LOWER(Raw_Data!C600),""electronic money transfer levy""),""Electronic Money Tr"&amp;"ansfer Levy"",IF(REGEXMATCH(LOWER(Raw_Data!C600),""transfer|trf|send""),""Transfer"",""Other"")))),""Other"")"),"Electronic Money Transfer Levy")</f>
        <v>Electronic Money Transfer Levy</v>
      </c>
      <c r="E594" s="20">
        <v>50.0</v>
      </c>
      <c r="F594" s="20">
        <v>0.0</v>
      </c>
      <c r="G594" s="12" t="str">
        <f t="shared" si="3"/>
        <v>Withdrawal</v>
      </c>
      <c r="H594" s="12" t="str">
        <f>TEXT(Raw_Data!A600,"hh:mm:ss")
</f>
        <v>11:11:56</v>
      </c>
      <c r="I594" s="20">
        <f t="shared" si="4"/>
        <v>50</v>
      </c>
    </row>
    <row r="595">
      <c r="A595" s="12" t="str">
        <f>Raw_Data!A601</f>
        <v>21 Mar 2025 11:13:46</v>
      </c>
      <c r="B595" s="12" t="str">
        <f t="shared" si="1"/>
        <v>March</v>
      </c>
      <c r="C595" s="12">
        <f t="shared" si="2"/>
        <v>3</v>
      </c>
      <c r="D595" s="12" t="str">
        <f>IFERROR(__xludf.DUMMYFUNCTION("IFERROR(IF(REGEXMATCH(LOWER(Raw_Data!C601),""fixed deposit|owealth|savings|target""),""Fixed Deposit"",IF(REGEXMATCH(LOWER(Raw_Data!C601),""airtime""),""Airtime"",IF(REGEXMATCH(LOWER(Raw_Data!C601),""electronic money transfer levy""),""Electronic Money Tr"&amp;"ansfer Levy"",IF(REGEXMATCH(LOWER(Raw_Data!C601),""transfer|trf|send""),""Transfer"",""Other"")))),""Other"")"),"Transfer")</f>
        <v>Transfer</v>
      </c>
      <c r="E595" s="20">
        <v>129800.0</v>
      </c>
      <c r="F595" s="20">
        <v>0.0</v>
      </c>
      <c r="G595" s="12" t="str">
        <f t="shared" si="3"/>
        <v>Withdrawal</v>
      </c>
      <c r="H595" s="12" t="str">
        <f>TEXT(Raw_Data!A601,"hh:mm:ss")
</f>
        <v>11:13:46</v>
      </c>
      <c r="I595" s="20">
        <f t="shared" si="4"/>
        <v>129800</v>
      </c>
    </row>
    <row r="596">
      <c r="A596" s="12" t="str">
        <f>Raw_Data!A602</f>
        <v>21 Mar 2025 11:14:15</v>
      </c>
      <c r="B596" s="12" t="str">
        <f t="shared" si="1"/>
        <v>March</v>
      </c>
      <c r="C596" s="12">
        <f t="shared" si="2"/>
        <v>3</v>
      </c>
      <c r="D596" s="12" t="str">
        <f>IFERROR(__xludf.DUMMYFUNCTION("IFERROR(IF(REGEXMATCH(LOWER(Raw_Data!C602),""fixed deposit|owealth|savings|target""),""Fixed Deposit"",IF(REGEXMATCH(LOWER(Raw_Data!C602),""airtime""),""Airtime"",IF(REGEXMATCH(LOWER(Raw_Data!C602),""electronic money transfer levy""),""Electronic Money Tr"&amp;"ansfer Levy"",IF(REGEXMATCH(LOWER(Raw_Data!C602),""transfer|trf|send""),""Transfer"",""Other"")))),""Other"")"),"Transfer")</f>
        <v>Transfer</v>
      </c>
      <c r="E596" s="20">
        <v>7000.0</v>
      </c>
      <c r="F596" s="20">
        <v>0.0</v>
      </c>
      <c r="G596" s="12" t="str">
        <f t="shared" si="3"/>
        <v>Withdrawal</v>
      </c>
      <c r="H596" s="12" t="str">
        <f>TEXT(Raw_Data!A602,"hh:mm:ss")
</f>
        <v>11:14:15</v>
      </c>
      <c r="I596" s="20">
        <f t="shared" si="4"/>
        <v>7000</v>
      </c>
    </row>
    <row r="597">
      <c r="A597" s="12" t="str">
        <f>Raw_Data!A603</f>
        <v>21 Mar 2025 11:19:46</v>
      </c>
      <c r="B597" s="12" t="str">
        <f t="shared" si="1"/>
        <v>March</v>
      </c>
      <c r="C597" s="12">
        <f t="shared" si="2"/>
        <v>3</v>
      </c>
      <c r="D597" s="12" t="str">
        <f>IFERROR(__xludf.DUMMYFUNCTION("IFERROR(IF(REGEXMATCH(LOWER(Raw_Data!C603),""fixed deposit|owealth|savings|target""),""Fixed Deposit"",IF(REGEXMATCH(LOWER(Raw_Data!C603),""airtime""),""Airtime"",IF(REGEXMATCH(LOWER(Raw_Data!C603),""electronic money transfer levy""),""Electronic Money Tr"&amp;"ansfer Levy"",IF(REGEXMATCH(LOWER(Raw_Data!C603),""transfer|trf|send""),""Transfer"",""Other"")))),""Other"")"),"Transfer")</f>
        <v>Transfer</v>
      </c>
      <c r="E597" s="20">
        <v>5000.0</v>
      </c>
      <c r="F597" s="20">
        <v>0.0</v>
      </c>
      <c r="G597" s="12" t="str">
        <f t="shared" si="3"/>
        <v>Withdrawal</v>
      </c>
      <c r="H597" s="12" t="str">
        <f>TEXT(Raw_Data!A603,"hh:mm:ss")
</f>
        <v>11:19:46</v>
      </c>
      <c r="I597" s="20">
        <f t="shared" si="4"/>
        <v>5000</v>
      </c>
    </row>
    <row r="598">
      <c r="A598" s="12" t="str">
        <f>Raw_Data!A604</f>
        <v>21 Mar 2025 11:25:16</v>
      </c>
      <c r="B598" s="12" t="str">
        <f t="shared" si="1"/>
        <v>March</v>
      </c>
      <c r="C598" s="12">
        <f t="shared" si="2"/>
        <v>3</v>
      </c>
      <c r="D598" s="12" t="str">
        <f>IFERROR(__xludf.DUMMYFUNCTION("IFERROR(IF(REGEXMATCH(LOWER(Raw_Data!C604),""fixed deposit|owealth|savings|target""),""Fixed Deposit"",IF(REGEXMATCH(LOWER(Raw_Data!C604),""airtime""),""Airtime"",IF(REGEXMATCH(LOWER(Raw_Data!C604),""electronic money transfer levy""),""Electronic Money Tr"&amp;"ansfer Levy"",IF(REGEXMATCH(LOWER(Raw_Data!C604),""transfer|trf|send""),""Transfer"",""Other"")))),""Other"")"),"Airtime")</f>
        <v>Airtime</v>
      </c>
      <c r="E598" s="20">
        <v>500.0</v>
      </c>
      <c r="F598" s="20">
        <v>0.0</v>
      </c>
      <c r="G598" s="12" t="str">
        <f t="shared" si="3"/>
        <v>Withdrawal</v>
      </c>
      <c r="H598" s="12" t="str">
        <f>TEXT(Raw_Data!A604,"hh:mm:ss")
</f>
        <v>11:25:16</v>
      </c>
      <c r="I598" s="20">
        <f t="shared" si="4"/>
        <v>500</v>
      </c>
    </row>
    <row r="599">
      <c r="A599" s="12" t="str">
        <f>Raw_Data!A605</f>
        <v>21 Mar 2025 12:06:50</v>
      </c>
      <c r="B599" s="12" t="str">
        <f t="shared" si="1"/>
        <v>March</v>
      </c>
      <c r="C599" s="12">
        <f t="shared" si="2"/>
        <v>3</v>
      </c>
      <c r="D599" s="12" t="str">
        <f>IFERROR(__xludf.DUMMYFUNCTION("IFERROR(IF(REGEXMATCH(LOWER(Raw_Data!C605),""fixed deposit|owealth|savings|target""),""Fixed Deposit"",IF(REGEXMATCH(LOWER(Raw_Data!C605),""airtime""),""Airtime"",IF(REGEXMATCH(LOWER(Raw_Data!C605),""electronic money transfer levy""),""Electronic Money Tr"&amp;"ansfer Levy"",IF(REGEXMATCH(LOWER(Raw_Data!C605),""transfer|trf|send""),""Transfer"",""Other"")))),""Other"")"),"Transfer")</f>
        <v>Transfer</v>
      </c>
      <c r="E599" s="20">
        <v>500.0</v>
      </c>
      <c r="F599" s="20">
        <v>0.0</v>
      </c>
      <c r="G599" s="12" t="str">
        <f t="shared" si="3"/>
        <v>Withdrawal</v>
      </c>
      <c r="H599" s="12" t="str">
        <f>TEXT(Raw_Data!A605,"hh:mm:ss")
</f>
        <v>12:06:50</v>
      </c>
      <c r="I599" s="20">
        <f t="shared" si="4"/>
        <v>500</v>
      </c>
    </row>
    <row r="600">
      <c r="A600" s="12" t="str">
        <f>Raw_Data!A606</f>
        <v>21 Mar 2025 15:24:06</v>
      </c>
      <c r="B600" s="12" t="str">
        <f t="shared" si="1"/>
        <v>March</v>
      </c>
      <c r="C600" s="12">
        <f t="shared" si="2"/>
        <v>3</v>
      </c>
      <c r="D600" s="12" t="str">
        <f>IFERROR(__xludf.DUMMYFUNCTION("IFERROR(IF(REGEXMATCH(LOWER(Raw_Data!C606),""fixed deposit|owealth|savings|target""),""Fixed Deposit"",IF(REGEXMATCH(LOWER(Raw_Data!C606),""airtime""),""Airtime"",IF(REGEXMATCH(LOWER(Raw_Data!C606),""electronic money transfer levy""),""Electronic Money Tr"&amp;"ansfer Levy"",IF(REGEXMATCH(LOWER(Raw_Data!C606),""transfer|trf|send""),""Transfer"",""Other"")))),""Other"")"),"Transfer")</f>
        <v>Transfer</v>
      </c>
      <c r="E600" s="20">
        <v>2500.0</v>
      </c>
      <c r="F600" s="20">
        <v>0.0</v>
      </c>
      <c r="G600" s="12" t="str">
        <f t="shared" si="3"/>
        <v>Withdrawal</v>
      </c>
      <c r="H600" s="12" t="str">
        <f>TEXT(Raw_Data!A606,"hh:mm:ss")
</f>
        <v>15:24:06</v>
      </c>
      <c r="I600" s="20">
        <f t="shared" si="4"/>
        <v>2500</v>
      </c>
    </row>
    <row r="601">
      <c r="A601" s="12" t="str">
        <f>Raw_Data!A607</f>
        <v>21 Mar 2025 16:00:07</v>
      </c>
      <c r="B601" s="12" t="str">
        <f t="shared" si="1"/>
        <v>March</v>
      </c>
      <c r="C601" s="12">
        <f t="shared" si="2"/>
        <v>3</v>
      </c>
      <c r="D601" s="12" t="str">
        <f>IFERROR(__xludf.DUMMYFUNCTION("IFERROR(IF(REGEXMATCH(LOWER(Raw_Data!C607),""fixed deposit|owealth|savings|target""),""Fixed Deposit"",IF(REGEXMATCH(LOWER(Raw_Data!C607),""airtime""),""Airtime"",IF(REGEXMATCH(LOWER(Raw_Data!C607),""electronic money transfer levy""),""Electronic Money Tr"&amp;"ansfer Levy"",IF(REGEXMATCH(LOWER(Raw_Data!C607),""transfer|trf|send""),""Transfer"",""Other"")))),""Other"")"),"Transfer")</f>
        <v>Transfer</v>
      </c>
      <c r="E601" s="20">
        <v>500.0</v>
      </c>
      <c r="F601" s="20">
        <v>0.0</v>
      </c>
      <c r="G601" s="12" t="str">
        <f t="shared" si="3"/>
        <v>Withdrawal</v>
      </c>
      <c r="H601" s="12" t="str">
        <f>TEXT(Raw_Data!A607,"hh:mm:ss")
</f>
        <v>16:00:07</v>
      </c>
      <c r="I601" s="20">
        <f t="shared" si="4"/>
        <v>500</v>
      </c>
    </row>
    <row r="602">
      <c r="A602" s="12" t="str">
        <f>Raw_Data!A608</f>
        <v>21 Mar 2025 16:35:32</v>
      </c>
      <c r="B602" s="12" t="str">
        <f t="shared" si="1"/>
        <v>March</v>
      </c>
      <c r="C602" s="12">
        <f t="shared" si="2"/>
        <v>3</v>
      </c>
      <c r="D602" s="12" t="str">
        <f>IFERROR(__xludf.DUMMYFUNCTION("IFERROR(IF(REGEXMATCH(LOWER(Raw_Data!C608),""fixed deposit|owealth|savings|target""),""Fixed Deposit"",IF(REGEXMATCH(LOWER(Raw_Data!C608),""airtime""),""Airtime"",IF(REGEXMATCH(LOWER(Raw_Data!C608),""electronic money transfer levy""),""Electronic Money Tr"&amp;"ansfer Levy"",IF(REGEXMATCH(LOWER(Raw_Data!C608),""transfer|trf|send""),""Transfer"",""Other"")))),""Other"")"),"Transfer")</f>
        <v>Transfer</v>
      </c>
      <c r="E602" s="20">
        <v>0.0</v>
      </c>
      <c r="F602" s="20">
        <v>5000.0</v>
      </c>
      <c r="G602" s="12" t="str">
        <f t="shared" si="3"/>
        <v>Deposit</v>
      </c>
      <c r="H602" s="12" t="str">
        <f>TEXT(Raw_Data!A608,"hh:mm:ss")
</f>
        <v>16:35:32</v>
      </c>
      <c r="I602" s="20">
        <f t="shared" si="4"/>
        <v>5000</v>
      </c>
    </row>
    <row r="603">
      <c r="A603" s="12" t="str">
        <f>Raw_Data!A609</f>
        <v>21 Mar 2025 16:43:27</v>
      </c>
      <c r="B603" s="12" t="str">
        <f t="shared" si="1"/>
        <v>March</v>
      </c>
      <c r="C603" s="12">
        <f t="shared" si="2"/>
        <v>3</v>
      </c>
      <c r="D603" s="12" t="str">
        <f>IFERROR(__xludf.DUMMYFUNCTION("IFERROR(IF(REGEXMATCH(LOWER(Raw_Data!C609),""fixed deposit|owealth|savings|target""),""Fixed Deposit"",IF(REGEXMATCH(LOWER(Raw_Data!C609),""airtime""),""Airtime"",IF(REGEXMATCH(LOWER(Raw_Data!C609),""electronic money transfer levy""),""Electronic Money Tr"&amp;"ansfer Levy"",IF(REGEXMATCH(LOWER(Raw_Data!C609),""transfer|trf|send""),""Transfer"",""Other"")))),""Other"")"),"Transfer")</f>
        <v>Transfer</v>
      </c>
      <c r="E603" s="20">
        <v>4200.0</v>
      </c>
      <c r="F603" s="20">
        <v>0.0</v>
      </c>
      <c r="G603" s="12" t="str">
        <f t="shared" si="3"/>
        <v>Withdrawal</v>
      </c>
      <c r="H603" s="12" t="str">
        <f>TEXT(Raw_Data!A609,"hh:mm:ss")
</f>
        <v>16:43:27</v>
      </c>
      <c r="I603" s="20">
        <f t="shared" si="4"/>
        <v>4200</v>
      </c>
    </row>
    <row r="604">
      <c r="A604" s="12" t="str">
        <f>Raw_Data!A610</f>
        <v>21 Mar 2025 21:32:28</v>
      </c>
      <c r="B604" s="12" t="str">
        <f t="shared" si="1"/>
        <v>March</v>
      </c>
      <c r="C604" s="12">
        <f t="shared" si="2"/>
        <v>3</v>
      </c>
      <c r="D604" s="12" t="str">
        <f>IFERROR(__xludf.DUMMYFUNCTION("IFERROR(IF(REGEXMATCH(LOWER(Raw_Data!C610),""fixed deposit|owealth|savings|target""),""Fixed Deposit"",IF(REGEXMATCH(LOWER(Raw_Data!C610),""airtime""),""Airtime"",IF(REGEXMATCH(LOWER(Raw_Data!C610),""electronic money transfer levy""),""Electronic Money Tr"&amp;"ansfer Levy"",IF(REGEXMATCH(LOWER(Raw_Data!C610),""transfer|trf|send""),""Transfer"",""Other"")))),""Other"")"),"Transfer")</f>
        <v>Transfer</v>
      </c>
      <c r="E604" s="20">
        <v>400.0</v>
      </c>
      <c r="F604" s="20">
        <v>0.0</v>
      </c>
      <c r="G604" s="12" t="str">
        <f t="shared" si="3"/>
        <v>Withdrawal</v>
      </c>
      <c r="H604" s="12" t="str">
        <f>TEXT(Raw_Data!A610,"hh:mm:ss")
</f>
        <v>21:32:28</v>
      </c>
      <c r="I604" s="20">
        <f t="shared" si="4"/>
        <v>400</v>
      </c>
    </row>
    <row r="605">
      <c r="A605" s="12" t="str">
        <f>Raw_Data!A611</f>
        <v>22 Mar 2025 08:53:57</v>
      </c>
      <c r="B605" s="12" t="str">
        <f t="shared" si="1"/>
        <v>March</v>
      </c>
      <c r="C605" s="12">
        <f t="shared" si="2"/>
        <v>3</v>
      </c>
      <c r="D605" s="12" t="str">
        <f>IFERROR(__xludf.DUMMYFUNCTION("IFERROR(IF(REGEXMATCH(LOWER(Raw_Data!C611),""fixed deposit|owealth|savings|target""),""Fixed Deposit"",IF(REGEXMATCH(LOWER(Raw_Data!C611),""airtime""),""Airtime"",IF(REGEXMATCH(LOWER(Raw_Data!C611),""electronic money transfer levy""),""Electronic Money Tr"&amp;"ansfer Levy"",IF(REGEXMATCH(LOWER(Raw_Data!C611),""transfer|trf|send""),""Transfer"",""Other"")))),""Other"")"),"Transfer")</f>
        <v>Transfer</v>
      </c>
      <c r="E605" s="20">
        <v>1800.0</v>
      </c>
      <c r="F605" s="20">
        <v>0.0</v>
      </c>
      <c r="G605" s="12" t="str">
        <f t="shared" si="3"/>
        <v>Withdrawal</v>
      </c>
      <c r="H605" s="12" t="str">
        <f>TEXT(Raw_Data!A611,"hh:mm:ss")
</f>
        <v>08:53:57</v>
      </c>
      <c r="I605" s="20">
        <f t="shared" si="4"/>
        <v>1800</v>
      </c>
    </row>
    <row r="606">
      <c r="A606" s="12" t="str">
        <f>Raw_Data!A612</f>
        <v>22 Mar 2025 09:24:12</v>
      </c>
      <c r="B606" s="12" t="str">
        <f t="shared" si="1"/>
        <v>March</v>
      </c>
      <c r="C606" s="12">
        <f t="shared" si="2"/>
        <v>3</v>
      </c>
      <c r="D606" s="12" t="str">
        <f>IFERROR(__xludf.DUMMYFUNCTION("IFERROR(IF(REGEXMATCH(LOWER(Raw_Data!C612),""fixed deposit|owealth|savings|target""),""Fixed Deposit"",IF(REGEXMATCH(LOWER(Raw_Data!C612),""airtime""),""Airtime"",IF(REGEXMATCH(LOWER(Raw_Data!C612),""electronic money transfer levy""),""Electronic Money Tr"&amp;"ansfer Levy"",IF(REGEXMATCH(LOWER(Raw_Data!C612),""transfer|trf|send""),""Transfer"",""Other"")))),""Other"")"),"Transfer")</f>
        <v>Transfer</v>
      </c>
      <c r="E606" s="20">
        <v>2100.0</v>
      </c>
      <c r="F606" s="20">
        <v>0.0</v>
      </c>
      <c r="G606" s="12" t="str">
        <f t="shared" si="3"/>
        <v>Withdrawal</v>
      </c>
      <c r="H606" s="12" t="str">
        <f>TEXT(Raw_Data!A612,"hh:mm:ss")
</f>
        <v>09:24:12</v>
      </c>
      <c r="I606" s="20">
        <f t="shared" si="4"/>
        <v>2100</v>
      </c>
    </row>
    <row r="607">
      <c r="A607" s="12" t="str">
        <f>Raw_Data!A613</f>
        <v>22 Mar 2025 10:01:07</v>
      </c>
      <c r="B607" s="12" t="str">
        <f t="shared" si="1"/>
        <v>March</v>
      </c>
      <c r="C607" s="12">
        <f t="shared" si="2"/>
        <v>3</v>
      </c>
      <c r="D607" s="12" t="str">
        <f>IFERROR(__xludf.DUMMYFUNCTION("IFERROR(IF(REGEXMATCH(LOWER(Raw_Data!C613),""fixed deposit|owealth|savings|target""),""Fixed Deposit"",IF(REGEXMATCH(LOWER(Raw_Data!C613),""airtime""),""Airtime"",IF(REGEXMATCH(LOWER(Raw_Data!C613),""electronic money transfer levy""),""Electronic Money Tr"&amp;"ansfer Levy"",IF(REGEXMATCH(LOWER(Raw_Data!C613),""transfer|trf|send""),""Transfer"",""Other"")))),""Other"")"),"Transfer")</f>
        <v>Transfer</v>
      </c>
      <c r="E607" s="20">
        <v>100.0</v>
      </c>
      <c r="F607" s="20">
        <v>0.0</v>
      </c>
      <c r="G607" s="12" t="str">
        <f t="shared" si="3"/>
        <v>Withdrawal</v>
      </c>
      <c r="H607" s="12" t="str">
        <f>TEXT(Raw_Data!A613,"hh:mm:ss")
</f>
        <v>10:01:07</v>
      </c>
      <c r="I607" s="20">
        <f t="shared" si="4"/>
        <v>100</v>
      </c>
    </row>
    <row r="608">
      <c r="A608" s="12" t="str">
        <f>Raw_Data!A614</f>
        <v>22 Mar 2025 11:03:37</v>
      </c>
      <c r="B608" s="12" t="str">
        <f t="shared" si="1"/>
        <v>March</v>
      </c>
      <c r="C608" s="12">
        <f t="shared" si="2"/>
        <v>3</v>
      </c>
      <c r="D608" s="12" t="str">
        <f>IFERROR(__xludf.DUMMYFUNCTION("IFERROR(IF(REGEXMATCH(LOWER(Raw_Data!C614),""fixed deposit|owealth|savings|target""),""Fixed Deposit"",IF(REGEXMATCH(LOWER(Raw_Data!C614),""airtime""),""Airtime"",IF(REGEXMATCH(LOWER(Raw_Data!C614),""electronic money transfer levy""),""Electronic Money Tr"&amp;"ansfer Levy"",IF(REGEXMATCH(LOWER(Raw_Data!C614),""transfer|trf|send""),""Transfer"",""Other"")))),""Other"")"),"Transfer")</f>
        <v>Transfer</v>
      </c>
      <c r="E608" s="20">
        <v>2000.0</v>
      </c>
      <c r="F608" s="20">
        <v>0.0</v>
      </c>
      <c r="G608" s="12" t="str">
        <f t="shared" si="3"/>
        <v>Withdrawal</v>
      </c>
      <c r="H608" s="12" t="str">
        <f>TEXT(Raw_Data!A614,"hh:mm:ss")
</f>
        <v>11:03:37</v>
      </c>
      <c r="I608" s="20">
        <f t="shared" si="4"/>
        <v>2000</v>
      </c>
    </row>
    <row r="609">
      <c r="A609" s="12" t="str">
        <f>Raw_Data!A615</f>
        <v>22 Mar 2025 11:22:10</v>
      </c>
      <c r="B609" s="12" t="str">
        <f t="shared" si="1"/>
        <v>March</v>
      </c>
      <c r="C609" s="12">
        <f t="shared" si="2"/>
        <v>3</v>
      </c>
      <c r="D609" s="12" t="str">
        <f>IFERROR(__xludf.DUMMYFUNCTION("IFERROR(IF(REGEXMATCH(LOWER(Raw_Data!C615),""fixed deposit|owealth|savings|target""),""Fixed Deposit"",IF(REGEXMATCH(LOWER(Raw_Data!C615),""airtime""),""Airtime"",IF(REGEXMATCH(LOWER(Raw_Data!C615),""electronic money transfer levy""),""Electronic Money Tr"&amp;"ansfer Levy"",IF(REGEXMATCH(LOWER(Raw_Data!C615),""transfer|trf|send""),""Transfer"",""Other"")))),""Other"")"),"Transfer")</f>
        <v>Transfer</v>
      </c>
      <c r="E609" s="20">
        <v>500.0</v>
      </c>
      <c r="F609" s="20">
        <v>0.0</v>
      </c>
      <c r="G609" s="12" t="str">
        <f t="shared" si="3"/>
        <v>Withdrawal</v>
      </c>
      <c r="H609" s="12" t="str">
        <f>TEXT(Raw_Data!A615,"hh:mm:ss")
</f>
        <v>11:22:10</v>
      </c>
      <c r="I609" s="20">
        <f t="shared" si="4"/>
        <v>500</v>
      </c>
    </row>
    <row r="610">
      <c r="A610" s="12" t="str">
        <f>Raw_Data!A616</f>
        <v>22 Mar 2025 12:14:13</v>
      </c>
      <c r="B610" s="12" t="str">
        <f t="shared" si="1"/>
        <v>March</v>
      </c>
      <c r="C610" s="12">
        <f t="shared" si="2"/>
        <v>3</v>
      </c>
      <c r="D610" s="12" t="str">
        <f>IFERROR(__xludf.DUMMYFUNCTION("IFERROR(IF(REGEXMATCH(LOWER(Raw_Data!C616),""fixed deposit|owealth|savings|target""),""Fixed Deposit"",IF(REGEXMATCH(LOWER(Raw_Data!C616),""airtime""),""Airtime"",IF(REGEXMATCH(LOWER(Raw_Data!C616),""electronic money transfer levy""),""Electronic Money Tr"&amp;"ansfer Levy"",IF(REGEXMATCH(LOWER(Raw_Data!C616),""transfer|trf|send""),""Transfer"",""Other"")))),""Other"")"),"Transfer")</f>
        <v>Transfer</v>
      </c>
      <c r="E610" s="20">
        <v>1000.0</v>
      </c>
      <c r="F610" s="20">
        <v>0.0</v>
      </c>
      <c r="G610" s="12" t="str">
        <f t="shared" si="3"/>
        <v>Withdrawal</v>
      </c>
      <c r="H610" s="12" t="str">
        <f>TEXT(Raw_Data!A616,"hh:mm:ss")
</f>
        <v>12:14:13</v>
      </c>
      <c r="I610" s="20">
        <f t="shared" si="4"/>
        <v>1000</v>
      </c>
    </row>
    <row r="611">
      <c r="A611" s="12" t="str">
        <f>Raw_Data!A617</f>
        <v>22 Mar 2025 17:44:56</v>
      </c>
      <c r="B611" s="12" t="str">
        <f t="shared" si="1"/>
        <v>March</v>
      </c>
      <c r="C611" s="12">
        <f t="shared" si="2"/>
        <v>3</v>
      </c>
      <c r="D611" s="12" t="str">
        <f>IFERROR(__xludf.DUMMYFUNCTION("IFERROR(IF(REGEXMATCH(LOWER(Raw_Data!C617),""fixed deposit|owealth|savings|target""),""Fixed Deposit"",IF(REGEXMATCH(LOWER(Raw_Data!C617),""airtime""),""Airtime"",IF(REGEXMATCH(LOWER(Raw_Data!C617),""electronic money transfer levy""),""Electronic Money Tr"&amp;"ansfer Levy"",IF(REGEXMATCH(LOWER(Raw_Data!C617),""transfer|trf|send""),""Transfer"",""Other"")))),""Other"")"),"Transfer")</f>
        <v>Transfer</v>
      </c>
      <c r="E611" s="20">
        <v>860.0</v>
      </c>
      <c r="F611" s="20">
        <v>0.0</v>
      </c>
      <c r="G611" s="12" t="str">
        <f t="shared" si="3"/>
        <v>Withdrawal</v>
      </c>
      <c r="H611" s="12" t="str">
        <f>TEXT(Raw_Data!A617,"hh:mm:ss")
</f>
        <v>17:44:56</v>
      </c>
      <c r="I611" s="20">
        <f t="shared" si="4"/>
        <v>860</v>
      </c>
    </row>
    <row r="612">
      <c r="A612" s="12" t="str">
        <f>Raw_Data!A618</f>
        <v>23 Mar 2025 10:36:34</v>
      </c>
      <c r="B612" s="12" t="str">
        <f t="shared" si="1"/>
        <v>March</v>
      </c>
      <c r="C612" s="12">
        <f t="shared" si="2"/>
        <v>3</v>
      </c>
      <c r="D612" s="12" t="str">
        <f>IFERROR(__xludf.DUMMYFUNCTION("IFERROR(IF(REGEXMATCH(LOWER(Raw_Data!C618),""fixed deposit|owealth|savings|target""),""Fixed Deposit"",IF(REGEXMATCH(LOWER(Raw_Data!C618),""airtime""),""Airtime"",IF(REGEXMATCH(LOWER(Raw_Data!C618),""electronic money transfer levy""),""Electronic Money Tr"&amp;"ansfer Levy"",IF(REGEXMATCH(LOWER(Raw_Data!C618),""transfer|trf|send""),""Transfer"",""Other"")))),""Other"")"),"Transfer")</f>
        <v>Transfer</v>
      </c>
      <c r="E612" s="20">
        <v>1500.0</v>
      </c>
      <c r="F612" s="20">
        <v>0.0</v>
      </c>
      <c r="G612" s="12" t="str">
        <f t="shared" si="3"/>
        <v>Withdrawal</v>
      </c>
      <c r="H612" s="12" t="str">
        <f>TEXT(Raw_Data!A618,"hh:mm:ss")
</f>
        <v>10:36:34</v>
      </c>
      <c r="I612" s="20">
        <f t="shared" si="4"/>
        <v>1500</v>
      </c>
    </row>
    <row r="613">
      <c r="A613" s="12" t="str">
        <f>Raw_Data!A619</f>
        <v>23 Mar 2025 15:38:39</v>
      </c>
      <c r="B613" s="12" t="str">
        <f t="shared" si="1"/>
        <v>March</v>
      </c>
      <c r="C613" s="12">
        <f t="shared" si="2"/>
        <v>3</v>
      </c>
      <c r="D613" s="12" t="str">
        <f>IFERROR(__xludf.DUMMYFUNCTION("IFERROR(IF(REGEXMATCH(LOWER(Raw_Data!C619),""fixed deposit|owealth|savings|target""),""Fixed Deposit"",IF(REGEXMATCH(LOWER(Raw_Data!C619),""airtime""),""Airtime"",IF(REGEXMATCH(LOWER(Raw_Data!C619),""electronic money transfer levy""),""Electronic Money Tr"&amp;"ansfer Levy"",IF(REGEXMATCH(LOWER(Raw_Data!C619),""transfer|trf|send""),""Transfer"",""Other"")))),""Other"")"),"Transfer")</f>
        <v>Transfer</v>
      </c>
      <c r="E613" s="20">
        <v>800.0</v>
      </c>
      <c r="F613" s="20">
        <v>0.0</v>
      </c>
      <c r="G613" s="12" t="str">
        <f t="shared" si="3"/>
        <v>Withdrawal</v>
      </c>
      <c r="H613" s="12" t="str">
        <f>TEXT(Raw_Data!A619,"hh:mm:ss")
</f>
        <v>15:38:39</v>
      </c>
      <c r="I613" s="20">
        <f t="shared" si="4"/>
        <v>800</v>
      </c>
    </row>
    <row r="614">
      <c r="A614" s="12" t="str">
        <f>Raw_Data!A620</f>
        <v>23 Mar 2025 17:32:42</v>
      </c>
      <c r="B614" s="12" t="str">
        <f t="shared" si="1"/>
        <v>March</v>
      </c>
      <c r="C614" s="12">
        <f t="shared" si="2"/>
        <v>3</v>
      </c>
      <c r="D614" s="12" t="str">
        <f>IFERROR(__xludf.DUMMYFUNCTION("IFERROR(IF(REGEXMATCH(LOWER(Raw_Data!C620),""fixed deposit|owealth|savings|target""),""Fixed Deposit"",IF(REGEXMATCH(LOWER(Raw_Data!C620),""airtime""),""Airtime"",IF(REGEXMATCH(LOWER(Raw_Data!C620),""electronic money transfer levy""),""Electronic Money Tr"&amp;"ansfer Levy"",IF(REGEXMATCH(LOWER(Raw_Data!C620),""transfer|trf|send""),""Transfer"",""Other"")))),""Other"")"),"Transfer")</f>
        <v>Transfer</v>
      </c>
      <c r="E614" s="20">
        <v>450.0</v>
      </c>
      <c r="F614" s="20">
        <v>0.0</v>
      </c>
      <c r="G614" s="12" t="str">
        <f t="shared" si="3"/>
        <v>Withdrawal</v>
      </c>
      <c r="H614" s="12" t="str">
        <f>TEXT(Raw_Data!A620,"hh:mm:ss")
</f>
        <v>17:32:42</v>
      </c>
      <c r="I614" s="20">
        <f t="shared" si="4"/>
        <v>450</v>
      </c>
    </row>
    <row r="615">
      <c r="A615" s="12" t="str">
        <f>Raw_Data!A621</f>
        <v>23 Mar 2025 22:05:30</v>
      </c>
      <c r="B615" s="12" t="str">
        <f t="shared" si="1"/>
        <v>March</v>
      </c>
      <c r="C615" s="12">
        <f t="shared" si="2"/>
        <v>3</v>
      </c>
      <c r="D615" s="12" t="str">
        <f>IFERROR(__xludf.DUMMYFUNCTION("IFERROR(IF(REGEXMATCH(LOWER(Raw_Data!C621),""fixed deposit|owealth|savings|target""),""Fixed Deposit"",IF(REGEXMATCH(LOWER(Raw_Data!C621),""airtime""),""Airtime"",IF(REGEXMATCH(LOWER(Raw_Data!C621),""electronic money transfer levy""),""Electronic Money Tr"&amp;"ansfer Levy"",IF(REGEXMATCH(LOWER(Raw_Data!C621),""transfer|trf|send""),""Transfer"",""Other"")))),""Other"")"),"Transfer")</f>
        <v>Transfer</v>
      </c>
      <c r="E615" s="20">
        <v>1000.0</v>
      </c>
      <c r="F615" s="20">
        <v>0.0</v>
      </c>
      <c r="G615" s="12" t="str">
        <f t="shared" si="3"/>
        <v>Withdrawal</v>
      </c>
      <c r="H615" s="12" t="str">
        <f>TEXT(Raw_Data!A621,"hh:mm:ss")
</f>
        <v>22:05:30</v>
      </c>
      <c r="I615" s="20">
        <f t="shared" si="4"/>
        <v>1000</v>
      </c>
    </row>
    <row r="616">
      <c r="A616" s="12" t="str">
        <f>Raw_Data!A622</f>
        <v>24 Mar 2025 09:37:35</v>
      </c>
      <c r="B616" s="12" t="str">
        <f t="shared" si="1"/>
        <v>March</v>
      </c>
      <c r="C616" s="12">
        <f t="shared" si="2"/>
        <v>3</v>
      </c>
      <c r="D616" s="12" t="str">
        <f>IFERROR(__xludf.DUMMYFUNCTION("IFERROR(IF(REGEXMATCH(LOWER(Raw_Data!C622),""fixed deposit|owealth|savings|target""),""Fixed Deposit"",IF(REGEXMATCH(LOWER(Raw_Data!C622),""airtime""),""Airtime"",IF(REGEXMATCH(LOWER(Raw_Data!C622),""electronic money transfer levy""),""Electronic Money Tr"&amp;"ansfer Levy"",IF(REGEXMATCH(LOWER(Raw_Data!C622),""transfer|trf|send""),""Transfer"",""Other"")))),""Other"")"),"Transfer")</f>
        <v>Transfer</v>
      </c>
      <c r="E616" s="20">
        <v>550.0</v>
      </c>
      <c r="F616" s="20">
        <v>0.0</v>
      </c>
      <c r="G616" s="12" t="str">
        <f t="shared" si="3"/>
        <v>Withdrawal</v>
      </c>
      <c r="H616" s="12" t="str">
        <f>TEXT(Raw_Data!A622,"hh:mm:ss")
</f>
        <v>09:37:35</v>
      </c>
      <c r="I616" s="20">
        <f t="shared" si="4"/>
        <v>550</v>
      </c>
    </row>
    <row r="617">
      <c r="A617" s="12" t="str">
        <f>Raw_Data!A623</f>
        <v>24 Mar 2025 13:24:34</v>
      </c>
      <c r="B617" s="12" t="str">
        <f t="shared" si="1"/>
        <v>March</v>
      </c>
      <c r="C617" s="12">
        <f t="shared" si="2"/>
        <v>3</v>
      </c>
      <c r="D617" s="12" t="str">
        <f>IFERROR(__xludf.DUMMYFUNCTION("IFERROR(IF(REGEXMATCH(LOWER(Raw_Data!C623),""fixed deposit|owealth|savings|target""),""Fixed Deposit"",IF(REGEXMATCH(LOWER(Raw_Data!C623),""airtime""),""Airtime"",IF(REGEXMATCH(LOWER(Raw_Data!C623),""electronic money transfer levy""),""Electronic Money Tr"&amp;"ansfer Levy"",IF(REGEXMATCH(LOWER(Raw_Data!C623),""transfer|trf|send""),""Transfer"",""Other"")))),""Other"")"),"Airtime")</f>
        <v>Airtime</v>
      </c>
      <c r="E617" s="20">
        <v>200.0</v>
      </c>
      <c r="F617" s="20">
        <v>0.0</v>
      </c>
      <c r="G617" s="12" t="str">
        <f t="shared" si="3"/>
        <v>Withdrawal</v>
      </c>
      <c r="H617" s="12" t="str">
        <f>TEXT(Raw_Data!A623,"hh:mm:ss")
</f>
        <v>13:24:34</v>
      </c>
      <c r="I617" s="20">
        <f t="shared" si="4"/>
        <v>200</v>
      </c>
    </row>
    <row r="618">
      <c r="A618" s="12" t="str">
        <f>Raw_Data!A624</f>
        <v>24 Mar 2025 14:39:58</v>
      </c>
      <c r="B618" s="12" t="str">
        <f t="shared" si="1"/>
        <v>March</v>
      </c>
      <c r="C618" s="12">
        <f t="shared" si="2"/>
        <v>3</v>
      </c>
      <c r="D618" s="12" t="str">
        <f>IFERROR(__xludf.DUMMYFUNCTION("IFERROR(IF(REGEXMATCH(LOWER(Raw_Data!C624),""fixed deposit|owealth|savings|target""),""Fixed Deposit"",IF(REGEXMATCH(LOWER(Raw_Data!C624),""airtime""),""Airtime"",IF(REGEXMATCH(LOWER(Raw_Data!C624),""electronic money transfer levy""),""Electronic Money Tr"&amp;"ansfer Levy"",IF(REGEXMATCH(LOWER(Raw_Data!C624),""transfer|trf|send""),""Transfer"",""Other"")))),""Other"")"),"Transfer")</f>
        <v>Transfer</v>
      </c>
      <c r="E618" s="20">
        <v>0.0</v>
      </c>
      <c r="F618" s="20">
        <v>63421.0</v>
      </c>
      <c r="G618" s="12" t="str">
        <f t="shared" si="3"/>
        <v>Deposit</v>
      </c>
      <c r="H618" s="12" t="str">
        <f>TEXT(Raw_Data!A624,"hh:mm:ss")
</f>
        <v>14:39:58</v>
      </c>
      <c r="I618" s="20">
        <f t="shared" si="4"/>
        <v>63421</v>
      </c>
    </row>
    <row r="619">
      <c r="A619" s="12" t="str">
        <f>Raw_Data!A625</f>
        <v>24 Mar 2025 14:40:04</v>
      </c>
      <c r="B619" s="12" t="str">
        <f t="shared" si="1"/>
        <v>March</v>
      </c>
      <c r="C619" s="12">
        <f t="shared" si="2"/>
        <v>3</v>
      </c>
      <c r="D619" s="12" t="str">
        <f>IFERROR(__xludf.DUMMYFUNCTION("IFERROR(IF(REGEXMATCH(LOWER(Raw_Data!C625),""fixed deposit|owealth|savings|target""),""Fixed Deposit"",IF(REGEXMATCH(LOWER(Raw_Data!C625),""airtime""),""Airtime"",IF(REGEXMATCH(LOWER(Raw_Data!C625),""electronic money transfer levy""),""Electronic Money Tr"&amp;"ansfer Levy"",IF(REGEXMATCH(LOWER(Raw_Data!C625),""transfer|trf|send""),""Transfer"",""Other"")))),""Other"")"),"Electronic Money Transfer Levy")</f>
        <v>Electronic Money Transfer Levy</v>
      </c>
      <c r="E619" s="20">
        <v>50.0</v>
      </c>
      <c r="F619" s="20">
        <v>0.0</v>
      </c>
      <c r="G619" s="12" t="str">
        <f t="shared" si="3"/>
        <v>Withdrawal</v>
      </c>
      <c r="H619" s="12" t="str">
        <f>TEXT(Raw_Data!A625,"hh:mm:ss")
</f>
        <v>14:40:04</v>
      </c>
      <c r="I619" s="20">
        <f t="shared" si="4"/>
        <v>50</v>
      </c>
    </row>
    <row r="620">
      <c r="A620" s="12" t="str">
        <f>Raw_Data!A626</f>
        <v>24 Mar 2025 14:41:25</v>
      </c>
      <c r="B620" s="12" t="str">
        <f t="shared" si="1"/>
        <v>March</v>
      </c>
      <c r="C620" s="12">
        <f t="shared" si="2"/>
        <v>3</v>
      </c>
      <c r="D620" s="12" t="str">
        <f>IFERROR(__xludf.DUMMYFUNCTION("IFERROR(IF(REGEXMATCH(LOWER(Raw_Data!C626),""fixed deposit|owealth|savings|target""),""Fixed Deposit"",IF(REGEXMATCH(LOWER(Raw_Data!C626),""airtime""),""Airtime"",IF(REGEXMATCH(LOWER(Raw_Data!C626),""electronic money transfer levy""),""Electronic Money Tr"&amp;"ansfer Levy"",IF(REGEXMATCH(LOWER(Raw_Data!C626),""transfer|trf|send""),""Transfer"",""Other"")))),""Other"")"),"Transfer")</f>
        <v>Transfer</v>
      </c>
      <c r="E620" s="20">
        <v>63000.0</v>
      </c>
      <c r="F620" s="20">
        <v>0.0</v>
      </c>
      <c r="G620" s="12" t="str">
        <f t="shared" si="3"/>
        <v>Withdrawal</v>
      </c>
      <c r="H620" s="12" t="str">
        <f>TEXT(Raw_Data!A626,"hh:mm:ss")
</f>
        <v>14:41:25</v>
      </c>
      <c r="I620" s="20">
        <f t="shared" si="4"/>
        <v>63000</v>
      </c>
    </row>
    <row r="621">
      <c r="A621" s="12" t="str">
        <f>Raw_Data!A627</f>
        <v>24 Mar 2025 14:48:16</v>
      </c>
      <c r="B621" s="12" t="str">
        <f t="shared" si="1"/>
        <v>March</v>
      </c>
      <c r="C621" s="12">
        <f t="shared" si="2"/>
        <v>3</v>
      </c>
      <c r="D621" s="12" t="str">
        <f>IFERROR(__xludf.DUMMYFUNCTION("IFERROR(IF(REGEXMATCH(LOWER(Raw_Data!C627),""fixed deposit|owealth|savings|target""),""Fixed Deposit"",IF(REGEXMATCH(LOWER(Raw_Data!C627),""airtime""),""Airtime"",IF(REGEXMATCH(LOWER(Raw_Data!C627),""electronic money transfer levy""),""Electronic Money Tr"&amp;"ansfer Levy"",IF(REGEXMATCH(LOWER(Raw_Data!C627),""transfer|trf|send""),""Transfer"",""Other"")))),""Other"")"),"Transfer")</f>
        <v>Transfer</v>
      </c>
      <c r="E621" s="20">
        <v>2100.0</v>
      </c>
      <c r="F621" s="20">
        <v>0.0</v>
      </c>
      <c r="G621" s="12" t="str">
        <f t="shared" si="3"/>
        <v>Withdrawal</v>
      </c>
      <c r="H621" s="12" t="str">
        <f>TEXT(Raw_Data!A627,"hh:mm:ss")
</f>
        <v>14:48:16</v>
      </c>
      <c r="I621" s="20">
        <f t="shared" si="4"/>
        <v>2100</v>
      </c>
    </row>
    <row r="622">
      <c r="A622" s="12" t="str">
        <f>Raw_Data!A628</f>
        <v>24 Mar 2025 14:58:31</v>
      </c>
      <c r="B622" s="12" t="str">
        <f t="shared" si="1"/>
        <v>March</v>
      </c>
      <c r="C622" s="12">
        <f t="shared" si="2"/>
        <v>3</v>
      </c>
      <c r="D622" s="12" t="str">
        <f>IFERROR(__xludf.DUMMYFUNCTION("IFERROR(IF(REGEXMATCH(LOWER(Raw_Data!C628),""fixed deposit|owealth|savings|target""),""Fixed Deposit"",IF(REGEXMATCH(LOWER(Raw_Data!C628),""airtime""),""Airtime"",IF(REGEXMATCH(LOWER(Raw_Data!C628),""electronic money transfer levy""),""Electronic Money Tr"&amp;"ansfer Levy"",IF(REGEXMATCH(LOWER(Raw_Data!C628),""transfer|trf|send""),""Transfer"",""Other"")))),""Other"")"),"Transfer")</f>
        <v>Transfer</v>
      </c>
      <c r="E622" s="20">
        <v>900.0</v>
      </c>
      <c r="F622" s="20">
        <v>0.0</v>
      </c>
      <c r="G622" s="12" t="str">
        <f t="shared" si="3"/>
        <v>Withdrawal</v>
      </c>
      <c r="H622" s="12" t="str">
        <f>TEXT(Raw_Data!A628,"hh:mm:ss")
</f>
        <v>14:58:31</v>
      </c>
      <c r="I622" s="20">
        <f t="shared" si="4"/>
        <v>900</v>
      </c>
    </row>
    <row r="623">
      <c r="A623" s="12" t="str">
        <f>Raw_Data!A629</f>
        <v>25 Mar 2025 03:33:31</v>
      </c>
      <c r="B623" s="12" t="str">
        <f t="shared" si="1"/>
        <v>March</v>
      </c>
      <c r="C623" s="12">
        <f t="shared" si="2"/>
        <v>3</v>
      </c>
      <c r="D623" s="12" t="str">
        <f>IFERROR(__xludf.DUMMYFUNCTION("IFERROR(IF(REGEXMATCH(LOWER(Raw_Data!C629),""fixed deposit|owealth|savings|target""),""Fixed Deposit"",IF(REGEXMATCH(LOWER(Raw_Data!C629),""airtime""),""Airtime"",IF(REGEXMATCH(LOWER(Raw_Data!C629),""electronic money transfer levy""),""Electronic Money Tr"&amp;"ansfer Levy"",IF(REGEXMATCH(LOWER(Raw_Data!C629),""transfer|trf|send""),""Transfer"",""Other"")))),""Other"")"),"Transfer")</f>
        <v>Transfer</v>
      </c>
      <c r="E623" s="20">
        <v>0.0</v>
      </c>
      <c r="F623" s="20">
        <v>20000.0</v>
      </c>
      <c r="G623" s="12" t="str">
        <f t="shared" si="3"/>
        <v>Deposit</v>
      </c>
      <c r="H623" s="12" t="str">
        <f>TEXT(Raw_Data!A629,"hh:mm:ss")
</f>
        <v>03:33:31</v>
      </c>
      <c r="I623" s="20">
        <f t="shared" si="4"/>
        <v>20000</v>
      </c>
    </row>
    <row r="624">
      <c r="A624" s="12" t="str">
        <f>Raw_Data!A630</f>
        <v>25 Mar 2025 03:33:36</v>
      </c>
      <c r="B624" s="12" t="str">
        <f t="shared" si="1"/>
        <v>March</v>
      </c>
      <c r="C624" s="12">
        <f t="shared" si="2"/>
        <v>3</v>
      </c>
      <c r="D624" s="12" t="str">
        <f>IFERROR(__xludf.DUMMYFUNCTION("IFERROR(IF(REGEXMATCH(LOWER(Raw_Data!C630),""fixed deposit|owealth|savings|target""),""Fixed Deposit"",IF(REGEXMATCH(LOWER(Raw_Data!C630),""airtime""),""Airtime"",IF(REGEXMATCH(LOWER(Raw_Data!C630),""electronic money transfer levy""),""Electronic Money Tr"&amp;"ansfer Levy"",IF(REGEXMATCH(LOWER(Raw_Data!C630),""transfer|trf|send""),""Transfer"",""Other"")))),""Other"")"),"Electronic Money Transfer Levy")</f>
        <v>Electronic Money Transfer Levy</v>
      </c>
      <c r="E624" s="20">
        <v>50.0</v>
      </c>
      <c r="F624" s="20">
        <v>0.0</v>
      </c>
      <c r="G624" s="12" t="str">
        <f t="shared" si="3"/>
        <v>Withdrawal</v>
      </c>
      <c r="H624" s="12" t="str">
        <f>TEXT(Raw_Data!A630,"hh:mm:ss")
</f>
        <v>03:33:36</v>
      </c>
      <c r="I624" s="20">
        <f t="shared" si="4"/>
        <v>50</v>
      </c>
    </row>
    <row r="625">
      <c r="A625" s="12" t="str">
        <f>Raw_Data!A631</f>
        <v>25 Mar 2025 03:40:58</v>
      </c>
      <c r="B625" s="12" t="str">
        <f t="shared" si="1"/>
        <v>March</v>
      </c>
      <c r="C625" s="12">
        <f t="shared" si="2"/>
        <v>3</v>
      </c>
      <c r="D625" s="12" t="str">
        <f>IFERROR(__xludf.DUMMYFUNCTION("IFERROR(IF(REGEXMATCH(LOWER(Raw_Data!C631),""fixed deposit|owealth|savings|target""),""Fixed Deposit"",IF(REGEXMATCH(LOWER(Raw_Data!C631),""airtime""),""Airtime"",IF(REGEXMATCH(LOWER(Raw_Data!C631),""electronic money transfer levy""),""Electronic Money Tr"&amp;"ansfer Levy"",IF(REGEXMATCH(LOWER(Raw_Data!C631),""transfer|trf|send""),""Transfer"",""Other"")))),""Other"")"),"Transfer")</f>
        <v>Transfer</v>
      </c>
      <c r="E625" s="20">
        <v>1580.0</v>
      </c>
      <c r="F625" s="20">
        <v>0.0</v>
      </c>
      <c r="G625" s="12" t="str">
        <f t="shared" si="3"/>
        <v>Withdrawal</v>
      </c>
      <c r="H625" s="12" t="str">
        <f>TEXT(Raw_Data!A631,"hh:mm:ss")
</f>
        <v>03:40:58</v>
      </c>
      <c r="I625" s="20">
        <f t="shared" si="4"/>
        <v>1580</v>
      </c>
    </row>
    <row r="626">
      <c r="A626" s="12" t="str">
        <f>Raw_Data!A632</f>
        <v>25 Mar 2025 03:42:47</v>
      </c>
      <c r="B626" s="12" t="str">
        <f t="shared" si="1"/>
        <v>March</v>
      </c>
      <c r="C626" s="12">
        <f t="shared" si="2"/>
        <v>3</v>
      </c>
      <c r="D626" s="12" t="str">
        <f>IFERROR(__xludf.DUMMYFUNCTION("IFERROR(IF(REGEXMATCH(LOWER(Raw_Data!C632),""fixed deposit|owealth|savings|target""),""Fixed Deposit"",IF(REGEXMATCH(LOWER(Raw_Data!C632),""airtime""),""Airtime"",IF(REGEXMATCH(LOWER(Raw_Data!C632),""electronic money transfer levy""),""Electronic Money Tr"&amp;"ansfer Levy"",IF(REGEXMATCH(LOWER(Raw_Data!C632),""transfer|trf|send""),""Transfer"",""Other"")))),""Other"")"),"Airtime")</f>
        <v>Airtime</v>
      </c>
      <c r="E626" s="20">
        <v>500.0</v>
      </c>
      <c r="F626" s="20">
        <v>0.0</v>
      </c>
      <c r="G626" s="12" t="str">
        <f t="shared" si="3"/>
        <v>Withdrawal</v>
      </c>
      <c r="H626" s="12" t="str">
        <f>TEXT(Raw_Data!A632,"hh:mm:ss")
</f>
        <v>03:42:47</v>
      </c>
      <c r="I626" s="20">
        <f t="shared" si="4"/>
        <v>500</v>
      </c>
    </row>
    <row r="627">
      <c r="A627" s="12" t="str">
        <f>Raw_Data!A633</f>
        <v>25 Mar 2025 15:18:27</v>
      </c>
      <c r="B627" s="12" t="str">
        <f t="shared" si="1"/>
        <v>March</v>
      </c>
      <c r="C627" s="12">
        <f t="shared" si="2"/>
        <v>3</v>
      </c>
      <c r="D627" s="12" t="str">
        <f>IFERROR(__xludf.DUMMYFUNCTION("IFERROR(IF(REGEXMATCH(LOWER(Raw_Data!C633),""fixed deposit|owealth|savings|target""),""Fixed Deposit"",IF(REGEXMATCH(LOWER(Raw_Data!C633),""airtime""),""Airtime"",IF(REGEXMATCH(LOWER(Raw_Data!C633),""electronic money transfer levy""),""Electronic Money Tr"&amp;"ansfer Levy"",IF(REGEXMATCH(LOWER(Raw_Data!C633),""transfer|trf|send""),""Transfer"",""Other"")))),""Other"")"),"Transfer")</f>
        <v>Transfer</v>
      </c>
      <c r="E627" s="20">
        <v>1500.0</v>
      </c>
      <c r="F627" s="20">
        <v>0.0</v>
      </c>
      <c r="G627" s="12" t="str">
        <f t="shared" si="3"/>
        <v>Withdrawal</v>
      </c>
      <c r="H627" s="12" t="str">
        <f>TEXT(Raw_Data!A633,"hh:mm:ss")
</f>
        <v>15:18:27</v>
      </c>
      <c r="I627" s="20">
        <f t="shared" si="4"/>
        <v>1500</v>
      </c>
    </row>
    <row r="628">
      <c r="A628" s="12" t="str">
        <f>Raw_Data!A634</f>
        <v>25 Mar 2025 17:44:22</v>
      </c>
      <c r="B628" s="12" t="str">
        <f t="shared" si="1"/>
        <v>March</v>
      </c>
      <c r="C628" s="12">
        <f t="shared" si="2"/>
        <v>3</v>
      </c>
      <c r="D628" s="12" t="str">
        <f>IFERROR(__xludf.DUMMYFUNCTION("IFERROR(IF(REGEXMATCH(LOWER(Raw_Data!C634),""fixed deposit|owealth|savings|target""),""Fixed Deposit"",IF(REGEXMATCH(LOWER(Raw_Data!C634),""airtime""),""Airtime"",IF(REGEXMATCH(LOWER(Raw_Data!C634),""electronic money transfer levy""),""Electronic Money Tr"&amp;"ansfer Levy"",IF(REGEXMATCH(LOWER(Raw_Data!C634),""transfer|trf|send""),""Transfer"",""Other"")))),""Other"")"),"Transfer")</f>
        <v>Transfer</v>
      </c>
      <c r="E628" s="20">
        <v>1400.0</v>
      </c>
      <c r="F628" s="20">
        <v>0.0</v>
      </c>
      <c r="G628" s="12" t="str">
        <f t="shared" si="3"/>
        <v>Withdrawal</v>
      </c>
      <c r="H628" s="12" t="str">
        <f>TEXT(Raw_Data!A634,"hh:mm:ss")
</f>
        <v>17:44:22</v>
      </c>
      <c r="I628" s="20">
        <f t="shared" si="4"/>
        <v>1400</v>
      </c>
    </row>
    <row r="629">
      <c r="A629" s="12" t="str">
        <f>Raw_Data!A635</f>
        <v>25 Mar 2025 18:06:04</v>
      </c>
      <c r="B629" s="12" t="str">
        <f t="shared" si="1"/>
        <v>March</v>
      </c>
      <c r="C629" s="12">
        <f t="shared" si="2"/>
        <v>3</v>
      </c>
      <c r="D629" s="12" t="str">
        <f>IFERROR(__xludf.DUMMYFUNCTION("IFERROR(IF(REGEXMATCH(LOWER(Raw_Data!C635),""fixed deposit|owealth|savings|target""),""Fixed Deposit"",IF(REGEXMATCH(LOWER(Raw_Data!C635),""airtime""),""Airtime"",IF(REGEXMATCH(LOWER(Raw_Data!C635),""electronic money transfer levy""),""Electronic Money Tr"&amp;"ansfer Levy"",IF(REGEXMATCH(LOWER(Raw_Data!C635),""transfer|trf|send""),""Transfer"",""Other"")))),""Other"")"),"Transfer")</f>
        <v>Transfer</v>
      </c>
      <c r="E629" s="20">
        <v>5000.0</v>
      </c>
      <c r="F629" s="20">
        <v>0.0</v>
      </c>
      <c r="G629" s="12" t="str">
        <f t="shared" si="3"/>
        <v>Withdrawal</v>
      </c>
      <c r="H629" s="12" t="str">
        <f>TEXT(Raw_Data!A635,"hh:mm:ss")
</f>
        <v>18:06:04</v>
      </c>
      <c r="I629" s="20">
        <f t="shared" si="4"/>
        <v>5000</v>
      </c>
    </row>
    <row r="630">
      <c r="A630" s="12" t="str">
        <f>Raw_Data!A636</f>
        <v>26 Mar 2025 04:10:14</v>
      </c>
      <c r="B630" s="12" t="str">
        <f t="shared" si="1"/>
        <v>March</v>
      </c>
      <c r="C630" s="12">
        <f t="shared" si="2"/>
        <v>3</v>
      </c>
      <c r="D630" s="12" t="str">
        <f>IFERROR(__xludf.DUMMYFUNCTION("IFERROR(IF(REGEXMATCH(LOWER(Raw_Data!C636),""fixed deposit|owealth|savings|target""),""Fixed Deposit"",IF(REGEXMATCH(LOWER(Raw_Data!C636),""airtime""),""Airtime"",IF(REGEXMATCH(LOWER(Raw_Data!C636),""electronic money transfer levy""),""Electronic Money Tr"&amp;"ansfer Levy"",IF(REGEXMATCH(LOWER(Raw_Data!C636),""transfer|trf|send""),""Transfer"",""Other"")))),""Other"")"),"Transfer")</f>
        <v>Transfer</v>
      </c>
      <c r="E630" s="20">
        <v>1000.0</v>
      </c>
      <c r="F630" s="20">
        <v>0.0</v>
      </c>
      <c r="G630" s="12" t="str">
        <f t="shared" si="3"/>
        <v>Withdrawal</v>
      </c>
      <c r="H630" s="12" t="str">
        <f>TEXT(Raw_Data!A636,"hh:mm:ss")
</f>
        <v>04:10:14</v>
      </c>
      <c r="I630" s="20">
        <f t="shared" si="4"/>
        <v>1000</v>
      </c>
    </row>
    <row r="631">
      <c r="A631" s="12" t="str">
        <f>Raw_Data!A637</f>
        <v>26 Mar 2025 14:27:49</v>
      </c>
      <c r="B631" s="12" t="str">
        <f t="shared" si="1"/>
        <v>March</v>
      </c>
      <c r="C631" s="12">
        <f t="shared" si="2"/>
        <v>3</v>
      </c>
      <c r="D631" s="12" t="str">
        <f>IFERROR(__xludf.DUMMYFUNCTION("IFERROR(IF(REGEXMATCH(LOWER(Raw_Data!C637),""fixed deposit|owealth|savings|target""),""Fixed Deposit"",IF(REGEXMATCH(LOWER(Raw_Data!C637),""airtime""),""Airtime"",IF(REGEXMATCH(LOWER(Raw_Data!C637),""electronic money transfer levy""),""Electronic Money Tr"&amp;"ansfer Levy"",IF(REGEXMATCH(LOWER(Raw_Data!C637),""transfer|trf|send""),""Transfer"",""Other"")))),""Other"")"),"Transfer")</f>
        <v>Transfer</v>
      </c>
      <c r="E631" s="20">
        <v>1000.0</v>
      </c>
      <c r="F631" s="20">
        <v>0.0</v>
      </c>
      <c r="G631" s="12" t="str">
        <f t="shared" si="3"/>
        <v>Withdrawal</v>
      </c>
      <c r="H631" s="12" t="str">
        <f>TEXT(Raw_Data!A637,"hh:mm:ss")
</f>
        <v>14:27:49</v>
      </c>
      <c r="I631" s="20">
        <f t="shared" si="4"/>
        <v>1000</v>
      </c>
    </row>
    <row r="632">
      <c r="A632" s="12" t="str">
        <f>Raw_Data!A638</f>
        <v>26 Mar 2025 16:29:02</v>
      </c>
      <c r="B632" s="12" t="str">
        <f t="shared" si="1"/>
        <v>March</v>
      </c>
      <c r="C632" s="12">
        <f t="shared" si="2"/>
        <v>3</v>
      </c>
      <c r="D632" s="12" t="str">
        <f>IFERROR(__xludf.DUMMYFUNCTION("IFERROR(IF(REGEXMATCH(LOWER(Raw_Data!C638),""fixed deposit|owealth|savings|target""),""Fixed Deposit"",IF(REGEXMATCH(LOWER(Raw_Data!C638),""airtime""),""Airtime"",IF(REGEXMATCH(LOWER(Raw_Data!C638),""electronic money transfer levy""),""Electronic Money Tr"&amp;"ansfer Levy"",IF(REGEXMATCH(LOWER(Raw_Data!C638),""transfer|trf|send""),""Transfer"",""Other"")))),""Other"")"),"Transfer")</f>
        <v>Transfer</v>
      </c>
      <c r="E632" s="20">
        <v>500.0</v>
      </c>
      <c r="F632" s="20">
        <v>0.0</v>
      </c>
      <c r="G632" s="12" t="str">
        <f t="shared" si="3"/>
        <v>Withdrawal</v>
      </c>
      <c r="H632" s="12" t="str">
        <f>TEXT(Raw_Data!A638,"hh:mm:ss")
</f>
        <v>16:29:02</v>
      </c>
      <c r="I632" s="20">
        <f t="shared" si="4"/>
        <v>500</v>
      </c>
    </row>
    <row r="633">
      <c r="A633" s="12" t="str">
        <f>Raw_Data!A639</f>
        <v>26 Mar 2025 16:52:56</v>
      </c>
      <c r="B633" s="12" t="str">
        <f t="shared" si="1"/>
        <v>March</v>
      </c>
      <c r="C633" s="12">
        <f t="shared" si="2"/>
        <v>3</v>
      </c>
      <c r="D633" s="12" t="str">
        <f>IFERROR(__xludf.DUMMYFUNCTION("IFERROR(IF(REGEXMATCH(LOWER(Raw_Data!C639),""fixed deposit|owealth|savings|target""),""Fixed Deposit"",IF(REGEXMATCH(LOWER(Raw_Data!C639),""airtime""),""Airtime"",IF(REGEXMATCH(LOWER(Raw_Data!C639),""electronic money transfer levy""),""Electronic Money Tr"&amp;"ansfer Levy"",IF(REGEXMATCH(LOWER(Raw_Data!C639),""transfer|trf|send""),""Transfer"",""Other"")))),""Other"")"),"Transfer")</f>
        <v>Transfer</v>
      </c>
      <c r="E633" s="20">
        <v>200.0</v>
      </c>
      <c r="F633" s="20">
        <v>0.0</v>
      </c>
      <c r="G633" s="12" t="str">
        <f t="shared" si="3"/>
        <v>Withdrawal</v>
      </c>
      <c r="H633" s="12" t="str">
        <f>TEXT(Raw_Data!A639,"hh:mm:ss")
</f>
        <v>16:52:56</v>
      </c>
      <c r="I633" s="20">
        <f t="shared" si="4"/>
        <v>200</v>
      </c>
    </row>
    <row r="634">
      <c r="A634" s="12" t="str">
        <f>Raw_Data!A640</f>
        <v>26 Mar 2025 19:05:19</v>
      </c>
      <c r="B634" s="12" t="str">
        <f t="shared" si="1"/>
        <v>March</v>
      </c>
      <c r="C634" s="12">
        <f t="shared" si="2"/>
        <v>3</v>
      </c>
      <c r="D634" s="12" t="str">
        <f>IFERROR(__xludf.DUMMYFUNCTION("IFERROR(IF(REGEXMATCH(LOWER(Raw_Data!C640),""fixed deposit|owealth|savings|target""),""Fixed Deposit"",IF(REGEXMATCH(LOWER(Raw_Data!C640),""airtime""),""Airtime"",IF(REGEXMATCH(LOWER(Raw_Data!C640),""electronic money transfer levy""),""Electronic Money Tr"&amp;"ansfer Levy"",IF(REGEXMATCH(LOWER(Raw_Data!C640),""transfer|trf|send""),""Transfer"",""Other"")))),""Other"")"),"Transfer")</f>
        <v>Transfer</v>
      </c>
      <c r="E634" s="20">
        <v>1000.0</v>
      </c>
      <c r="F634" s="20">
        <v>0.0</v>
      </c>
      <c r="G634" s="12" t="str">
        <f t="shared" si="3"/>
        <v>Withdrawal</v>
      </c>
      <c r="H634" s="12" t="str">
        <f>TEXT(Raw_Data!A640,"hh:mm:ss")
</f>
        <v>19:05:19</v>
      </c>
      <c r="I634" s="20">
        <f t="shared" si="4"/>
        <v>1000</v>
      </c>
    </row>
    <row r="635">
      <c r="A635" s="12" t="str">
        <f>Raw_Data!A641</f>
        <v>26 Mar 2025 20:23:11</v>
      </c>
      <c r="B635" s="12" t="str">
        <f t="shared" si="1"/>
        <v>March</v>
      </c>
      <c r="C635" s="12">
        <f t="shared" si="2"/>
        <v>3</v>
      </c>
      <c r="D635" s="12" t="str">
        <f>IFERROR(__xludf.DUMMYFUNCTION("IFERROR(IF(REGEXMATCH(LOWER(Raw_Data!C641),""fixed deposit|owealth|savings|target""),""Fixed Deposit"",IF(REGEXMATCH(LOWER(Raw_Data!C641),""airtime""),""Airtime"",IF(REGEXMATCH(LOWER(Raw_Data!C641),""electronic money transfer levy""),""Electronic Money Tr"&amp;"ansfer Levy"",IF(REGEXMATCH(LOWER(Raw_Data!C641),""transfer|trf|send""),""Transfer"",""Other"")))),""Other"")"),"Transfer")</f>
        <v>Transfer</v>
      </c>
      <c r="E635" s="20">
        <v>0.0</v>
      </c>
      <c r="F635" s="20">
        <v>2000.0</v>
      </c>
      <c r="G635" s="12" t="str">
        <f t="shared" si="3"/>
        <v>Deposit</v>
      </c>
      <c r="H635" s="12" t="str">
        <f>TEXT(Raw_Data!A641,"hh:mm:ss")
</f>
        <v>20:23:11</v>
      </c>
      <c r="I635" s="20">
        <f t="shared" si="4"/>
        <v>2000</v>
      </c>
    </row>
    <row r="636">
      <c r="A636" s="12" t="str">
        <f>Raw_Data!A642</f>
        <v>27 Mar 2025 09:24:07</v>
      </c>
      <c r="B636" s="12" t="str">
        <f t="shared" si="1"/>
        <v>March</v>
      </c>
      <c r="C636" s="12">
        <f t="shared" si="2"/>
        <v>3</v>
      </c>
      <c r="D636" s="12" t="str">
        <f>IFERROR(__xludf.DUMMYFUNCTION("IFERROR(IF(REGEXMATCH(LOWER(Raw_Data!C642),""fixed deposit|owealth|savings|target""),""Fixed Deposit"",IF(REGEXMATCH(LOWER(Raw_Data!C642),""airtime""),""Airtime"",IF(REGEXMATCH(LOWER(Raw_Data!C642),""electronic money transfer levy""),""Electronic Money Tr"&amp;"ansfer Levy"",IF(REGEXMATCH(LOWER(Raw_Data!C642),""transfer|trf|send""),""Transfer"",""Other"")))),""Other"")"),"Airtime")</f>
        <v>Airtime</v>
      </c>
      <c r="E636" s="20">
        <v>500.0</v>
      </c>
      <c r="F636" s="20">
        <v>0.0</v>
      </c>
      <c r="G636" s="12" t="str">
        <f t="shared" si="3"/>
        <v>Withdrawal</v>
      </c>
      <c r="H636" s="12" t="str">
        <f>TEXT(Raw_Data!A642,"hh:mm:ss")
</f>
        <v>09:24:07</v>
      </c>
      <c r="I636" s="20">
        <f t="shared" si="4"/>
        <v>500</v>
      </c>
    </row>
    <row r="637">
      <c r="A637" s="12" t="str">
        <f>Raw_Data!A643</f>
        <v>27 Mar 2025 16:10:48</v>
      </c>
      <c r="B637" s="12" t="str">
        <f t="shared" si="1"/>
        <v>March</v>
      </c>
      <c r="C637" s="12">
        <f t="shared" si="2"/>
        <v>3</v>
      </c>
      <c r="D637" s="12" t="str">
        <f>IFERROR(__xludf.DUMMYFUNCTION("IFERROR(IF(REGEXMATCH(LOWER(Raw_Data!C643),""fixed deposit|owealth|savings|target""),""Fixed Deposit"",IF(REGEXMATCH(LOWER(Raw_Data!C643),""airtime""),""Airtime"",IF(REGEXMATCH(LOWER(Raw_Data!C643),""electronic money transfer levy""),""Electronic Money Tr"&amp;"ansfer Levy"",IF(REGEXMATCH(LOWER(Raw_Data!C643),""transfer|trf|send""),""Transfer"",""Other"")))),""Other"")"),"Other")</f>
        <v>Other</v>
      </c>
      <c r="E637" s="20">
        <v>500.0</v>
      </c>
      <c r="F637" s="20">
        <v>0.0</v>
      </c>
      <c r="G637" s="12" t="str">
        <f t="shared" si="3"/>
        <v>Withdrawal</v>
      </c>
      <c r="H637" s="12" t="str">
        <f>TEXT(Raw_Data!A643,"hh:mm:ss")
</f>
        <v>16:10:48</v>
      </c>
      <c r="I637" s="20">
        <f t="shared" si="4"/>
        <v>500</v>
      </c>
    </row>
    <row r="638">
      <c r="A638" s="12" t="str">
        <f>Raw_Data!A644</f>
        <v>27 Mar 2025 16:14:45</v>
      </c>
      <c r="B638" s="12" t="str">
        <f t="shared" si="1"/>
        <v>March</v>
      </c>
      <c r="C638" s="12">
        <f t="shared" si="2"/>
        <v>3</v>
      </c>
      <c r="D638" s="12" t="str">
        <f>IFERROR(__xludf.DUMMYFUNCTION("IFERROR(IF(REGEXMATCH(LOWER(Raw_Data!C644),""fixed deposit|owealth|savings|target""),""Fixed Deposit"",IF(REGEXMATCH(LOWER(Raw_Data!C644),""airtime""),""Airtime"",IF(REGEXMATCH(LOWER(Raw_Data!C644),""electronic money transfer levy""),""Electronic Money Tr"&amp;"ansfer Levy"",IF(REGEXMATCH(LOWER(Raw_Data!C644),""transfer|trf|send""),""Transfer"",""Other"")))),""Other"")"),"Transfer")</f>
        <v>Transfer</v>
      </c>
      <c r="E638" s="20">
        <v>500.0</v>
      </c>
      <c r="F638" s="20">
        <v>0.0</v>
      </c>
      <c r="G638" s="12" t="str">
        <f t="shared" si="3"/>
        <v>Withdrawal</v>
      </c>
      <c r="H638" s="12" t="str">
        <f>TEXT(Raw_Data!A644,"hh:mm:ss")
</f>
        <v>16:14:45</v>
      </c>
      <c r="I638" s="20">
        <f t="shared" si="4"/>
        <v>500</v>
      </c>
    </row>
    <row r="639">
      <c r="A639" s="12" t="str">
        <f>Raw_Data!A645</f>
        <v>27 Mar 2025 16:16:05</v>
      </c>
      <c r="B639" s="12" t="str">
        <f t="shared" si="1"/>
        <v>March</v>
      </c>
      <c r="C639" s="12">
        <f t="shared" si="2"/>
        <v>3</v>
      </c>
      <c r="D639" s="12" t="str">
        <f>IFERROR(__xludf.DUMMYFUNCTION("IFERROR(IF(REGEXMATCH(LOWER(Raw_Data!C645),""fixed deposit|owealth|savings|target""),""Fixed Deposit"",IF(REGEXMATCH(LOWER(Raw_Data!C645),""airtime""),""Airtime"",IF(REGEXMATCH(LOWER(Raw_Data!C645),""electronic money transfer levy""),""Electronic Money Tr"&amp;"ansfer Levy"",IF(REGEXMATCH(LOWER(Raw_Data!C645),""transfer|trf|send""),""Transfer"",""Other"")))),""Other"")"),"Transfer")</f>
        <v>Transfer</v>
      </c>
      <c r="E639" s="20">
        <v>1000.0</v>
      </c>
      <c r="F639" s="20">
        <v>0.0</v>
      </c>
      <c r="G639" s="12" t="str">
        <f t="shared" si="3"/>
        <v>Withdrawal</v>
      </c>
      <c r="H639" s="12" t="str">
        <f>TEXT(Raw_Data!A645,"hh:mm:ss")
</f>
        <v>16:16:05</v>
      </c>
      <c r="I639" s="20">
        <f t="shared" si="4"/>
        <v>1000</v>
      </c>
    </row>
    <row r="640">
      <c r="A640" s="12" t="str">
        <f>Raw_Data!A646</f>
        <v>27 Mar 2025 16:21:58</v>
      </c>
      <c r="B640" s="12" t="str">
        <f t="shared" si="1"/>
        <v>March</v>
      </c>
      <c r="C640" s="12">
        <f t="shared" si="2"/>
        <v>3</v>
      </c>
      <c r="D640" s="12" t="str">
        <f>IFERROR(__xludf.DUMMYFUNCTION("IFERROR(IF(REGEXMATCH(LOWER(Raw_Data!C646),""fixed deposit|owealth|savings|target""),""Fixed Deposit"",IF(REGEXMATCH(LOWER(Raw_Data!C646),""airtime""),""Airtime"",IF(REGEXMATCH(LOWER(Raw_Data!C646),""electronic money transfer levy""),""Electronic Money Tr"&amp;"ansfer Levy"",IF(REGEXMATCH(LOWER(Raw_Data!C646),""transfer|trf|send""),""Transfer"",""Other"")))),""Other"")"),"Transfer")</f>
        <v>Transfer</v>
      </c>
      <c r="E640" s="20">
        <v>2100.0</v>
      </c>
      <c r="F640" s="20">
        <v>0.0</v>
      </c>
      <c r="G640" s="12" t="str">
        <f t="shared" si="3"/>
        <v>Withdrawal</v>
      </c>
      <c r="H640" s="12" t="str">
        <f>TEXT(Raw_Data!A646,"hh:mm:ss")
</f>
        <v>16:21:58</v>
      </c>
      <c r="I640" s="20">
        <f t="shared" si="4"/>
        <v>2100</v>
      </c>
    </row>
    <row r="641">
      <c r="A641" s="12" t="str">
        <f>Raw_Data!A647</f>
        <v>28 Mar 2025 09:43:20</v>
      </c>
      <c r="B641" s="12" t="str">
        <f t="shared" si="1"/>
        <v>March</v>
      </c>
      <c r="C641" s="12">
        <f t="shared" si="2"/>
        <v>3</v>
      </c>
      <c r="D641" s="12" t="str">
        <f>IFERROR(__xludf.DUMMYFUNCTION("IFERROR(IF(REGEXMATCH(LOWER(Raw_Data!C647),""fixed deposit|owealth|savings|target""),""Fixed Deposit"",IF(REGEXMATCH(LOWER(Raw_Data!C647),""airtime""),""Airtime"",IF(REGEXMATCH(LOWER(Raw_Data!C647),""electronic money transfer levy""),""Electronic Money Tr"&amp;"ansfer Levy"",IF(REGEXMATCH(LOWER(Raw_Data!C647),""transfer|trf|send""),""Transfer"",""Other"")))),""Other"")"),"Transfer")</f>
        <v>Transfer</v>
      </c>
      <c r="E641" s="20">
        <v>0.0</v>
      </c>
      <c r="F641" s="20">
        <v>3000.0</v>
      </c>
      <c r="G641" s="12" t="str">
        <f t="shared" si="3"/>
        <v>Deposit</v>
      </c>
      <c r="H641" s="12" t="str">
        <f>TEXT(Raw_Data!A647,"hh:mm:ss")
</f>
        <v>09:43:20</v>
      </c>
      <c r="I641" s="20">
        <f t="shared" si="4"/>
        <v>3000</v>
      </c>
    </row>
    <row r="642">
      <c r="A642" s="12" t="str">
        <f>Raw_Data!A648</f>
        <v>28 Mar 2025 13:19:24</v>
      </c>
      <c r="B642" s="12" t="str">
        <f t="shared" si="1"/>
        <v>March</v>
      </c>
      <c r="C642" s="12">
        <f t="shared" si="2"/>
        <v>3</v>
      </c>
      <c r="D642" s="12" t="str">
        <f>IFERROR(__xludf.DUMMYFUNCTION("IFERROR(IF(REGEXMATCH(LOWER(Raw_Data!C648),""fixed deposit|owealth|savings|target""),""Fixed Deposit"",IF(REGEXMATCH(LOWER(Raw_Data!C648),""airtime""),""Airtime"",IF(REGEXMATCH(LOWER(Raw_Data!C648),""electronic money transfer levy""),""Electronic Money Tr"&amp;"ansfer Levy"",IF(REGEXMATCH(LOWER(Raw_Data!C648),""transfer|trf|send""),""Transfer"",""Other"")))),""Other"")"),"Transfer")</f>
        <v>Transfer</v>
      </c>
      <c r="E642" s="20">
        <v>0.0</v>
      </c>
      <c r="F642" s="20">
        <v>20050.0</v>
      </c>
      <c r="G642" s="12" t="str">
        <f t="shared" si="3"/>
        <v>Deposit</v>
      </c>
      <c r="H642" s="12" t="str">
        <f>TEXT(Raw_Data!A648,"hh:mm:ss")
</f>
        <v>13:19:24</v>
      </c>
      <c r="I642" s="20">
        <f t="shared" si="4"/>
        <v>20050</v>
      </c>
    </row>
    <row r="643">
      <c r="A643" s="12" t="str">
        <f>Raw_Data!A649</f>
        <v>28 Mar 2025 13:19:31</v>
      </c>
      <c r="B643" s="12" t="str">
        <f t="shared" si="1"/>
        <v>March</v>
      </c>
      <c r="C643" s="12">
        <f t="shared" si="2"/>
        <v>3</v>
      </c>
      <c r="D643" s="12" t="str">
        <f>IFERROR(__xludf.DUMMYFUNCTION("IFERROR(IF(REGEXMATCH(LOWER(Raw_Data!C649),""fixed deposit|owealth|savings|target""),""Fixed Deposit"",IF(REGEXMATCH(LOWER(Raw_Data!C649),""airtime""),""Airtime"",IF(REGEXMATCH(LOWER(Raw_Data!C649),""electronic money transfer levy""),""Electronic Money Tr"&amp;"ansfer Levy"",IF(REGEXMATCH(LOWER(Raw_Data!C649),""transfer|trf|send""),""Transfer"",""Other"")))),""Other"")"),"Electronic Money Transfer Levy")</f>
        <v>Electronic Money Transfer Levy</v>
      </c>
      <c r="E643" s="20">
        <v>50.0</v>
      </c>
      <c r="F643" s="20">
        <v>0.0</v>
      </c>
      <c r="G643" s="12" t="str">
        <f t="shared" si="3"/>
        <v>Withdrawal</v>
      </c>
      <c r="H643" s="12" t="str">
        <f>TEXT(Raw_Data!A649,"hh:mm:ss")
</f>
        <v>13:19:31</v>
      </c>
      <c r="I643" s="20">
        <f t="shared" si="4"/>
        <v>50</v>
      </c>
    </row>
    <row r="644">
      <c r="A644" s="12" t="str">
        <f>Raw_Data!A650</f>
        <v>28 Mar 2025 14:41:32</v>
      </c>
      <c r="B644" s="12" t="str">
        <f t="shared" si="1"/>
        <v>March</v>
      </c>
      <c r="C644" s="12">
        <f t="shared" si="2"/>
        <v>3</v>
      </c>
      <c r="D644" s="12" t="str">
        <f>IFERROR(__xludf.DUMMYFUNCTION("IFERROR(IF(REGEXMATCH(LOWER(Raw_Data!C650),""fixed deposit|owealth|savings|target""),""Fixed Deposit"",IF(REGEXMATCH(LOWER(Raw_Data!C650),""airtime""),""Airtime"",IF(REGEXMATCH(LOWER(Raw_Data!C650),""electronic money transfer levy""),""Electronic Money Tr"&amp;"ansfer Levy"",IF(REGEXMATCH(LOWER(Raw_Data!C650),""transfer|trf|send""),""Transfer"",""Other"")))),""Other"")"),"Transfer")</f>
        <v>Transfer</v>
      </c>
      <c r="E644" s="20">
        <v>10000.0</v>
      </c>
      <c r="F644" s="20">
        <v>0.0</v>
      </c>
      <c r="G644" s="12" t="str">
        <f t="shared" si="3"/>
        <v>Withdrawal</v>
      </c>
      <c r="H644" s="12" t="str">
        <f>TEXT(Raw_Data!A650,"hh:mm:ss")
</f>
        <v>14:41:32</v>
      </c>
      <c r="I644" s="20">
        <f t="shared" si="4"/>
        <v>10000</v>
      </c>
    </row>
    <row r="645">
      <c r="A645" s="12" t="str">
        <f>Raw_Data!A651</f>
        <v>28 Mar 2025 16:39:38</v>
      </c>
      <c r="B645" s="12" t="str">
        <f t="shared" si="1"/>
        <v>March</v>
      </c>
      <c r="C645" s="12">
        <f t="shared" si="2"/>
        <v>3</v>
      </c>
      <c r="D645" s="12" t="str">
        <f>IFERROR(__xludf.DUMMYFUNCTION("IFERROR(IF(REGEXMATCH(LOWER(Raw_Data!C651),""fixed deposit|owealth|savings|target""),""Fixed Deposit"",IF(REGEXMATCH(LOWER(Raw_Data!C651),""airtime""),""Airtime"",IF(REGEXMATCH(LOWER(Raw_Data!C651),""electronic money transfer levy""),""Electronic Money Tr"&amp;"ansfer Levy"",IF(REGEXMATCH(LOWER(Raw_Data!C651),""transfer|trf|send""),""Transfer"",""Other"")))),""Other"")"),"Transfer")</f>
        <v>Transfer</v>
      </c>
      <c r="E645" s="20">
        <v>0.0</v>
      </c>
      <c r="F645" s="20">
        <v>500.0</v>
      </c>
      <c r="G645" s="12" t="str">
        <f t="shared" si="3"/>
        <v>Deposit</v>
      </c>
      <c r="H645" s="12" t="str">
        <f>TEXT(Raw_Data!A651,"hh:mm:ss")
</f>
        <v>16:39:38</v>
      </c>
      <c r="I645" s="20">
        <f t="shared" si="4"/>
        <v>500</v>
      </c>
    </row>
    <row r="646">
      <c r="A646" s="12" t="str">
        <f>Raw_Data!A652</f>
        <v>28 Mar 2025 17:35:37</v>
      </c>
      <c r="B646" s="12" t="str">
        <f t="shared" si="1"/>
        <v>March</v>
      </c>
      <c r="C646" s="12">
        <f t="shared" si="2"/>
        <v>3</v>
      </c>
      <c r="D646" s="12" t="str">
        <f>IFERROR(__xludf.DUMMYFUNCTION("IFERROR(IF(REGEXMATCH(LOWER(Raw_Data!C652),""fixed deposit|owealth|savings|target""),""Fixed Deposit"",IF(REGEXMATCH(LOWER(Raw_Data!C652),""airtime""),""Airtime"",IF(REGEXMATCH(LOWER(Raw_Data!C652),""electronic money transfer levy""),""Electronic Money Tr"&amp;"ansfer Levy"",IF(REGEXMATCH(LOWER(Raw_Data!C652),""transfer|trf|send""),""Transfer"",""Other"")))),""Other"")"),"Transfer")</f>
        <v>Transfer</v>
      </c>
      <c r="E646" s="20">
        <v>6100.0</v>
      </c>
      <c r="F646" s="20">
        <v>0.0</v>
      </c>
      <c r="G646" s="12" t="str">
        <f t="shared" si="3"/>
        <v>Withdrawal</v>
      </c>
      <c r="H646" s="12" t="str">
        <f>TEXT(Raw_Data!A652,"hh:mm:ss")
</f>
        <v>17:35:37</v>
      </c>
      <c r="I646" s="20">
        <f t="shared" si="4"/>
        <v>6100</v>
      </c>
    </row>
    <row r="647">
      <c r="A647" s="12" t="str">
        <f>Raw_Data!A653</f>
        <v>28 Mar 2025 17:38:59</v>
      </c>
      <c r="B647" s="12" t="str">
        <f t="shared" si="1"/>
        <v>March</v>
      </c>
      <c r="C647" s="12">
        <f t="shared" si="2"/>
        <v>3</v>
      </c>
      <c r="D647" s="12" t="str">
        <f>IFERROR(__xludf.DUMMYFUNCTION("IFERROR(IF(REGEXMATCH(LOWER(Raw_Data!C653),""fixed deposit|owealth|savings|target""),""Fixed Deposit"",IF(REGEXMATCH(LOWER(Raw_Data!C653),""airtime""),""Airtime"",IF(REGEXMATCH(LOWER(Raw_Data!C653),""electronic money transfer levy""),""Electronic Money Tr"&amp;"ansfer Levy"",IF(REGEXMATCH(LOWER(Raw_Data!C653),""transfer|trf|send""),""Transfer"",""Other"")))),""Other"")"),"Transfer")</f>
        <v>Transfer</v>
      </c>
      <c r="E647" s="20">
        <v>800.0</v>
      </c>
      <c r="F647" s="20">
        <v>0.0</v>
      </c>
      <c r="G647" s="12" t="str">
        <f t="shared" si="3"/>
        <v>Withdrawal</v>
      </c>
      <c r="H647" s="12" t="str">
        <f>TEXT(Raw_Data!A653,"hh:mm:ss")
</f>
        <v>17:38:59</v>
      </c>
      <c r="I647" s="20">
        <f t="shared" si="4"/>
        <v>800</v>
      </c>
    </row>
    <row r="648">
      <c r="A648" s="12" t="str">
        <f>Raw_Data!A654</f>
        <v>29 Mar 2025 06:38:20</v>
      </c>
      <c r="B648" s="12" t="str">
        <f t="shared" si="1"/>
        <v>March</v>
      </c>
      <c r="C648" s="12">
        <f t="shared" si="2"/>
        <v>3</v>
      </c>
      <c r="D648" s="12" t="str">
        <f>IFERROR(__xludf.DUMMYFUNCTION("IFERROR(IF(REGEXMATCH(LOWER(Raw_Data!C654),""fixed deposit|owealth|savings|target""),""Fixed Deposit"",IF(REGEXMATCH(LOWER(Raw_Data!C654),""airtime""),""Airtime"",IF(REGEXMATCH(LOWER(Raw_Data!C654),""electronic money transfer levy""),""Electronic Money Tr"&amp;"ansfer Levy"",IF(REGEXMATCH(LOWER(Raw_Data!C654),""transfer|trf|send""),""Transfer"",""Other"")))),""Other"")"),"Transfer")</f>
        <v>Transfer</v>
      </c>
      <c r="E648" s="20">
        <v>4000.0</v>
      </c>
      <c r="F648" s="20">
        <v>0.0</v>
      </c>
      <c r="G648" s="12" t="str">
        <f t="shared" si="3"/>
        <v>Withdrawal</v>
      </c>
      <c r="H648" s="12" t="str">
        <f>TEXT(Raw_Data!A654,"hh:mm:ss")
</f>
        <v>06:38:20</v>
      </c>
      <c r="I648" s="20">
        <f t="shared" si="4"/>
        <v>4000</v>
      </c>
    </row>
    <row r="649">
      <c r="A649" s="12" t="str">
        <f>Raw_Data!A655</f>
        <v>29 Mar 2025 17:00:56</v>
      </c>
      <c r="B649" s="12" t="str">
        <f t="shared" si="1"/>
        <v>March</v>
      </c>
      <c r="C649" s="12">
        <f t="shared" si="2"/>
        <v>3</v>
      </c>
      <c r="D649" s="12" t="str">
        <f>IFERROR(__xludf.DUMMYFUNCTION("IFERROR(IF(REGEXMATCH(LOWER(Raw_Data!C655),""fixed deposit|owealth|savings|target""),""Fixed Deposit"",IF(REGEXMATCH(LOWER(Raw_Data!C655),""airtime""),""Airtime"",IF(REGEXMATCH(LOWER(Raw_Data!C655),""electronic money transfer levy""),""Electronic Money Tr"&amp;"ansfer Levy"",IF(REGEXMATCH(LOWER(Raw_Data!C655),""transfer|trf|send""),""Transfer"",""Other"")))),""Other"")"),"Airtime")</f>
        <v>Airtime</v>
      </c>
      <c r="E649" s="20">
        <v>200.0</v>
      </c>
      <c r="F649" s="20">
        <v>0.0</v>
      </c>
      <c r="G649" s="12" t="str">
        <f t="shared" si="3"/>
        <v>Withdrawal</v>
      </c>
      <c r="H649" s="12" t="str">
        <f>TEXT(Raw_Data!A655,"hh:mm:ss")
</f>
        <v>17:00:56</v>
      </c>
      <c r="I649" s="20">
        <f t="shared" si="4"/>
        <v>200</v>
      </c>
    </row>
    <row r="650">
      <c r="A650" s="12" t="str">
        <f>Raw_Data!A656</f>
        <v>29 Mar 2025 19:28:19</v>
      </c>
      <c r="B650" s="12" t="str">
        <f t="shared" si="1"/>
        <v>March</v>
      </c>
      <c r="C650" s="12">
        <f t="shared" si="2"/>
        <v>3</v>
      </c>
      <c r="D650" s="12" t="str">
        <f>IFERROR(__xludf.DUMMYFUNCTION("IFERROR(IF(REGEXMATCH(LOWER(Raw_Data!C656),""fixed deposit|owealth|savings|target""),""Fixed Deposit"",IF(REGEXMATCH(LOWER(Raw_Data!C656),""airtime""),""Airtime"",IF(REGEXMATCH(LOWER(Raw_Data!C656),""electronic money transfer levy""),""Electronic Money Tr"&amp;"ansfer Levy"",IF(REGEXMATCH(LOWER(Raw_Data!C656),""transfer|trf|send""),""Transfer"",""Other"")))),""Other"")"),"Transfer")</f>
        <v>Transfer</v>
      </c>
      <c r="E650" s="20">
        <v>900.0</v>
      </c>
      <c r="F650" s="20">
        <v>0.0</v>
      </c>
      <c r="G650" s="12" t="str">
        <f t="shared" si="3"/>
        <v>Withdrawal</v>
      </c>
      <c r="H650" s="12" t="str">
        <f>TEXT(Raw_Data!A656,"hh:mm:ss")
</f>
        <v>19:28:19</v>
      </c>
      <c r="I650" s="20">
        <f t="shared" si="4"/>
        <v>900</v>
      </c>
    </row>
    <row r="651">
      <c r="A651" s="12" t="str">
        <f>Raw_Data!A657</f>
        <v>29 Mar 2025 19:39:09</v>
      </c>
      <c r="B651" s="12" t="str">
        <f t="shared" si="1"/>
        <v>March</v>
      </c>
      <c r="C651" s="12">
        <f t="shared" si="2"/>
        <v>3</v>
      </c>
      <c r="D651" s="12" t="str">
        <f>IFERROR(__xludf.DUMMYFUNCTION("IFERROR(IF(REGEXMATCH(LOWER(Raw_Data!C657),""fixed deposit|owealth|savings|target""),""Fixed Deposit"",IF(REGEXMATCH(LOWER(Raw_Data!C657),""airtime""),""Airtime"",IF(REGEXMATCH(LOWER(Raw_Data!C657),""electronic money transfer levy""),""Electronic Money Tr"&amp;"ansfer Levy"",IF(REGEXMATCH(LOWER(Raw_Data!C657),""transfer|trf|send""),""Transfer"",""Other"")))),""Other"")"),"Transfer")</f>
        <v>Transfer</v>
      </c>
      <c r="E651" s="20">
        <v>0.0</v>
      </c>
      <c r="F651" s="20">
        <v>400.0</v>
      </c>
      <c r="G651" s="12" t="str">
        <f t="shared" si="3"/>
        <v>Deposit</v>
      </c>
      <c r="H651" s="12" t="str">
        <f>TEXT(Raw_Data!A657,"hh:mm:ss")
</f>
        <v>19:39:09</v>
      </c>
      <c r="I651" s="20">
        <f t="shared" si="4"/>
        <v>400</v>
      </c>
    </row>
    <row r="652">
      <c r="A652" s="12" t="str">
        <f>Raw_Data!A658</f>
        <v>30 Mar 2025 06:59:53</v>
      </c>
      <c r="B652" s="12" t="str">
        <f t="shared" si="1"/>
        <v>March</v>
      </c>
      <c r="C652" s="12">
        <f t="shared" si="2"/>
        <v>3</v>
      </c>
      <c r="D652" s="12" t="str">
        <f>IFERROR(__xludf.DUMMYFUNCTION("IFERROR(IF(REGEXMATCH(LOWER(Raw_Data!C658),""fixed deposit|owealth|savings|target""),""Fixed Deposit"",IF(REGEXMATCH(LOWER(Raw_Data!C658),""airtime""),""Airtime"",IF(REGEXMATCH(LOWER(Raw_Data!C658),""electronic money transfer levy""),""Electronic Money Tr"&amp;"ansfer Levy"",IF(REGEXMATCH(LOWER(Raw_Data!C658),""transfer|trf|send""),""Transfer"",""Other"")))),""Other"")"),"Airtime")</f>
        <v>Airtime</v>
      </c>
      <c r="E652" s="20">
        <v>500.0</v>
      </c>
      <c r="F652" s="20">
        <v>0.0</v>
      </c>
      <c r="G652" s="12" t="str">
        <f t="shared" si="3"/>
        <v>Withdrawal</v>
      </c>
      <c r="H652" s="12" t="str">
        <f>TEXT(Raw_Data!A658,"hh:mm:ss")
</f>
        <v>06:59:53</v>
      </c>
      <c r="I652" s="20">
        <f t="shared" si="4"/>
        <v>500</v>
      </c>
    </row>
    <row r="653">
      <c r="A653" s="12" t="str">
        <f>Raw_Data!A659</f>
        <v>30 Mar 2025 13:27:53</v>
      </c>
      <c r="B653" s="12" t="str">
        <f t="shared" si="1"/>
        <v>March</v>
      </c>
      <c r="C653" s="12">
        <f t="shared" si="2"/>
        <v>3</v>
      </c>
      <c r="D653" s="12" t="str">
        <f>IFERROR(__xludf.DUMMYFUNCTION("IFERROR(IF(REGEXMATCH(LOWER(Raw_Data!C659),""fixed deposit|owealth|savings|target""),""Fixed Deposit"",IF(REGEXMATCH(LOWER(Raw_Data!C659),""airtime""),""Airtime"",IF(REGEXMATCH(LOWER(Raw_Data!C659),""electronic money transfer levy""),""Electronic Money Tr"&amp;"ansfer Levy"",IF(REGEXMATCH(LOWER(Raw_Data!C659),""transfer|trf|send""),""Transfer"",""Other"")))),""Other"")"),"Transfer")</f>
        <v>Transfer</v>
      </c>
      <c r="E653" s="20">
        <v>5000.0</v>
      </c>
      <c r="F653" s="20">
        <v>0.0</v>
      </c>
      <c r="G653" s="12" t="str">
        <f t="shared" si="3"/>
        <v>Withdrawal</v>
      </c>
      <c r="H653" s="12" t="str">
        <f>TEXT(Raw_Data!A659,"hh:mm:ss")
</f>
        <v>13:27:53</v>
      </c>
      <c r="I653" s="20">
        <f t="shared" si="4"/>
        <v>5000</v>
      </c>
    </row>
    <row r="654">
      <c r="A654" s="12" t="str">
        <f>Raw_Data!A660</f>
        <v>30 Mar 2025 18:31:40</v>
      </c>
      <c r="B654" s="12" t="str">
        <f t="shared" si="1"/>
        <v>March</v>
      </c>
      <c r="C654" s="12">
        <f t="shared" si="2"/>
        <v>3</v>
      </c>
      <c r="D654" s="12" t="str">
        <f>IFERROR(__xludf.DUMMYFUNCTION("IFERROR(IF(REGEXMATCH(LOWER(Raw_Data!C660),""fixed deposit|owealth|savings|target""),""Fixed Deposit"",IF(REGEXMATCH(LOWER(Raw_Data!C660),""airtime""),""Airtime"",IF(REGEXMATCH(LOWER(Raw_Data!C660),""electronic money transfer levy""),""Electronic Money Tr"&amp;"ansfer Levy"",IF(REGEXMATCH(LOWER(Raw_Data!C660),""transfer|trf|send""),""Transfer"",""Other"")))),""Other"")"),"Transfer")</f>
        <v>Transfer</v>
      </c>
      <c r="E654" s="20">
        <v>0.0</v>
      </c>
      <c r="F654" s="20">
        <v>5000.0</v>
      </c>
      <c r="G654" s="12" t="str">
        <f t="shared" si="3"/>
        <v>Deposit</v>
      </c>
      <c r="H654" s="12" t="str">
        <f>TEXT(Raw_Data!A660,"hh:mm:ss")
</f>
        <v>18:31:40</v>
      </c>
      <c r="I654" s="20">
        <f t="shared" si="4"/>
        <v>5000</v>
      </c>
    </row>
    <row r="655">
      <c r="A655" s="12" t="str">
        <f>Raw_Data!A661</f>
        <v>31 Mar 2025 11:02:52</v>
      </c>
      <c r="B655" s="12" t="str">
        <f t="shared" si="1"/>
        <v>March</v>
      </c>
      <c r="C655" s="12">
        <f t="shared" si="2"/>
        <v>3</v>
      </c>
      <c r="D655" s="12" t="str">
        <f>IFERROR(__xludf.DUMMYFUNCTION("IFERROR(IF(REGEXMATCH(LOWER(Raw_Data!C661),""fixed deposit|owealth|savings|target""),""Fixed Deposit"",IF(REGEXMATCH(LOWER(Raw_Data!C661),""airtime""),""Airtime"",IF(REGEXMATCH(LOWER(Raw_Data!C661),""electronic money transfer levy""),""Electronic Money Tr"&amp;"ansfer Levy"",IF(REGEXMATCH(LOWER(Raw_Data!C661),""transfer|trf|send""),""Transfer"",""Other"")))),""Other"")"),"Other")</f>
        <v>Other</v>
      </c>
      <c r="E655" s="20">
        <v>801.0</v>
      </c>
      <c r="F655" s="20">
        <v>0.0</v>
      </c>
      <c r="G655" s="12" t="str">
        <f t="shared" si="3"/>
        <v>Withdrawal</v>
      </c>
      <c r="H655" s="12" t="str">
        <f>TEXT(Raw_Data!A661,"hh:mm:ss")
</f>
        <v>11:02:52</v>
      </c>
      <c r="I655" s="20">
        <f t="shared" si="4"/>
        <v>801</v>
      </c>
    </row>
    <row r="656">
      <c r="A656" s="12" t="str">
        <f>Raw_Data!A662</f>
        <v>31 Mar 2025 11:16:48</v>
      </c>
      <c r="B656" s="12" t="str">
        <f t="shared" si="1"/>
        <v>March</v>
      </c>
      <c r="C656" s="12">
        <f t="shared" si="2"/>
        <v>3</v>
      </c>
      <c r="D656" s="12" t="str">
        <f>IFERROR(__xludf.DUMMYFUNCTION("IFERROR(IF(REGEXMATCH(LOWER(Raw_Data!C662),""fixed deposit|owealth|savings|target""),""Fixed Deposit"",IF(REGEXMATCH(LOWER(Raw_Data!C662),""airtime""),""Airtime"",IF(REGEXMATCH(LOWER(Raw_Data!C662),""electronic money transfer levy""),""Electronic Money Tr"&amp;"ansfer Levy"",IF(REGEXMATCH(LOWER(Raw_Data!C662),""transfer|trf|send""),""Transfer"",""Other"")))),""Other"")"),"Transfer")</f>
        <v>Transfer</v>
      </c>
      <c r="E656" s="20">
        <v>2500.0</v>
      </c>
      <c r="F656" s="20">
        <v>0.0</v>
      </c>
      <c r="G656" s="12" t="str">
        <f t="shared" si="3"/>
        <v>Withdrawal</v>
      </c>
      <c r="H656" s="12" t="str">
        <f>TEXT(Raw_Data!A662,"hh:mm:ss")
</f>
        <v>11:16:48</v>
      </c>
      <c r="I656" s="20">
        <f t="shared" si="4"/>
        <v>2500</v>
      </c>
    </row>
    <row r="657">
      <c r="A657" s="12" t="str">
        <f>Raw_Data!A663</f>
        <v>01 Apr 2025 09:43:47</v>
      </c>
      <c r="B657" s="12" t="str">
        <f t="shared" si="1"/>
        <v>April</v>
      </c>
      <c r="C657" s="12">
        <f t="shared" si="2"/>
        <v>4</v>
      </c>
      <c r="D657" s="12" t="str">
        <f>IFERROR(__xludf.DUMMYFUNCTION("IFERROR(IF(REGEXMATCH(LOWER(Raw_Data!C663),""fixed deposit|owealth|savings|target""),""Fixed Deposit"",IF(REGEXMATCH(LOWER(Raw_Data!C663),""airtime""),""Airtime"",IF(REGEXMATCH(LOWER(Raw_Data!C663),""electronic money transfer levy""),""Electronic Money Tr"&amp;"ansfer Levy"",IF(REGEXMATCH(LOWER(Raw_Data!C663),""transfer|trf|send""),""Transfer"",""Other"")))),""Other"")"),"Transfer")</f>
        <v>Transfer</v>
      </c>
      <c r="E657" s="20">
        <v>900.0</v>
      </c>
      <c r="F657" s="20">
        <v>0.0</v>
      </c>
      <c r="G657" s="12" t="str">
        <f t="shared" si="3"/>
        <v>Withdrawal</v>
      </c>
      <c r="H657" s="12" t="str">
        <f>TEXT(Raw_Data!A663,"hh:mm:ss")
</f>
        <v>09:43:47</v>
      </c>
      <c r="I657" s="20">
        <f t="shared" si="4"/>
        <v>900</v>
      </c>
    </row>
    <row r="658">
      <c r="A658" s="12" t="str">
        <f>Raw_Data!A664</f>
        <v>01 Apr 2025 13:53:28</v>
      </c>
      <c r="B658" s="12" t="str">
        <f t="shared" si="1"/>
        <v>April</v>
      </c>
      <c r="C658" s="12">
        <f t="shared" si="2"/>
        <v>4</v>
      </c>
      <c r="D658" s="12" t="str">
        <f>IFERROR(__xludf.DUMMYFUNCTION("IFERROR(IF(REGEXMATCH(LOWER(Raw_Data!C664),""fixed deposit|owealth|savings|target""),""Fixed Deposit"",IF(REGEXMATCH(LOWER(Raw_Data!C664),""airtime""),""Airtime"",IF(REGEXMATCH(LOWER(Raw_Data!C664),""electronic money transfer levy""),""Electronic Money Tr"&amp;"ansfer Levy"",IF(REGEXMATCH(LOWER(Raw_Data!C664),""transfer|trf|send""),""Transfer"",""Other"")))),""Other"")"),"Transfer")</f>
        <v>Transfer</v>
      </c>
      <c r="E658" s="20">
        <v>500.0</v>
      </c>
      <c r="F658" s="20">
        <v>0.0</v>
      </c>
      <c r="G658" s="12" t="str">
        <f t="shared" si="3"/>
        <v>Withdrawal</v>
      </c>
      <c r="H658" s="12" t="str">
        <f>TEXT(Raw_Data!A664,"hh:mm:ss")
</f>
        <v>13:53:28</v>
      </c>
      <c r="I658" s="20">
        <f t="shared" si="4"/>
        <v>500</v>
      </c>
    </row>
    <row r="659">
      <c r="A659" s="12" t="str">
        <f>Raw_Data!A665</f>
        <v>02 Apr 2025 11:09:04</v>
      </c>
      <c r="B659" s="12" t="str">
        <f t="shared" si="1"/>
        <v>April</v>
      </c>
      <c r="C659" s="12">
        <f t="shared" si="2"/>
        <v>4</v>
      </c>
      <c r="D659" s="12" t="str">
        <f>IFERROR(__xludf.DUMMYFUNCTION("IFERROR(IF(REGEXMATCH(LOWER(Raw_Data!C665),""fixed deposit|owealth|savings|target""),""Fixed Deposit"",IF(REGEXMATCH(LOWER(Raw_Data!C665),""airtime""),""Airtime"",IF(REGEXMATCH(LOWER(Raw_Data!C665),""electronic money transfer levy""),""Electronic Money Tr"&amp;"ansfer Levy"",IF(REGEXMATCH(LOWER(Raw_Data!C665),""transfer|trf|send""),""Transfer"",""Other"")))),""Other"")"),"Transfer")</f>
        <v>Transfer</v>
      </c>
      <c r="E659" s="20">
        <v>1500.0</v>
      </c>
      <c r="F659" s="20">
        <v>0.0</v>
      </c>
      <c r="G659" s="12" t="str">
        <f t="shared" si="3"/>
        <v>Withdrawal</v>
      </c>
      <c r="H659" s="12" t="str">
        <f>TEXT(Raw_Data!A665,"hh:mm:ss")
</f>
        <v>11:09:04</v>
      </c>
      <c r="I659" s="20">
        <f t="shared" si="4"/>
        <v>1500</v>
      </c>
    </row>
    <row r="660">
      <c r="A660" s="12" t="str">
        <f>Raw_Data!A666</f>
        <v>02 Apr 2025 17:18:33</v>
      </c>
      <c r="B660" s="12" t="str">
        <f t="shared" si="1"/>
        <v>April</v>
      </c>
      <c r="C660" s="12">
        <f t="shared" si="2"/>
        <v>4</v>
      </c>
      <c r="D660" s="12" t="str">
        <f>IFERROR(__xludf.DUMMYFUNCTION("IFERROR(IF(REGEXMATCH(LOWER(Raw_Data!C666),""fixed deposit|owealth|savings|target""),""Fixed Deposit"",IF(REGEXMATCH(LOWER(Raw_Data!C666),""airtime""),""Airtime"",IF(REGEXMATCH(LOWER(Raw_Data!C666),""electronic money transfer levy""),""Electronic Money Tr"&amp;"ansfer Levy"",IF(REGEXMATCH(LOWER(Raw_Data!C666),""transfer|trf|send""),""Transfer"",""Other"")))),""Other"")"),"Transfer")</f>
        <v>Transfer</v>
      </c>
      <c r="E660" s="20">
        <v>1000.0</v>
      </c>
      <c r="F660" s="20">
        <v>0.0</v>
      </c>
      <c r="G660" s="12" t="str">
        <f t="shared" si="3"/>
        <v>Withdrawal</v>
      </c>
      <c r="H660" s="12" t="str">
        <f>TEXT(Raw_Data!A666,"hh:mm:ss")
</f>
        <v>17:18:33</v>
      </c>
      <c r="I660" s="20">
        <f t="shared" si="4"/>
        <v>1000</v>
      </c>
    </row>
    <row r="661">
      <c r="A661" s="12" t="str">
        <f>Raw_Data!A667</f>
        <v>02 Apr 2025 18:09:38</v>
      </c>
      <c r="B661" s="12" t="str">
        <f t="shared" si="1"/>
        <v>April</v>
      </c>
      <c r="C661" s="12">
        <f t="shared" si="2"/>
        <v>4</v>
      </c>
      <c r="D661" s="12" t="str">
        <f>IFERROR(__xludf.DUMMYFUNCTION("IFERROR(IF(REGEXMATCH(LOWER(Raw_Data!C667),""fixed deposit|owealth|savings|target""),""Fixed Deposit"",IF(REGEXMATCH(LOWER(Raw_Data!C667),""airtime""),""Airtime"",IF(REGEXMATCH(LOWER(Raw_Data!C667),""electronic money transfer levy""),""Electronic Money Tr"&amp;"ansfer Levy"",IF(REGEXMATCH(LOWER(Raw_Data!C667),""transfer|trf|send""),""Transfer"",""Other"")))),""Other"")"),"Transfer")</f>
        <v>Transfer</v>
      </c>
      <c r="E661" s="20">
        <v>1000.0</v>
      </c>
      <c r="F661" s="20">
        <v>0.0</v>
      </c>
      <c r="G661" s="12" t="str">
        <f t="shared" si="3"/>
        <v>Withdrawal</v>
      </c>
      <c r="H661" s="12" t="str">
        <f>TEXT(Raw_Data!A667,"hh:mm:ss")
</f>
        <v>18:09:38</v>
      </c>
      <c r="I661" s="20">
        <f t="shared" si="4"/>
        <v>1000</v>
      </c>
    </row>
    <row r="662">
      <c r="A662" s="12" t="str">
        <f>Raw_Data!A668</f>
        <v>03 Apr 2025 10:19:43</v>
      </c>
      <c r="B662" s="12" t="str">
        <f t="shared" si="1"/>
        <v>April</v>
      </c>
      <c r="C662" s="12">
        <f t="shared" si="2"/>
        <v>4</v>
      </c>
      <c r="D662" s="12" t="str">
        <f>IFERROR(__xludf.DUMMYFUNCTION("IFERROR(IF(REGEXMATCH(LOWER(Raw_Data!C668),""fixed deposit|owealth|savings|target""),""Fixed Deposit"",IF(REGEXMATCH(LOWER(Raw_Data!C668),""airtime""),""Airtime"",IF(REGEXMATCH(LOWER(Raw_Data!C668),""electronic money transfer levy""),""Electronic Money Tr"&amp;"ansfer Levy"",IF(REGEXMATCH(LOWER(Raw_Data!C668),""transfer|trf|send""),""Transfer"",""Other"")))),""Other"")"),"Transfer")</f>
        <v>Transfer</v>
      </c>
      <c r="E662" s="20">
        <v>0.0</v>
      </c>
      <c r="F662" s="20">
        <v>1000.0</v>
      </c>
      <c r="G662" s="12" t="str">
        <f t="shared" si="3"/>
        <v>Deposit</v>
      </c>
      <c r="H662" s="12" t="str">
        <f>TEXT(Raw_Data!A668,"hh:mm:ss")
</f>
        <v>10:19:43</v>
      </c>
      <c r="I662" s="20">
        <f t="shared" si="4"/>
        <v>1000</v>
      </c>
    </row>
    <row r="663">
      <c r="A663" s="12" t="str">
        <f>Raw_Data!A669</f>
        <v>03 Apr 2025 10:20:19</v>
      </c>
      <c r="B663" s="12" t="str">
        <f t="shared" si="1"/>
        <v>April</v>
      </c>
      <c r="C663" s="12">
        <f t="shared" si="2"/>
        <v>4</v>
      </c>
      <c r="D663" s="12" t="str">
        <f>IFERROR(__xludf.DUMMYFUNCTION("IFERROR(IF(REGEXMATCH(LOWER(Raw_Data!C669),""fixed deposit|owealth|savings|target""),""Fixed Deposit"",IF(REGEXMATCH(LOWER(Raw_Data!C669),""airtime""),""Airtime"",IF(REGEXMATCH(LOWER(Raw_Data!C669),""electronic money transfer levy""),""Electronic Money Tr"&amp;"ansfer Levy"",IF(REGEXMATCH(LOWER(Raw_Data!C669),""transfer|trf|send""),""Transfer"",""Other"")))),""Other"")"),"Transfer")</f>
        <v>Transfer</v>
      </c>
      <c r="E663" s="20">
        <v>1000.0</v>
      </c>
      <c r="F663" s="20">
        <v>0.0</v>
      </c>
      <c r="G663" s="12" t="str">
        <f t="shared" si="3"/>
        <v>Withdrawal</v>
      </c>
      <c r="H663" s="12" t="str">
        <f>TEXT(Raw_Data!A669,"hh:mm:ss")
</f>
        <v>10:20:19</v>
      </c>
      <c r="I663" s="20">
        <f t="shared" si="4"/>
        <v>1000</v>
      </c>
    </row>
    <row r="664">
      <c r="A664" s="12" t="str">
        <f>Raw_Data!A670</f>
        <v>04 Apr 2025 05:29:03</v>
      </c>
      <c r="B664" s="12" t="str">
        <f t="shared" si="1"/>
        <v>April</v>
      </c>
      <c r="C664" s="12">
        <f t="shared" si="2"/>
        <v>4</v>
      </c>
      <c r="D664" s="12" t="str">
        <f>IFERROR(__xludf.DUMMYFUNCTION("IFERROR(IF(REGEXMATCH(LOWER(Raw_Data!C670),""fixed deposit|owealth|savings|target""),""Fixed Deposit"",IF(REGEXMATCH(LOWER(Raw_Data!C670),""airtime""),""Airtime"",IF(REGEXMATCH(LOWER(Raw_Data!C670),""electronic money transfer levy""),""Electronic Money Tr"&amp;"ansfer Levy"",IF(REGEXMATCH(LOWER(Raw_Data!C670),""transfer|trf|send""),""Transfer"",""Other"")))),""Other"")"),"Transfer")</f>
        <v>Transfer</v>
      </c>
      <c r="E664" s="20">
        <v>0.0</v>
      </c>
      <c r="F664" s="20">
        <v>5000.0</v>
      </c>
      <c r="G664" s="12" t="str">
        <f t="shared" si="3"/>
        <v>Deposit</v>
      </c>
      <c r="H664" s="12" t="str">
        <f>TEXT(Raw_Data!A670,"hh:mm:ss")
</f>
        <v>05:29:03</v>
      </c>
      <c r="I664" s="20">
        <f t="shared" si="4"/>
        <v>5000</v>
      </c>
    </row>
    <row r="665">
      <c r="A665" s="12" t="str">
        <f>Raw_Data!A671</f>
        <v>04 Apr 2025 10:07:59</v>
      </c>
      <c r="B665" s="12" t="str">
        <f t="shared" si="1"/>
        <v>April</v>
      </c>
      <c r="C665" s="12">
        <f t="shared" si="2"/>
        <v>4</v>
      </c>
      <c r="D665" s="12" t="str">
        <f>IFERROR(__xludf.DUMMYFUNCTION("IFERROR(IF(REGEXMATCH(LOWER(Raw_Data!C671),""fixed deposit|owealth|savings|target""),""Fixed Deposit"",IF(REGEXMATCH(LOWER(Raw_Data!C671),""airtime""),""Airtime"",IF(REGEXMATCH(LOWER(Raw_Data!C671),""electronic money transfer levy""),""Electronic Money Tr"&amp;"ansfer Levy"",IF(REGEXMATCH(LOWER(Raw_Data!C671),""transfer|trf|send""),""Transfer"",""Other"")))),""Other"")"),"Transfer")</f>
        <v>Transfer</v>
      </c>
      <c r="E665" s="20">
        <v>0.0</v>
      </c>
      <c r="F665" s="20">
        <v>800.0</v>
      </c>
      <c r="G665" s="12" t="str">
        <f t="shared" si="3"/>
        <v>Deposit</v>
      </c>
      <c r="H665" s="12" t="str">
        <f>TEXT(Raw_Data!A671,"hh:mm:ss")
</f>
        <v>10:07:59</v>
      </c>
      <c r="I665" s="20">
        <f t="shared" si="4"/>
        <v>800</v>
      </c>
    </row>
    <row r="666">
      <c r="A666" s="12" t="str">
        <f>Raw_Data!A672</f>
        <v>04 Apr 2025 11:49:33</v>
      </c>
      <c r="B666" s="12" t="str">
        <f t="shared" si="1"/>
        <v>April</v>
      </c>
      <c r="C666" s="12">
        <f t="shared" si="2"/>
        <v>4</v>
      </c>
      <c r="D666" s="12" t="str">
        <f>IFERROR(__xludf.DUMMYFUNCTION("IFERROR(IF(REGEXMATCH(LOWER(Raw_Data!C672),""fixed deposit|owealth|savings|target""),""Fixed Deposit"",IF(REGEXMATCH(LOWER(Raw_Data!C672),""airtime""),""Airtime"",IF(REGEXMATCH(LOWER(Raw_Data!C672),""electronic money transfer levy""),""Electronic Money Tr"&amp;"ansfer Levy"",IF(REGEXMATCH(LOWER(Raw_Data!C672),""transfer|trf|send""),""Transfer"",""Other"")))),""Other"")"),"Transfer")</f>
        <v>Transfer</v>
      </c>
      <c r="E666" s="20">
        <v>800.0</v>
      </c>
      <c r="F666" s="20">
        <v>0.0</v>
      </c>
      <c r="G666" s="12" t="str">
        <f t="shared" si="3"/>
        <v>Withdrawal</v>
      </c>
      <c r="H666" s="12" t="str">
        <f>TEXT(Raw_Data!A672,"hh:mm:ss")
</f>
        <v>11:49:33</v>
      </c>
      <c r="I666" s="20">
        <f t="shared" si="4"/>
        <v>800</v>
      </c>
    </row>
    <row r="667">
      <c r="A667" s="12" t="str">
        <f>Raw_Data!A673</f>
        <v>04 Apr 2025 13:37:29</v>
      </c>
      <c r="B667" s="12" t="str">
        <f t="shared" si="1"/>
        <v>April</v>
      </c>
      <c r="C667" s="12">
        <f t="shared" si="2"/>
        <v>4</v>
      </c>
      <c r="D667" s="12" t="str">
        <f>IFERROR(__xludf.DUMMYFUNCTION("IFERROR(IF(REGEXMATCH(LOWER(Raw_Data!C673),""fixed deposit|owealth|savings|target""),""Fixed Deposit"",IF(REGEXMATCH(LOWER(Raw_Data!C673),""airtime""),""Airtime"",IF(REGEXMATCH(LOWER(Raw_Data!C673),""electronic money transfer levy""),""Electronic Money Tr"&amp;"ansfer Levy"",IF(REGEXMATCH(LOWER(Raw_Data!C673),""transfer|trf|send""),""Transfer"",""Other"")))),""Other"")"),"Transfer")</f>
        <v>Transfer</v>
      </c>
      <c r="E667" s="20">
        <v>0.0</v>
      </c>
      <c r="F667" s="20">
        <v>3000.0</v>
      </c>
      <c r="G667" s="12" t="str">
        <f t="shared" si="3"/>
        <v>Deposit</v>
      </c>
      <c r="H667" s="12" t="str">
        <f>TEXT(Raw_Data!A673,"hh:mm:ss")
</f>
        <v>13:37:29</v>
      </c>
      <c r="I667" s="20">
        <f t="shared" si="4"/>
        <v>3000</v>
      </c>
    </row>
    <row r="668">
      <c r="A668" s="12" t="str">
        <f>Raw_Data!A674</f>
        <v>04 Apr 2025 13:37:56</v>
      </c>
      <c r="B668" s="12" t="str">
        <f t="shared" si="1"/>
        <v>April</v>
      </c>
      <c r="C668" s="12">
        <f t="shared" si="2"/>
        <v>4</v>
      </c>
      <c r="D668" s="12" t="str">
        <f>IFERROR(__xludf.DUMMYFUNCTION("IFERROR(IF(REGEXMATCH(LOWER(Raw_Data!C674),""fixed deposit|owealth|savings|target""),""Fixed Deposit"",IF(REGEXMATCH(LOWER(Raw_Data!C674),""airtime""),""Airtime"",IF(REGEXMATCH(LOWER(Raw_Data!C674),""electronic money transfer levy""),""Electronic Money Tr"&amp;"ansfer Levy"",IF(REGEXMATCH(LOWER(Raw_Data!C674),""transfer|trf|send""),""Transfer"",""Other"")))),""Other"")"),"Transfer")</f>
        <v>Transfer</v>
      </c>
      <c r="E668" s="20">
        <v>6100.0</v>
      </c>
      <c r="F668" s="20">
        <v>0.0</v>
      </c>
      <c r="G668" s="12" t="str">
        <f t="shared" si="3"/>
        <v>Withdrawal</v>
      </c>
      <c r="H668" s="12" t="str">
        <f>TEXT(Raw_Data!A674,"hh:mm:ss")
</f>
        <v>13:37:56</v>
      </c>
      <c r="I668" s="20">
        <f t="shared" si="4"/>
        <v>6100</v>
      </c>
    </row>
    <row r="669">
      <c r="A669" s="12" t="str">
        <f>Raw_Data!A675</f>
        <v>05 Apr 2025 05:58:13</v>
      </c>
      <c r="B669" s="12" t="str">
        <f t="shared" si="1"/>
        <v>April</v>
      </c>
      <c r="C669" s="12">
        <f t="shared" si="2"/>
        <v>4</v>
      </c>
      <c r="D669" s="12" t="str">
        <f>IFERROR(__xludf.DUMMYFUNCTION("IFERROR(IF(REGEXMATCH(LOWER(Raw_Data!C675),""fixed deposit|owealth|savings|target""),""Fixed Deposit"",IF(REGEXMATCH(LOWER(Raw_Data!C675),""airtime""),""Airtime"",IF(REGEXMATCH(LOWER(Raw_Data!C675),""electronic money transfer levy""),""Electronic Money Tr"&amp;"ansfer Levy"",IF(REGEXMATCH(LOWER(Raw_Data!C675),""transfer|trf|send""),""Transfer"",""Other"")))),""Other"")"),"Airtime")</f>
        <v>Airtime</v>
      </c>
      <c r="E669" s="20">
        <v>500.0</v>
      </c>
      <c r="F669" s="20">
        <v>0.0</v>
      </c>
      <c r="G669" s="12" t="str">
        <f t="shared" si="3"/>
        <v>Withdrawal</v>
      </c>
      <c r="H669" s="12" t="str">
        <f>TEXT(Raw_Data!A675,"hh:mm:ss")
</f>
        <v>05:58:13</v>
      </c>
      <c r="I669" s="20">
        <f t="shared" si="4"/>
        <v>500</v>
      </c>
    </row>
    <row r="670">
      <c r="A670" s="12" t="str">
        <f>Raw_Data!A676</f>
        <v>05 Apr 2025 07:12:55</v>
      </c>
      <c r="B670" s="12" t="str">
        <f t="shared" si="1"/>
        <v>April</v>
      </c>
      <c r="C670" s="12">
        <f t="shared" si="2"/>
        <v>4</v>
      </c>
      <c r="D670" s="12" t="str">
        <f>IFERROR(__xludf.DUMMYFUNCTION("IFERROR(IF(REGEXMATCH(LOWER(Raw_Data!C676),""fixed deposit|owealth|savings|target""),""Fixed Deposit"",IF(REGEXMATCH(LOWER(Raw_Data!C676),""airtime""),""Airtime"",IF(REGEXMATCH(LOWER(Raw_Data!C676),""electronic money transfer levy""),""Electronic Money Tr"&amp;"ansfer Levy"",IF(REGEXMATCH(LOWER(Raw_Data!C676),""transfer|trf|send""),""Transfer"",""Other"")))),""Other"")"),"Transfer")</f>
        <v>Transfer</v>
      </c>
      <c r="E670" s="20">
        <v>1150.0</v>
      </c>
      <c r="F670" s="20">
        <v>0.0</v>
      </c>
      <c r="G670" s="12" t="str">
        <f t="shared" si="3"/>
        <v>Withdrawal</v>
      </c>
      <c r="H670" s="12" t="str">
        <f>TEXT(Raw_Data!A676,"hh:mm:ss")
</f>
        <v>07:12:55</v>
      </c>
      <c r="I670" s="20">
        <f t="shared" si="4"/>
        <v>1150</v>
      </c>
    </row>
    <row r="671">
      <c r="A671" s="12" t="str">
        <f>Raw_Data!A677</f>
        <v>05 Apr 2025 12:41:46</v>
      </c>
      <c r="B671" s="12" t="str">
        <f t="shared" si="1"/>
        <v>April</v>
      </c>
      <c r="C671" s="12">
        <f t="shared" si="2"/>
        <v>4</v>
      </c>
      <c r="D671" s="12" t="str">
        <f>IFERROR(__xludf.DUMMYFUNCTION("IFERROR(IF(REGEXMATCH(LOWER(Raw_Data!C677),""fixed deposit|owealth|savings|target""),""Fixed Deposit"",IF(REGEXMATCH(LOWER(Raw_Data!C677),""airtime""),""Airtime"",IF(REGEXMATCH(LOWER(Raw_Data!C677),""electronic money transfer levy""),""Electronic Money Tr"&amp;"ansfer Levy"",IF(REGEXMATCH(LOWER(Raw_Data!C677),""transfer|trf|send""),""Transfer"",""Other"")))),""Other"")"),"Transfer")</f>
        <v>Transfer</v>
      </c>
      <c r="E671" s="20">
        <v>0.0</v>
      </c>
      <c r="F671" s="20">
        <v>4000.0</v>
      </c>
      <c r="G671" s="12" t="str">
        <f t="shared" si="3"/>
        <v>Deposit</v>
      </c>
      <c r="H671" s="12" t="str">
        <f>TEXT(Raw_Data!A677,"hh:mm:ss")
</f>
        <v>12:41:46</v>
      </c>
      <c r="I671" s="20">
        <f t="shared" si="4"/>
        <v>4000</v>
      </c>
    </row>
    <row r="672">
      <c r="A672" s="12" t="str">
        <f>Raw_Data!A678</f>
        <v>05 Apr 2025 14:45:23</v>
      </c>
      <c r="B672" s="12" t="str">
        <f t="shared" si="1"/>
        <v>April</v>
      </c>
      <c r="C672" s="12">
        <f t="shared" si="2"/>
        <v>4</v>
      </c>
      <c r="D672" s="12" t="str">
        <f>IFERROR(__xludf.DUMMYFUNCTION("IFERROR(IF(REGEXMATCH(LOWER(Raw_Data!C678),""fixed deposit|owealth|savings|target""),""Fixed Deposit"",IF(REGEXMATCH(LOWER(Raw_Data!C678),""airtime""),""Airtime"",IF(REGEXMATCH(LOWER(Raw_Data!C678),""electronic money transfer levy""),""Electronic Money Tr"&amp;"ansfer Levy"",IF(REGEXMATCH(LOWER(Raw_Data!C678),""transfer|trf|send""),""Transfer"",""Other"")))),""Other"")"),"Airtime")</f>
        <v>Airtime</v>
      </c>
      <c r="E672" s="20">
        <v>500.0</v>
      </c>
      <c r="F672" s="20">
        <v>0.0</v>
      </c>
      <c r="G672" s="12" t="str">
        <f t="shared" si="3"/>
        <v>Withdrawal</v>
      </c>
      <c r="H672" s="12" t="str">
        <f>TEXT(Raw_Data!A678,"hh:mm:ss")
</f>
        <v>14:45:23</v>
      </c>
      <c r="I672" s="20">
        <f t="shared" si="4"/>
        <v>500</v>
      </c>
    </row>
    <row r="673">
      <c r="A673" s="12" t="str">
        <f>Raw_Data!A679</f>
        <v>05 Apr 2025 16:07:57</v>
      </c>
      <c r="B673" s="12" t="str">
        <f t="shared" si="1"/>
        <v>April</v>
      </c>
      <c r="C673" s="12">
        <f t="shared" si="2"/>
        <v>4</v>
      </c>
      <c r="D673" s="12" t="str">
        <f>IFERROR(__xludf.DUMMYFUNCTION("IFERROR(IF(REGEXMATCH(LOWER(Raw_Data!C679),""fixed deposit|owealth|savings|target""),""Fixed Deposit"",IF(REGEXMATCH(LOWER(Raw_Data!C679),""airtime""),""Airtime"",IF(REGEXMATCH(LOWER(Raw_Data!C679),""electronic money transfer levy""),""Electronic Money Tr"&amp;"ansfer Levy"",IF(REGEXMATCH(LOWER(Raw_Data!C679),""transfer|trf|send""),""Transfer"",""Other"")))),""Other"")"),"Transfer")</f>
        <v>Transfer</v>
      </c>
      <c r="E673" s="20">
        <v>0.0</v>
      </c>
      <c r="F673" s="20">
        <v>21250.0</v>
      </c>
      <c r="G673" s="12" t="str">
        <f t="shared" si="3"/>
        <v>Deposit</v>
      </c>
      <c r="H673" s="12" t="str">
        <f>TEXT(Raw_Data!A679,"hh:mm:ss")
</f>
        <v>16:07:57</v>
      </c>
      <c r="I673" s="20">
        <f t="shared" si="4"/>
        <v>21250</v>
      </c>
    </row>
    <row r="674">
      <c r="A674" s="12" t="str">
        <f>Raw_Data!A680</f>
        <v>05 Apr 2025 16:08:02</v>
      </c>
      <c r="B674" s="12" t="str">
        <f t="shared" si="1"/>
        <v>April</v>
      </c>
      <c r="C674" s="12">
        <f t="shared" si="2"/>
        <v>4</v>
      </c>
      <c r="D674" s="12" t="str">
        <f>IFERROR(__xludf.DUMMYFUNCTION("IFERROR(IF(REGEXMATCH(LOWER(Raw_Data!C680),""fixed deposit|owealth|savings|target""),""Fixed Deposit"",IF(REGEXMATCH(LOWER(Raw_Data!C680),""airtime""),""Airtime"",IF(REGEXMATCH(LOWER(Raw_Data!C680),""electronic money transfer levy""),""Electronic Money Tr"&amp;"ansfer Levy"",IF(REGEXMATCH(LOWER(Raw_Data!C680),""transfer|trf|send""),""Transfer"",""Other"")))),""Other"")"),"Electronic Money Transfer Levy")</f>
        <v>Electronic Money Transfer Levy</v>
      </c>
      <c r="E674" s="20">
        <v>50.0</v>
      </c>
      <c r="F674" s="20">
        <v>0.0</v>
      </c>
      <c r="G674" s="12" t="str">
        <f t="shared" si="3"/>
        <v>Withdrawal</v>
      </c>
      <c r="H674" s="12" t="str">
        <f>TEXT(Raw_Data!A680,"hh:mm:ss")
</f>
        <v>16:08:02</v>
      </c>
      <c r="I674" s="20">
        <f t="shared" si="4"/>
        <v>50</v>
      </c>
    </row>
    <row r="675">
      <c r="A675" s="12" t="str">
        <f>Raw_Data!A681</f>
        <v>05 Apr 2025 16:09:31</v>
      </c>
      <c r="B675" s="12" t="str">
        <f t="shared" si="1"/>
        <v>April</v>
      </c>
      <c r="C675" s="12">
        <f t="shared" si="2"/>
        <v>4</v>
      </c>
      <c r="D675" s="12" t="str">
        <f>IFERROR(__xludf.DUMMYFUNCTION("IFERROR(IF(REGEXMATCH(LOWER(Raw_Data!C681),""fixed deposit|owealth|savings|target""),""Fixed Deposit"",IF(REGEXMATCH(LOWER(Raw_Data!C681),""airtime""),""Airtime"",IF(REGEXMATCH(LOWER(Raw_Data!C681),""electronic money transfer levy""),""Electronic Money Tr"&amp;"ansfer Levy"",IF(REGEXMATCH(LOWER(Raw_Data!C681),""transfer|trf|send""),""Transfer"",""Other"")))),""Other"")"),"Transfer")</f>
        <v>Transfer</v>
      </c>
      <c r="E675" s="20">
        <v>0.0</v>
      </c>
      <c r="F675" s="20">
        <v>1700.0</v>
      </c>
      <c r="G675" s="12" t="str">
        <f t="shared" si="3"/>
        <v>Deposit</v>
      </c>
      <c r="H675" s="12" t="str">
        <f>TEXT(Raw_Data!A681,"hh:mm:ss")
</f>
        <v>16:09:31</v>
      </c>
      <c r="I675" s="20">
        <f t="shared" si="4"/>
        <v>1700</v>
      </c>
    </row>
    <row r="676">
      <c r="A676" s="12" t="str">
        <f>Raw_Data!A682</f>
        <v>05 Apr 2025 16:10:25</v>
      </c>
      <c r="B676" s="12" t="str">
        <f t="shared" si="1"/>
        <v>April</v>
      </c>
      <c r="C676" s="12">
        <f t="shared" si="2"/>
        <v>4</v>
      </c>
      <c r="D676" s="12" t="str">
        <f>IFERROR(__xludf.DUMMYFUNCTION("IFERROR(IF(REGEXMATCH(LOWER(Raw_Data!C682),""fixed deposit|owealth|savings|target""),""Fixed Deposit"",IF(REGEXMATCH(LOWER(Raw_Data!C682),""airtime""),""Airtime"",IF(REGEXMATCH(LOWER(Raw_Data!C682),""electronic money transfer levy""),""Electronic Money Tr"&amp;"ansfer Levy"",IF(REGEXMATCH(LOWER(Raw_Data!C682),""transfer|trf|send""),""Transfer"",""Other"")))),""Other"")"),"Transfer")</f>
        <v>Transfer</v>
      </c>
      <c r="E676" s="20">
        <v>21000.0</v>
      </c>
      <c r="F676" s="20">
        <v>0.0</v>
      </c>
      <c r="G676" s="12" t="str">
        <f t="shared" si="3"/>
        <v>Withdrawal</v>
      </c>
      <c r="H676" s="12" t="str">
        <f>TEXT(Raw_Data!A682,"hh:mm:ss")
</f>
        <v>16:10:25</v>
      </c>
      <c r="I676" s="20">
        <f t="shared" si="4"/>
        <v>21000</v>
      </c>
    </row>
    <row r="677">
      <c r="A677" s="12" t="str">
        <f>Raw_Data!A683</f>
        <v>05 Apr 2025 18:12:28</v>
      </c>
      <c r="B677" s="12" t="str">
        <f t="shared" si="1"/>
        <v>April</v>
      </c>
      <c r="C677" s="12">
        <f t="shared" si="2"/>
        <v>4</v>
      </c>
      <c r="D677" s="12" t="str">
        <f>IFERROR(__xludf.DUMMYFUNCTION("IFERROR(IF(REGEXMATCH(LOWER(Raw_Data!C683),""fixed deposit|owealth|savings|target""),""Fixed Deposit"",IF(REGEXMATCH(LOWER(Raw_Data!C683),""airtime""),""Airtime"",IF(REGEXMATCH(LOWER(Raw_Data!C683),""electronic money transfer levy""),""Electronic Money Tr"&amp;"ansfer Levy"",IF(REGEXMATCH(LOWER(Raw_Data!C683),""transfer|trf|send""),""Transfer"",""Other"")))),""Other"")"),"Transfer")</f>
        <v>Transfer</v>
      </c>
      <c r="E677" s="20">
        <v>2500.0</v>
      </c>
      <c r="F677" s="20">
        <v>0.0</v>
      </c>
      <c r="G677" s="12" t="str">
        <f t="shared" si="3"/>
        <v>Withdrawal</v>
      </c>
      <c r="H677" s="12" t="str">
        <f>TEXT(Raw_Data!A683,"hh:mm:ss")
</f>
        <v>18:12:28</v>
      </c>
      <c r="I677" s="20">
        <f t="shared" si="4"/>
        <v>2500</v>
      </c>
    </row>
    <row r="678">
      <c r="A678" s="12" t="str">
        <f>Raw_Data!A684</f>
        <v>05 Apr 2025 18:27:03</v>
      </c>
      <c r="B678" s="12" t="str">
        <f t="shared" si="1"/>
        <v>April</v>
      </c>
      <c r="C678" s="12">
        <f t="shared" si="2"/>
        <v>4</v>
      </c>
      <c r="D678" s="12" t="str">
        <f>IFERROR(__xludf.DUMMYFUNCTION("IFERROR(IF(REGEXMATCH(LOWER(Raw_Data!C684),""fixed deposit|owealth|savings|target""),""Fixed Deposit"",IF(REGEXMATCH(LOWER(Raw_Data!C684),""airtime""),""Airtime"",IF(REGEXMATCH(LOWER(Raw_Data!C684),""electronic money transfer levy""),""Electronic Money Tr"&amp;"ansfer Levy"",IF(REGEXMATCH(LOWER(Raw_Data!C684),""transfer|trf|send""),""Transfer"",""Other"")))),""Other"")"),"Transfer")</f>
        <v>Transfer</v>
      </c>
      <c r="E678" s="20">
        <v>500.0</v>
      </c>
      <c r="F678" s="20">
        <v>0.0</v>
      </c>
      <c r="G678" s="12" t="str">
        <f t="shared" si="3"/>
        <v>Withdrawal</v>
      </c>
      <c r="H678" s="12" t="str">
        <f>TEXT(Raw_Data!A684,"hh:mm:ss")
</f>
        <v>18:27:03</v>
      </c>
      <c r="I678" s="20">
        <f t="shared" si="4"/>
        <v>500</v>
      </c>
    </row>
    <row r="679">
      <c r="A679" s="12" t="str">
        <f>Raw_Data!A685</f>
        <v>05 Apr 2025 19:36:42</v>
      </c>
      <c r="B679" s="12" t="str">
        <f t="shared" si="1"/>
        <v>April</v>
      </c>
      <c r="C679" s="12">
        <f t="shared" si="2"/>
        <v>4</v>
      </c>
      <c r="D679" s="12" t="str">
        <f>IFERROR(__xludf.DUMMYFUNCTION("IFERROR(IF(REGEXMATCH(LOWER(Raw_Data!C685),""fixed deposit|owealth|savings|target""),""Fixed Deposit"",IF(REGEXMATCH(LOWER(Raw_Data!C685),""airtime""),""Airtime"",IF(REGEXMATCH(LOWER(Raw_Data!C685),""electronic money transfer levy""),""Electronic Money Tr"&amp;"ansfer Levy"",IF(REGEXMATCH(LOWER(Raw_Data!C685),""transfer|trf|send""),""Transfer"",""Other"")))),""Other"")"),"Transfer")</f>
        <v>Transfer</v>
      </c>
      <c r="E679" s="20">
        <v>500.0</v>
      </c>
      <c r="F679" s="20">
        <v>0.0</v>
      </c>
      <c r="G679" s="12" t="str">
        <f t="shared" si="3"/>
        <v>Withdrawal</v>
      </c>
      <c r="H679" s="12" t="str">
        <f>TEXT(Raw_Data!A685,"hh:mm:ss")
</f>
        <v>19:36:42</v>
      </c>
      <c r="I679" s="20">
        <f t="shared" si="4"/>
        <v>500</v>
      </c>
    </row>
    <row r="680">
      <c r="A680" s="12" t="str">
        <f>Raw_Data!A686</f>
        <v>06 Apr 2025 06:34:57</v>
      </c>
      <c r="B680" s="12" t="str">
        <f t="shared" si="1"/>
        <v>April</v>
      </c>
      <c r="C680" s="12">
        <f t="shared" si="2"/>
        <v>4</v>
      </c>
      <c r="D680" s="12" t="str">
        <f>IFERROR(__xludf.DUMMYFUNCTION("IFERROR(IF(REGEXMATCH(LOWER(Raw_Data!C686),""fixed deposit|owealth|savings|target""),""Fixed Deposit"",IF(REGEXMATCH(LOWER(Raw_Data!C686),""airtime""),""Airtime"",IF(REGEXMATCH(LOWER(Raw_Data!C686),""electronic money transfer levy""),""Electronic Money Tr"&amp;"ansfer Levy"",IF(REGEXMATCH(LOWER(Raw_Data!C686),""transfer|trf|send""),""Transfer"",""Other"")))),""Other"")"),"Transfer")</f>
        <v>Transfer</v>
      </c>
      <c r="E680" s="20">
        <v>0.0</v>
      </c>
      <c r="F680" s="20">
        <v>1000.0</v>
      </c>
      <c r="G680" s="12" t="str">
        <f t="shared" si="3"/>
        <v>Deposit</v>
      </c>
      <c r="H680" s="12" t="str">
        <f>TEXT(Raw_Data!A686,"hh:mm:ss")
</f>
        <v>06:34:57</v>
      </c>
      <c r="I680" s="20">
        <f t="shared" si="4"/>
        <v>1000</v>
      </c>
    </row>
    <row r="681">
      <c r="A681" s="12" t="str">
        <f>Raw_Data!A687</f>
        <v>06 Apr 2025 08:59:02</v>
      </c>
      <c r="B681" s="12" t="str">
        <f t="shared" si="1"/>
        <v>April</v>
      </c>
      <c r="C681" s="12">
        <f t="shared" si="2"/>
        <v>4</v>
      </c>
      <c r="D681" s="12" t="str">
        <f>IFERROR(__xludf.DUMMYFUNCTION("IFERROR(IF(REGEXMATCH(LOWER(Raw_Data!C687),""fixed deposit|owealth|savings|target""),""Fixed Deposit"",IF(REGEXMATCH(LOWER(Raw_Data!C687),""airtime""),""Airtime"",IF(REGEXMATCH(LOWER(Raw_Data!C687),""electronic money transfer levy""),""Electronic Money Tr"&amp;"ansfer Levy"",IF(REGEXMATCH(LOWER(Raw_Data!C687),""transfer|trf|send""),""Transfer"",""Other"")))),""Other"")"),"Transfer")</f>
        <v>Transfer</v>
      </c>
      <c r="E681" s="20">
        <v>1000.0</v>
      </c>
      <c r="F681" s="20">
        <v>0.0</v>
      </c>
      <c r="G681" s="12" t="str">
        <f t="shared" si="3"/>
        <v>Withdrawal</v>
      </c>
      <c r="H681" s="12" t="str">
        <f>TEXT(Raw_Data!A687,"hh:mm:ss")
</f>
        <v>08:59:02</v>
      </c>
      <c r="I681" s="20">
        <f t="shared" si="4"/>
        <v>1000</v>
      </c>
    </row>
    <row r="682">
      <c r="A682" s="12" t="str">
        <f>Raw_Data!A688</f>
        <v>06 Apr 2025 09:15:41</v>
      </c>
      <c r="B682" s="12" t="str">
        <f t="shared" si="1"/>
        <v>April</v>
      </c>
      <c r="C682" s="12">
        <f t="shared" si="2"/>
        <v>4</v>
      </c>
      <c r="D682" s="12" t="str">
        <f>IFERROR(__xludf.DUMMYFUNCTION("IFERROR(IF(REGEXMATCH(LOWER(Raw_Data!C688),""fixed deposit|owealth|savings|target""),""Fixed Deposit"",IF(REGEXMATCH(LOWER(Raw_Data!C688),""airtime""),""Airtime"",IF(REGEXMATCH(LOWER(Raw_Data!C688),""electronic money transfer levy""),""Electronic Money Tr"&amp;"ansfer Levy"",IF(REGEXMATCH(LOWER(Raw_Data!C688),""transfer|trf|send""),""Transfer"",""Other"")))),""Other"")"),"Transfer")</f>
        <v>Transfer</v>
      </c>
      <c r="E682" s="20">
        <v>200.0</v>
      </c>
      <c r="F682" s="20">
        <v>0.0</v>
      </c>
      <c r="G682" s="12" t="str">
        <f t="shared" si="3"/>
        <v>Withdrawal</v>
      </c>
      <c r="H682" s="12" t="str">
        <f>TEXT(Raw_Data!A688,"hh:mm:ss")
</f>
        <v>09:15:41</v>
      </c>
      <c r="I682" s="20">
        <f t="shared" si="4"/>
        <v>200</v>
      </c>
    </row>
    <row r="683">
      <c r="A683" s="12" t="str">
        <f>Raw_Data!A689</f>
        <v>06 Apr 2025 09:33:50</v>
      </c>
      <c r="B683" s="12" t="str">
        <f t="shared" si="1"/>
        <v>April</v>
      </c>
      <c r="C683" s="12">
        <f t="shared" si="2"/>
        <v>4</v>
      </c>
      <c r="D683" s="12" t="str">
        <f>IFERROR(__xludf.DUMMYFUNCTION("IFERROR(IF(REGEXMATCH(LOWER(Raw_Data!C689),""fixed deposit|owealth|savings|target""),""Fixed Deposit"",IF(REGEXMATCH(LOWER(Raw_Data!C689),""airtime""),""Airtime"",IF(REGEXMATCH(LOWER(Raw_Data!C689),""electronic money transfer levy""),""Electronic Money Tr"&amp;"ansfer Levy"",IF(REGEXMATCH(LOWER(Raw_Data!C689),""transfer|trf|send""),""Transfer"",""Other"")))),""Other"")"),"Transfer")</f>
        <v>Transfer</v>
      </c>
      <c r="E683" s="20">
        <v>300.0</v>
      </c>
      <c r="F683" s="20">
        <v>0.0</v>
      </c>
      <c r="G683" s="12" t="str">
        <f t="shared" si="3"/>
        <v>Withdrawal</v>
      </c>
      <c r="H683" s="12" t="str">
        <f>TEXT(Raw_Data!A689,"hh:mm:ss")
</f>
        <v>09:33:50</v>
      </c>
      <c r="I683" s="20">
        <f t="shared" si="4"/>
        <v>300</v>
      </c>
    </row>
    <row r="684">
      <c r="A684" s="12" t="str">
        <f>Raw_Data!A690</f>
        <v>06 Apr 2025 09:41:36</v>
      </c>
      <c r="B684" s="12" t="str">
        <f t="shared" si="1"/>
        <v>April</v>
      </c>
      <c r="C684" s="12">
        <f t="shared" si="2"/>
        <v>4</v>
      </c>
      <c r="D684" s="12" t="str">
        <f>IFERROR(__xludf.DUMMYFUNCTION("IFERROR(IF(REGEXMATCH(LOWER(Raw_Data!C690),""fixed deposit|owealth|savings|target""),""Fixed Deposit"",IF(REGEXMATCH(LOWER(Raw_Data!C690),""airtime""),""Airtime"",IF(REGEXMATCH(LOWER(Raw_Data!C690),""electronic money transfer levy""),""Electronic Money Tr"&amp;"ansfer Levy"",IF(REGEXMATCH(LOWER(Raw_Data!C690),""transfer|trf|send""),""Transfer"",""Other"")))),""Other"")"),"Transfer")</f>
        <v>Transfer</v>
      </c>
      <c r="E684" s="20">
        <v>550.0</v>
      </c>
      <c r="F684" s="20">
        <v>0.0</v>
      </c>
      <c r="G684" s="12" t="str">
        <f t="shared" si="3"/>
        <v>Withdrawal</v>
      </c>
      <c r="H684" s="12" t="str">
        <f>TEXT(Raw_Data!A690,"hh:mm:ss")
</f>
        <v>09:41:36</v>
      </c>
      <c r="I684" s="20">
        <f t="shared" si="4"/>
        <v>550</v>
      </c>
    </row>
    <row r="685">
      <c r="A685" s="12" t="str">
        <f>Raw_Data!A691</f>
        <v>06 Apr 2025 10:35:49</v>
      </c>
      <c r="B685" s="12" t="str">
        <f t="shared" si="1"/>
        <v>April</v>
      </c>
      <c r="C685" s="12">
        <f t="shared" si="2"/>
        <v>4</v>
      </c>
      <c r="D685" s="12" t="str">
        <f>IFERROR(__xludf.DUMMYFUNCTION("IFERROR(IF(REGEXMATCH(LOWER(Raw_Data!C691),""fixed deposit|owealth|savings|target""),""Fixed Deposit"",IF(REGEXMATCH(LOWER(Raw_Data!C691),""airtime""),""Airtime"",IF(REGEXMATCH(LOWER(Raw_Data!C691),""electronic money transfer levy""),""Electronic Money Tr"&amp;"ansfer Levy"",IF(REGEXMATCH(LOWER(Raw_Data!C691),""transfer|trf|send""),""Transfer"",""Other"")))),""Other"")"),"Transfer")</f>
        <v>Transfer</v>
      </c>
      <c r="E685" s="20">
        <v>460.0</v>
      </c>
      <c r="F685" s="20">
        <v>0.0</v>
      </c>
      <c r="G685" s="12" t="str">
        <f t="shared" si="3"/>
        <v>Withdrawal</v>
      </c>
      <c r="H685" s="12" t="str">
        <f>TEXT(Raw_Data!A691,"hh:mm:ss")
</f>
        <v>10:35:49</v>
      </c>
      <c r="I685" s="20">
        <f t="shared" si="4"/>
        <v>460</v>
      </c>
    </row>
    <row r="686">
      <c r="A686" s="12" t="str">
        <f>Raw_Data!A692</f>
        <v>06 Apr 2025 21:10:40</v>
      </c>
      <c r="B686" s="12" t="str">
        <f t="shared" si="1"/>
        <v>April</v>
      </c>
      <c r="C686" s="12">
        <f t="shared" si="2"/>
        <v>4</v>
      </c>
      <c r="D686" s="12" t="str">
        <f>IFERROR(__xludf.DUMMYFUNCTION("IFERROR(IF(REGEXMATCH(LOWER(Raw_Data!C692),""fixed deposit|owealth|savings|target""),""Fixed Deposit"",IF(REGEXMATCH(LOWER(Raw_Data!C692),""airtime""),""Airtime"",IF(REGEXMATCH(LOWER(Raw_Data!C692),""electronic money transfer levy""),""Electronic Money Tr"&amp;"ansfer Levy"",IF(REGEXMATCH(LOWER(Raw_Data!C692),""transfer|trf|send""),""Transfer"",""Other"")))),""Other"")"),"Transfer")</f>
        <v>Transfer</v>
      </c>
      <c r="E686" s="20">
        <v>110.0</v>
      </c>
      <c r="F686" s="20">
        <v>0.0</v>
      </c>
      <c r="G686" s="12" t="str">
        <f t="shared" si="3"/>
        <v>Withdrawal</v>
      </c>
      <c r="H686" s="12" t="str">
        <f>TEXT(Raw_Data!A692,"hh:mm:ss")
</f>
        <v>21:10:40</v>
      </c>
      <c r="I686" s="20">
        <f t="shared" si="4"/>
        <v>110</v>
      </c>
    </row>
    <row r="687">
      <c r="A687" s="12" t="str">
        <f>Raw_Data!A693</f>
        <v>06 Apr 2025 22:19:35</v>
      </c>
      <c r="B687" s="12" t="str">
        <f t="shared" si="1"/>
        <v>April</v>
      </c>
      <c r="C687" s="12">
        <f t="shared" si="2"/>
        <v>4</v>
      </c>
      <c r="D687" s="12" t="str">
        <f>IFERROR(__xludf.DUMMYFUNCTION("IFERROR(IF(REGEXMATCH(LOWER(Raw_Data!C693),""fixed deposit|owealth|savings|target""),""Fixed Deposit"",IF(REGEXMATCH(LOWER(Raw_Data!C693),""airtime""),""Airtime"",IF(REGEXMATCH(LOWER(Raw_Data!C693),""electronic money transfer levy""),""Electronic Money Tr"&amp;"ansfer Levy"",IF(REGEXMATCH(LOWER(Raw_Data!C693),""transfer|trf|send""),""Transfer"",""Other"")))),""Other"")"),"Airtime")</f>
        <v>Airtime</v>
      </c>
      <c r="E687" s="20">
        <v>200.0</v>
      </c>
      <c r="F687" s="20">
        <v>0.0</v>
      </c>
      <c r="G687" s="12" t="str">
        <f t="shared" si="3"/>
        <v>Withdrawal</v>
      </c>
      <c r="H687" s="12" t="str">
        <f>TEXT(Raw_Data!A693,"hh:mm:ss")
</f>
        <v>22:19:35</v>
      </c>
      <c r="I687" s="20">
        <f t="shared" si="4"/>
        <v>200</v>
      </c>
    </row>
    <row r="688">
      <c r="A688" s="12" t="str">
        <f>Raw_Data!A694</f>
        <v>06 Apr 2025 23:10:09</v>
      </c>
      <c r="B688" s="12" t="str">
        <f t="shared" si="1"/>
        <v>April</v>
      </c>
      <c r="C688" s="12">
        <f t="shared" si="2"/>
        <v>4</v>
      </c>
      <c r="D688" s="12" t="str">
        <f>IFERROR(__xludf.DUMMYFUNCTION("IFERROR(IF(REGEXMATCH(LOWER(Raw_Data!C694),""fixed deposit|owealth|savings|target""),""Fixed Deposit"",IF(REGEXMATCH(LOWER(Raw_Data!C694),""airtime""),""Airtime"",IF(REGEXMATCH(LOWER(Raw_Data!C694),""electronic money transfer levy""),""Electronic Money Tr"&amp;"ansfer Levy"",IF(REGEXMATCH(LOWER(Raw_Data!C694),""transfer|trf|send""),""Transfer"",""Other"")))),""Other"")"),"Airtime")</f>
        <v>Airtime</v>
      </c>
      <c r="E688" s="20">
        <v>200.0</v>
      </c>
      <c r="F688" s="20">
        <v>0.0</v>
      </c>
      <c r="G688" s="12" t="str">
        <f t="shared" si="3"/>
        <v>Withdrawal</v>
      </c>
      <c r="H688" s="12" t="str">
        <f>TEXT(Raw_Data!A694,"hh:mm:ss")
</f>
        <v>23:10:09</v>
      </c>
      <c r="I688" s="20">
        <f t="shared" si="4"/>
        <v>200</v>
      </c>
    </row>
    <row r="689">
      <c r="A689" s="12" t="str">
        <f>Raw_Data!A695</f>
        <v>07 Apr 2025 05:47:02</v>
      </c>
      <c r="B689" s="12" t="str">
        <f t="shared" si="1"/>
        <v>April</v>
      </c>
      <c r="C689" s="12">
        <f t="shared" si="2"/>
        <v>4</v>
      </c>
      <c r="D689" s="12" t="str">
        <f>IFERROR(__xludf.DUMMYFUNCTION("IFERROR(IF(REGEXMATCH(LOWER(Raw_Data!C695),""fixed deposit|owealth|savings|target""),""Fixed Deposit"",IF(REGEXMATCH(LOWER(Raw_Data!C695),""airtime""),""Airtime"",IF(REGEXMATCH(LOWER(Raw_Data!C695),""electronic money transfer levy""),""Electronic Money Tr"&amp;"ansfer Levy"",IF(REGEXMATCH(LOWER(Raw_Data!C695),""transfer|trf|send""),""Transfer"",""Other"")))),""Other"")"),"Airtime")</f>
        <v>Airtime</v>
      </c>
      <c r="E689" s="20">
        <v>200.0</v>
      </c>
      <c r="F689" s="20">
        <v>0.0</v>
      </c>
      <c r="G689" s="12" t="str">
        <f t="shared" si="3"/>
        <v>Withdrawal</v>
      </c>
      <c r="H689" s="12" t="str">
        <f>TEXT(Raw_Data!A695,"hh:mm:ss")
</f>
        <v>05:47:02</v>
      </c>
      <c r="I689" s="20">
        <f t="shared" si="4"/>
        <v>200</v>
      </c>
    </row>
    <row r="690">
      <c r="A690" s="12" t="str">
        <f>Raw_Data!A696</f>
        <v>07 Apr 2025 08:15:30</v>
      </c>
      <c r="B690" s="12" t="str">
        <f t="shared" si="1"/>
        <v>April</v>
      </c>
      <c r="C690" s="12">
        <f t="shared" si="2"/>
        <v>4</v>
      </c>
      <c r="D690" s="12" t="str">
        <f>IFERROR(__xludf.DUMMYFUNCTION("IFERROR(IF(REGEXMATCH(LOWER(Raw_Data!C696),""fixed deposit|owealth|savings|target""),""Fixed Deposit"",IF(REGEXMATCH(LOWER(Raw_Data!C696),""airtime""),""Airtime"",IF(REGEXMATCH(LOWER(Raw_Data!C696),""electronic money transfer levy""),""Electronic Money Tr"&amp;"ansfer Levy"",IF(REGEXMATCH(LOWER(Raw_Data!C696),""transfer|trf|send""),""Transfer"",""Other"")))),""Other"")"),"Transfer")</f>
        <v>Transfer</v>
      </c>
      <c r="E690" s="20">
        <v>0.0</v>
      </c>
      <c r="F690" s="20">
        <v>781135.0</v>
      </c>
      <c r="G690" s="12" t="str">
        <f t="shared" si="3"/>
        <v>Deposit</v>
      </c>
      <c r="H690" s="12" t="str">
        <f>TEXT(Raw_Data!A696,"hh:mm:ss")
</f>
        <v>08:15:30</v>
      </c>
      <c r="I690" s="20">
        <f t="shared" si="4"/>
        <v>781135</v>
      </c>
    </row>
    <row r="691">
      <c r="A691" s="12" t="str">
        <f>Raw_Data!A697</f>
        <v>07 Apr 2025 08:15:35</v>
      </c>
      <c r="B691" s="12" t="str">
        <f t="shared" si="1"/>
        <v>April</v>
      </c>
      <c r="C691" s="12">
        <f t="shared" si="2"/>
        <v>4</v>
      </c>
      <c r="D691" s="12" t="str">
        <f>IFERROR(__xludf.DUMMYFUNCTION("IFERROR(IF(REGEXMATCH(LOWER(Raw_Data!C697),""fixed deposit|owealth|savings|target""),""Fixed Deposit"",IF(REGEXMATCH(LOWER(Raw_Data!C697),""airtime""),""Airtime"",IF(REGEXMATCH(LOWER(Raw_Data!C697),""electronic money transfer levy""),""Electronic Money Tr"&amp;"ansfer Levy"",IF(REGEXMATCH(LOWER(Raw_Data!C697),""transfer|trf|send""),""Transfer"",""Other"")))),""Other"")"),"Electronic Money Transfer Levy")</f>
        <v>Electronic Money Transfer Levy</v>
      </c>
      <c r="E691" s="20">
        <v>50.0</v>
      </c>
      <c r="F691" s="20">
        <v>0.0</v>
      </c>
      <c r="G691" s="12" t="str">
        <f t="shared" si="3"/>
        <v>Withdrawal</v>
      </c>
      <c r="H691" s="12" t="str">
        <f>TEXT(Raw_Data!A697,"hh:mm:ss")
</f>
        <v>08:15:35</v>
      </c>
      <c r="I691" s="20">
        <f t="shared" si="4"/>
        <v>50</v>
      </c>
    </row>
    <row r="692">
      <c r="A692" s="12" t="str">
        <f>Raw_Data!A698</f>
        <v>07 Apr 2025 08:17:11</v>
      </c>
      <c r="B692" s="12" t="str">
        <f t="shared" si="1"/>
        <v>April</v>
      </c>
      <c r="C692" s="12">
        <f t="shared" si="2"/>
        <v>4</v>
      </c>
      <c r="D692" s="12" t="str">
        <f>IFERROR(__xludf.DUMMYFUNCTION("IFERROR(IF(REGEXMATCH(LOWER(Raw_Data!C698),""fixed deposit|owealth|savings|target""),""Fixed Deposit"",IF(REGEXMATCH(LOWER(Raw_Data!C698),""airtime""),""Airtime"",IF(REGEXMATCH(LOWER(Raw_Data!C698),""electronic money transfer levy""),""Electronic Money Tr"&amp;"ansfer Levy"",IF(REGEXMATCH(LOWER(Raw_Data!C698),""transfer|trf|send""),""Transfer"",""Other"")))),""Other"")"),"Transfer")</f>
        <v>Transfer</v>
      </c>
      <c r="E692" s="20">
        <v>781000.0</v>
      </c>
      <c r="F692" s="20">
        <v>0.0</v>
      </c>
      <c r="G692" s="12" t="str">
        <f t="shared" si="3"/>
        <v>Withdrawal</v>
      </c>
      <c r="H692" s="12" t="str">
        <f>TEXT(Raw_Data!A698,"hh:mm:ss")
</f>
        <v>08:17:11</v>
      </c>
      <c r="I692" s="20">
        <f t="shared" si="4"/>
        <v>781000</v>
      </c>
    </row>
    <row r="693">
      <c r="A693" s="12" t="str">
        <f>Raw_Data!A699</f>
        <v>07 Apr 2025 17:54:51</v>
      </c>
      <c r="B693" s="12" t="str">
        <f t="shared" si="1"/>
        <v>April</v>
      </c>
      <c r="C693" s="12">
        <f t="shared" si="2"/>
        <v>4</v>
      </c>
      <c r="D693" s="12" t="str">
        <f>IFERROR(__xludf.DUMMYFUNCTION("IFERROR(IF(REGEXMATCH(LOWER(Raw_Data!C699),""fixed deposit|owealth|savings|target""),""Fixed Deposit"",IF(REGEXMATCH(LOWER(Raw_Data!C699),""airtime""),""Airtime"",IF(REGEXMATCH(LOWER(Raw_Data!C699),""electronic money transfer levy""),""Electronic Money Tr"&amp;"ansfer Levy"",IF(REGEXMATCH(LOWER(Raw_Data!C699),""transfer|trf|send""),""Transfer"",""Other"")))),""Other"")"),"Transfer")</f>
        <v>Transfer</v>
      </c>
      <c r="E693" s="20">
        <v>650.0</v>
      </c>
      <c r="F693" s="20">
        <v>0.0</v>
      </c>
      <c r="G693" s="12" t="str">
        <f t="shared" si="3"/>
        <v>Withdrawal</v>
      </c>
      <c r="H693" s="12" t="str">
        <f>TEXT(Raw_Data!A699,"hh:mm:ss")
</f>
        <v>17:54:51</v>
      </c>
      <c r="I693" s="20">
        <f t="shared" si="4"/>
        <v>650</v>
      </c>
    </row>
    <row r="694">
      <c r="A694" s="12" t="str">
        <f>Raw_Data!A700</f>
        <v>07 Apr 2025 18:21:34</v>
      </c>
      <c r="B694" s="12" t="str">
        <f t="shared" si="1"/>
        <v>April</v>
      </c>
      <c r="C694" s="12">
        <f t="shared" si="2"/>
        <v>4</v>
      </c>
      <c r="D694" s="12" t="str">
        <f>IFERROR(__xludf.DUMMYFUNCTION("IFERROR(IF(REGEXMATCH(LOWER(Raw_Data!C700),""fixed deposit|owealth|savings|target""),""Fixed Deposit"",IF(REGEXMATCH(LOWER(Raw_Data!C700),""airtime""),""Airtime"",IF(REGEXMATCH(LOWER(Raw_Data!C700),""electronic money transfer levy""),""Electronic Money Tr"&amp;"ansfer Levy"",IF(REGEXMATCH(LOWER(Raw_Data!C700),""transfer|trf|send""),""Transfer"",""Other"")))),""Other"")"),"Airtime")</f>
        <v>Airtime</v>
      </c>
      <c r="E694" s="20">
        <v>100.0</v>
      </c>
      <c r="F694" s="20">
        <v>0.0</v>
      </c>
      <c r="G694" s="12" t="str">
        <f t="shared" si="3"/>
        <v>Withdrawal</v>
      </c>
      <c r="H694" s="12" t="str">
        <f>TEXT(Raw_Data!A700,"hh:mm:ss")
</f>
        <v>18:21:34</v>
      </c>
      <c r="I694" s="20">
        <f t="shared" si="4"/>
        <v>100</v>
      </c>
    </row>
    <row r="695">
      <c r="A695" s="12" t="str">
        <f>Raw_Data!A701</f>
        <v>09 Apr 2025 22:42:44</v>
      </c>
      <c r="B695" s="12" t="str">
        <f t="shared" si="1"/>
        <v>April</v>
      </c>
      <c r="C695" s="12">
        <f t="shared" si="2"/>
        <v>4</v>
      </c>
      <c r="D695" s="12" t="str">
        <f>IFERROR(__xludf.DUMMYFUNCTION("IFERROR(IF(REGEXMATCH(LOWER(Raw_Data!C701),""fixed deposit|owealth|savings|target""),""Fixed Deposit"",IF(REGEXMATCH(LOWER(Raw_Data!C701),""airtime""),""Airtime"",IF(REGEXMATCH(LOWER(Raw_Data!C701),""electronic money transfer levy""),""Electronic Money Tr"&amp;"ansfer Levy"",IF(REGEXMATCH(LOWER(Raw_Data!C701),""transfer|trf|send""),""Transfer"",""Other"")))),""Other"")"),"Transfer")</f>
        <v>Transfer</v>
      </c>
      <c r="E695" s="20">
        <v>0.0</v>
      </c>
      <c r="F695" s="20">
        <v>20000.0</v>
      </c>
      <c r="G695" s="12" t="str">
        <f t="shared" si="3"/>
        <v>Deposit</v>
      </c>
      <c r="H695" s="12" t="str">
        <f>TEXT(Raw_Data!A701,"hh:mm:ss")
</f>
        <v>22:42:44</v>
      </c>
      <c r="I695" s="20">
        <f t="shared" si="4"/>
        <v>20000</v>
      </c>
    </row>
    <row r="696">
      <c r="A696" s="12" t="str">
        <f>Raw_Data!A702</f>
        <v>09 Apr 2025 22:42:49</v>
      </c>
      <c r="B696" s="12" t="str">
        <f t="shared" si="1"/>
        <v>April</v>
      </c>
      <c r="C696" s="12">
        <f t="shared" si="2"/>
        <v>4</v>
      </c>
      <c r="D696" s="12" t="str">
        <f>IFERROR(__xludf.DUMMYFUNCTION("IFERROR(IF(REGEXMATCH(LOWER(Raw_Data!C702),""fixed deposit|owealth|savings|target""),""Fixed Deposit"",IF(REGEXMATCH(LOWER(Raw_Data!C702),""airtime""),""Airtime"",IF(REGEXMATCH(LOWER(Raw_Data!C702),""electronic money transfer levy""),""Electronic Money Tr"&amp;"ansfer Levy"",IF(REGEXMATCH(LOWER(Raw_Data!C702),""transfer|trf|send""),""Transfer"",""Other"")))),""Other"")"),"Electronic Money Transfer Levy")</f>
        <v>Electronic Money Transfer Levy</v>
      </c>
      <c r="E696" s="20">
        <v>50.0</v>
      </c>
      <c r="F696" s="20">
        <v>0.0</v>
      </c>
      <c r="G696" s="12" t="str">
        <f t="shared" si="3"/>
        <v>Withdrawal</v>
      </c>
      <c r="H696" s="12" t="str">
        <f>TEXT(Raw_Data!A702,"hh:mm:ss")
</f>
        <v>22:42:49</v>
      </c>
      <c r="I696" s="20">
        <f t="shared" si="4"/>
        <v>50</v>
      </c>
    </row>
    <row r="697">
      <c r="A697" s="12" t="str">
        <f>Raw_Data!A703</f>
        <v>09 Apr 2025 22:46:29</v>
      </c>
      <c r="B697" s="12" t="str">
        <f t="shared" si="1"/>
        <v>April</v>
      </c>
      <c r="C697" s="12">
        <f t="shared" si="2"/>
        <v>4</v>
      </c>
      <c r="D697" s="12" t="str">
        <f>IFERROR(__xludf.DUMMYFUNCTION("IFERROR(IF(REGEXMATCH(LOWER(Raw_Data!C703),""fixed deposit|owealth|savings|target""),""Fixed Deposit"",IF(REGEXMATCH(LOWER(Raw_Data!C703),""airtime""),""Airtime"",IF(REGEXMATCH(LOWER(Raw_Data!C703),""electronic money transfer levy""),""Electronic Money Tr"&amp;"ansfer Levy"",IF(REGEXMATCH(LOWER(Raw_Data!C703),""transfer|trf|send""),""Transfer"",""Other"")))),""Other"")"),"Airtime")</f>
        <v>Airtime</v>
      </c>
      <c r="E697" s="20">
        <v>12000.0</v>
      </c>
      <c r="F697" s="20">
        <v>0.0</v>
      </c>
      <c r="G697" s="12" t="str">
        <f t="shared" si="3"/>
        <v>Withdrawal</v>
      </c>
      <c r="H697" s="12" t="str">
        <f>TEXT(Raw_Data!A703,"hh:mm:ss")
</f>
        <v>22:46:29</v>
      </c>
      <c r="I697" s="20">
        <f t="shared" si="4"/>
        <v>12000</v>
      </c>
    </row>
    <row r="698">
      <c r="A698" s="12" t="str">
        <f>Raw_Data!A704</f>
        <v>09 Apr 2025 23:16:19</v>
      </c>
      <c r="B698" s="12" t="str">
        <f t="shared" si="1"/>
        <v>April</v>
      </c>
      <c r="C698" s="12">
        <f t="shared" si="2"/>
        <v>4</v>
      </c>
      <c r="D698" s="12" t="str">
        <f>IFERROR(__xludf.DUMMYFUNCTION("IFERROR(IF(REGEXMATCH(LOWER(Raw_Data!C704),""fixed deposit|owealth|savings|target""),""Fixed Deposit"",IF(REGEXMATCH(LOWER(Raw_Data!C704),""airtime""),""Airtime"",IF(REGEXMATCH(LOWER(Raw_Data!C704),""electronic money transfer levy""),""Electronic Money Tr"&amp;"ansfer Levy"",IF(REGEXMATCH(LOWER(Raw_Data!C704),""transfer|trf|send""),""Transfer"",""Other"")))),""Other"")"),"Airtime")</f>
        <v>Airtime</v>
      </c>
      <c r="E698" s="20">
        <v>500.0</v>
      </c>
      <c r="F698" s="20">
        <v>0.0</v>
      </c>
      <c r="G698" s="12" t="str">
        <f t="shared" si="3"/>
        <v>Withdrawal</v>
      </c>
      <c r="H698" s="12" t="str">
        <f>TEXT(Raw_Data!A704,"hh:mm:ss")
</f>
        <v>23:16:19</v>
      </c>
      <c r="I698" s="20">
        <f t="shared" si="4"/>
        <v>500</v>
      </c>
    </row>
    <row r="699">
      <c r="A699" s="12" t="str">
        <f>Raw_Data!A705</f>
        <v>10 Apr 2025 07:54:54</v>
      </c>
      <c r="B699" s="12" t="str">
        <f t="shared" si="1"/>
        <v>April</v>
      </c>
      <c r="C699" s="12">
        <f t="shared" si="2"/>
        <v>4</v>
      </c>
      <c r="D699" s="12" t="str">
        <f>IFERROR(__xludf.DUMMYFUNCTION("IFERROR(IF(REGEXMATCH(LOWER(Raw_Data!C705),""fixed deposit|owealth|savings|target""),""Fixed Deposit"",IF(REGEXMATCH(LOWER(Raw_Data!C705),""airtime""),""Airtime"",IF(REGEXMATCH(LOWER(Raw_Data!C705),""electronic money transfer levy""),""Electronic Money Tr"&amp;"ansfer Levy"",IF(REGEXMATCH(LOWER(Raw_Data!C705),""transfer|trf|send""),""Transfer"",""Other"")))),""Other"")"),"Transfer")</f>
        <v>Transfer</v>
      </c>
      <c r="E699" s="20">
        <v>0.0</v>
      </c>
      <c r="F699" s="20">
        <v>62000.0</v>
      </c>
      <c r="G699" s="12" t="str">
        <f t="shared" si="3"/>
        <v>Deposit</v>
      </c>
      <c r="H699" s="12" t="str">
        <f>TEXT(Raw_Data!A705,"hh:mm:ss")
</f>
        <v>07:54:54</v>
      </c>
      <c r="I699" s="20">
        <f t="shared" si="4"/>
        <v>62000</v>
      </c>
    </row>
    <row r="700">
      <c r="A700" s="12" t="str">
        <f>Raw_Data!A706</f>
        <v>10 Apr 2025 07:55:00</v>
      </c>
      <c r="B700" s="12" t="str">
        <f t="shared" si="1"/>
        <v>April</v>
      </c>
      <c r="C700" s="12">
        <f t="shared" si="2"/>
        <v>4</v>
      </c>
      <c r="D700" s="12" t="str">
        <f>IFERROR(__xludf.DUMMYFUNCTION("IFERROR(IF(REGEXMATCH(LOWER(Raw_Data!C706),""fixed deposit|owealth|savings|target""),""Fixed Deposit"",IF(REGEXMATCH(LOWER(Raw_Data!C706),""airtime""),""Airtime"",IF(REGEXMATCH(LOWER(Raw_Data!C706),""electronic money transfer levy""),""Electronic Money Tr"&amp;"ansfer Levy"",IF(REGEXMATCH(LOWER(Raw_Data!C706),""transfer|trf|send""),""Transfer"",""Other"")))),""Other"")"),"Electronic Money Transfer Levy")</f>
        <v>Electronic Money Transfer Levy</v>
      </c>
      <c r="E700" s="20">
        <v>50.0</v>
      </c>
      <c r="F700" s="20">
        <v>0.0</v>
      </c>
      <c r="G700" s="12" t="str">
        <f t="shared" si="3"/>
        <v>Withdrawal</v>
      </c>
      <c r="H700" s="12" t="str">
        <f>TEXT(Raw_Data!A706,"hh:mm:ss")
</f>
        <v>07:55:00</v>
      </c>
      <c r="I700" s="20">
        <f t="shared" si="4"/>
        <v>50</v>
      </c>
    </row>
    <row r="701">
      <c r="A701" s="12" t="str">
        <f>Raw_Data!A707</f>
        <v>10 Apr 2025 07:56:35</v>
      </c>
      <c r="B701" s="12" t="str">
        <f t="shared" si="1"/>
        <v>April</v>
      </c>
      <c r="C701" s="12">
        <f t="shared" si="2"/>
        <v>4</v>
      </c>
      <c r="D701" s="12" t="str">
        <f>IFERROR(__xludf.DUMMYFUNCTION("IFERROR(IF(REGEXMATCH(LOWER(Raw_Data!C707),""fixed deposit|owealth|savings|target""),""Fixed Deposit"",IF(REGEXMATCH(LOWER(Raw_Data!C707),""airtime""),""Airtime"",IF(REGEXMATCH(LOWER(Raw_Data!C707),""electronic money transfer levy""),""Electronic Money Tr"&amp;"ansfer Levy"",IF(REGEXMATCH(LOWER(Raw_Data!C707),""transfer|trf|send""),""Transfer"",""Other"")))),""Other"")"),"Fixed Deposit")</f>
        <v>Fixed Deposit</v>
      </c>
      <c r="E701" s="20">
        <v>30000.0</v>
      </c>
      <c r="F701" s="20">
        <v>0.0</v>
      </c>
      <c r="G701" s="12" t="str">
        <f t="shared" si="3"/>
        <v>Withdrawal</v>
      </c>
      <c r="H701" s="12" t="str">
        <f>TEXT(Raw_Data!A707,"hh:mm:ss")
</f>
        <v>07:56:35</v>
      </c>
      <c r="I701" s="20">
        <f t="shared" si="4"/>
        <v>30000</v>
      </c>
    </row>
    <row r="702">
      <c r="A702" s="12" t="str">
        <f>Raw_Data!A708</f>
        <v>10 Apr 2025 09:07:23</v>
      </c>
      <c r="B702" s="12" t="str">
        <f t="shared" si="1"/>
        <v>April</v>
      </c>
      <c r="C702" s="12">
        <f t="shared" si="2"/>
        <v>4</v>
      </c>
      <c r="D702" s="12" t="str">
        <f>IFERROR(__xludf.DUMMYFUNCTION("IFERROR(IF(REGEXMATCH(LOWER(Raw_Data!C708),""fixed deposit|owealth|savings|target""),""Fixed Deposit"",IF(REGEXMATCH(LOWER(Raw_Data!C708),""airtime""),""Airtime"",IF(REGEXMATCH(LOWER(Raw_Data!C708),""electronic money transfer levy""),""Electronic Money Tr"&amp;"ansfer Levy"",IF(REGEXMATCH(LOWER(Raw_Data!C708),""transfer|trf|send""),""Transfer"",""Other"")))),""Other"")"),"Transfer")</f>
        <v>Transfer</v>
      </c>
      <c r="E702" s="20">
        <v>1600.0</v>
      </c>
      <c r="F702" s="20">
        <v>0.0</v>
      </c>
      <c r="G702" s="12" t="str">
        <f t="shared" si="3"/>
        <v>Withdrawal</v>
      </c>
      <c r="H702" s="12" t="str">
        <f>TEXT(Raw_Data!A708,"hh:mm:ss")
</f>
        <v>09:07:23</v>
      </c>
      <c r="I702" s="20">
        <f t="shared" si="4"/>
        <v>1600</v>
      </c>
    </row>
    <row r="703">
      <c r="A703" s="12" t="str">
        <f>Raw_Data!A709</f>
        <v>10 Apr 2025 10:17:08</v>
      </c>
      <c r="B703" s="12" t="str">
        <f t="shared" si="1"/>
        <v>April</v>
      </c>
      <c r="C703" s="12">
        <f t="shared" si="2"/>
        <v>4</v>
      </c>
      <c r="D703" s="12" t="str">
        <f>IFERROR(__xludf.DUMMYFUNCTION("IFERROR(IF(REGEXMATCH(LOWER(Raw_Data!C709),""fixed deposit|owealth|savings|target""),""Fixed Deposit"",IF(REGEXMATCH(LOWER(Raw_Data!C709),""airtime""),""Airtime"",IF(REGEXMATCH(LOWER(Raw_Data!C709),""electronic money transfer levy""),""Electronic Money Tr"&amp;"ansfer Levy"",IF(REGEXMATCH(LOWER(Raw_Data!C709),""transfer|trf|send""),""Transfer"",""Other"")))),""Other"")"),"Transfer")</f>
        <v>Transfer</v>
      </c>
      <c r="E703" s="20">
        <v>15000.0</v>
      </c>
      <c r="F703" s="20">
        <v>0.0</v>
      </c>
      <c r="G703" s="12" t="str">
        <f t="shared" si="3"/>
        <v>Withdrawal</v>
      </c>
      <c r="H703" s="12" t="str">
        <f>TEXT(Raw_Data!A709,"hh:mm:ss")
</f>
        <v>10:17:08</v>
      </c>
      <c r="I703" s="20">
        <f t="shared" si="4"/>
        <v>15000</v>
      </c>
    </row>
    <row r="704">
      <c r="A704" s="12" t="str">
        <f>Raw_Data!A710</f>
        <v>10 Apr 2025 12:46:00</v>
      </c>
      <c r="B704" s="12" t="str">
        <f t="shared" si="1"/>
        <v>April</v>
      </c>
      <c r="C704" s="12">
        <f t="shared" si="2"/>
        <v>4</v>
      </c>
      <c r="D704" s="12" t="str">
        <f>IFERROR(__xludf.DUMMYFUNCTION("IFERROR(IF(REGEXMATCH(LOWER(Raw_Data!C710),""fixed deposit|owealth|savings|target""),""Fixed Deposit"",IF(REGEXMATCH(LOWER(Raw_Data!C710),""airtime""),""Airtime"",IF(REGEXMATCH(LOWER(Raw_Data!C710),""electronic money transfer levy""),""Electronic Money Tr"&amp;"ansfer Levy"",IF(REGEXMATCH(LOWER(Raw_Data!C710),""transfer|trf|send""),""Transfer"",""Other"")))),""Other"")"),"Transfer")</f>
        <v>Transfer</v>
      </c>
      <c r="E704" s="20">
        <v>10000.0</v>
      </c>
      <c r="F704" s="20">
        <v>0.0</v>
      </c>
      <c r="G704" s="12" t="str">
        <f t="shared" si="3"/>
        <v>Withdrawal</v>
      </c>
      <c r="H704" s="12" t="str">
        <f>TEXT(Raw_Data!A710,"hh:mm:ss")
</f>
        <v>12:46:00</v>
      </c>
      <c r="I704" s="20">
        <f t="shared" si="4"/>
        <v>10000</v>
      </c>
    </row>
    <row r="705">
      <c r="A705" s="12" t="str">
        <f>Raw_Data!A711</f>
        <v>10 Apr 2025 22:51:10</v>
      </c>
      <c r="B705" s="12" t="str">
        <f t="shared" si="1"/>
        <v>April</v>
      </c>
      <c r="C705" s="12">
        <f t="shared" si="2"/>
        <v>4</v>
      </c>
      <c r="D705" s="12" t="str">
        <f>IFERROR(__xludf.DUMMYFUNCTION("IFERROR(IF(REGEXMATCH(LOWER(Raw_Data!C711),""fixed deposit|owealth|savings|target""),""Fixed Deposit"",IF(REGEXMATCH(LOWER(Raw_Data!C711),""airtime""),""Airtime"",IF(REGEXMATCH(LOWER(Raw_Data!C711),""electronic money transfer levy""),""Electronic Money Tr"&amp;"ansfer Levy"",IF(REGEXMATCH(LOWER(Raw_Data!C711),""transfer|trf|send""),""Transfer"",""Other"")))),""Other"")"),"Transfer")</f>
        <v>Transfer</v>
      </c>
      <c r="E705" s="20">
        <v>1500.0</v>
      </c>
      <c r="F705" s="20">
        <v>0.0</v>
      </c>
      <c r="G705" s="12" t="str">
        <f t="shared" si="3"/>
        <v>Withdrawal</v>
      </c>
      <c r="H705" s="12" t="str">
        <f>TEXT(Raw_Data!A711,"hh:mm:ss")
</f>
        <v>22:51:10</v>
      </c>
      <c r="I705" s="20">
        <f t="shared" si="4"/>
        <v>1500</v>
      </c>
    </row>
    <row r="706">
      <c r="A706" s="12" t="str">
        <f>Raw_Data!A712</f>
        <v>11 Apr 2025 07:26:46</v>
      </c>
      <c r="B706" s="12" t="str">
        <f t="shared" si="1"/>
        <v>April</v>
      </c>
      <c r="C706" s="12">
        <f t="shared" si="2"/>
        <v>4</v>
      </c>
      <c r="D706" s="12" t="str">
        <f>IFERROR(__xludf.DUMMYFUNCTION("IFERROR(IF(REGEXMATCH(LOWER(Raw_Data!C712),""fixed deposit|owealth|savings|target""),""Fixed Deposit"",IF(REGEXMATCH(LOWER(Raw_Data!C712),""airtime""),""Airtime"",IF(REGEXMATCH(LOWER(Raw_Data!C712),""electronic money transfer levy""),""Electronic Money Tr"&amp;"ansfer Levy"",IF(REGEXMATCH(LOWER(Raw_Data!C712),""transfer|trf|send""),""Transfer"",""Other"")))),""Other"")"),"Transfer")</f>
        <v>Transfer</v>
      </c>
      <c r="E706" s="20">
        <v>600.0</v>
      </c>
      <c r="F706" s="20">
        <v>0.0</v>
      </c>
      <c r="G706" s="12" t="str">
        <f t="shared" si="3"/>
        <v>Withdrawal</v>
      </c>
      <c r="H706" s="12" t="str">
        <f>TEXT(Raw_Data!A712,"hh:mm:ss")
</f>
        <v>07:26:46</v>
      </c>
      <c r="I706" s="20">
        <f t="shared" si="4"/>
        <v>600</v>
      </c>
    </row>
    <row r="707">
      <c r="A707" s="12" t="str">
        <f>Raw_Data!A713</f>
        <v>11 Apr 2025 07:28:21</v>
      </c>
      <c r="B707" s="12" t="str">
        <f t="shared" si="1"/>
        <v>April</v>
      </c>
      <c r="C707" s="12">
        <f t="shared" si="2"/>
        <v>4</v>
      </c>
      <c r="D707" s="12" t="str">
        <f>IFERROR(__xludf.DUMMYFUNCTION("IFERROR(IF(REGEXMATCH(LOWER(Raw_Data!C713),""fixed deposit|owealth|savings|target""),""Fixed Deposit"",IF(REGEXMATCH(LOWER(Raw_Data!C713),""airtime""),""Airtime"",IF(REGEXMATCH(LOWER(Raw_Data!C713),""electronic money transfer levy""),""Electronic Money Tr"&amp;"ansfer Levy"",IF(REGEXMATCH(LOWER(Raw_Data!C713),""transfer|trf|send""),""Transfer"",""Other"")))),""Other"")"),"Transfer")</f>
        <v>Transfer</v>
      </c>
      <c r="E707" s="20">
        <v>2200.0</v>
      </c>
      <c r="F707" s="20">
        <v>0.0</v>
      </c>
      <c r="G707" s="12" t="str">
        <f t="shared" si="3"/>
        <v>Withdrawal</v>
      </c>
      <c r="H707" s="12" t="str">
        <f>TEXT(Raw_Data!A713,"hh:mm:ss")
</f>
        <v>07:28:21</v>
      </c>
      <c r="I707" s="20">
        <f t="shared" si="4"/>
        <v>2200</v>
      </c>
    </row>
    <row r="708">
      <c r="A708" s="12" t="str">
        <f>Raw_Data!A714</f>
        <v>11 Apr 2025 16:57:32</v>
      </c>
      <c r="B708" s="12" t="str">
        <f t="shared" si="1"/>
        <v>April</v>
      </c>
      <c r="C708" s="12">
        <f t="shared" si="2"/>
        <v>4</v>
      </c>
      <c r="D708" s="12" t="str">
        <f>IFERROR(__xludf.DUMMYFUNCTION("IFERROR(IF(REGEXMATCH(LOWER(Raw_Data!C714),""fixed deposit|owealth|savings|target""),""Fixed Deposit"",IF(REGEXMATCH(LOWER(Raw_Data!C714),""airtime""),""Airtime"",IF(REGEXMATCH(LOWER(Raw_Data!C714),""electronic money transfer levy""),""Electronic Money Tr"&amp;"ansfer Levy"",IF(REGEXMATCH(LOWER(Raw_Data!C714),""transfer|trf|send""),""Transfer"",""Other"")))),""Other"")"),"Transfer")</f>
        <v>Transfer</v>
      </c>
      <c r="E708" s="20">
        <v>1200.0</v>
      </c>
      <c r="F708" s="20">
        <v>0.0</v>
      </c>
      <c r="G708" s="12" t="str">
        <f t="shared" si="3"/>
        <v>Withdrawal</v>
      </c>
      <c r="H708" s="12" t="str">
        <f>TEXT(Raw_Data!A714,"hh:mm:ss")
</f>
        <v>16:57:32</v>
      </c>
      <c r="I708" s="20">
        <f t="shared" si="4"/>
        <v>1200</v>
      </c>
    </row>
    <row r="709">
      <c r="A709" s="12" t="str">
        <f>Raw_Data!A715</f>
        <v>12 Apr 2025 13:14:33</v>
      </c>
      <c r="B709" s="12" t="str">
        <f t="shared" si="1"/>
        <v>April</v>
      </c>
      <c r="C709" s="12">
        <f t="shared" si="2"/>
        <v>4</v>
      </c>
      <c r="D709" s="12" t="str">
        <f>IFERROR(__xludf.DUMMYFUNCTION("IFERROR(IF(REGEXMATCH(LOWER(Raw_Data!C715),""fixed deposit|owealth|savings|target""),""Fixed Deposit"",IF(REGEXMATCH(LOWER(Raw_Data!C715),""airtime""),""Airtime"",IF(REGEXMATCH(LOWER(Raw_Data!C715),""electronic money transfer levy""),""Electronic Money Tr"&amp;"ansfer Levy"",IF(REGEXMATCH(LOWER(Raw_Data!C715),""transfer|trf|send""),""Transfer"",""Other"")))),""Other"")"),"Transfer")</f>
        <v>Transfer</v>
      </c>
      <c r="E709" s="20">
        <v>0.0</v>
      </c>
      <c r="F709" s="20">
        <v>2000.0</v>
      </c>
      <c r="G709" s="12" t="str">
        <f t="shared" si="3"/>
        <v>Deposit</v>
      </c>
      <c r="H709" s="12" t="str">
        <f>TEXT(Raw_Data!A715,"hh:mm:ss")
</f>
        <v>13:14:33</v>
      </c>
      <c r="I709" s="20">
        <f t="shared" si="4"/>
        <v>2000</v>
      </c>
    </row>
    <row r="710">
      <c r="A710" s="12" t="str">
        <f>Raw_Data!A716</f>
        <v>12 Apr 2025 13:17:29</v>
      </c>
      <c r="B710" s="12" t="str">
        <f t="shared" si="1"/>
        <v>April</v>
      </c>
      <c r="C710" s="12">
        <f t="shared" si="2"/>
        <v>4</v>
      </c>
      <c r="D710" s="12" t="str">
        <f>IFERROR(__xludf.DUMMYFUNCTION("IFERROR(IF(REGEXMATCH(LOWER(Raw_Data!C716),""fixed deposit|owealth|savings|target""),""Fixed Deposit"",IF(REGEXMATCH(LOWER(Raw_Data!C716),""airtime""),""Airtime"",IF(REGEXMATCH(LOWER(Raw_Data!C716),""electronic money transfer levy""),""Electronic Money Tr"&amp;"ansfer Levy"",IF(REGEXMATCH(LOWER(Raw_Data!C716),""transfer|trf|send""),""Transfer"",""Other"")))),""Other"")"),"Transfer")</f>
        <v>Transfer</v>
      </c>
      <c r="E710" s="20">
        <v>600.0</v>
      </c>
      <c r="F710" s="20">
        <v>0.0</v>
      </c>
      <c r="G710" s="12" t="str">
        <f t="shared" si="3"/>
        <v>Withdrawal</v>
      </c>
      <c r="H710" s="12" t="str">
        <f>TEXT(Raw_Data!A716,"hh:mm:ss")
</f>
        <v>13:17:29</v>
      </c>
      <c r="I710" s="20">
        <f t="shared" si="4"/>
        <v>600</v>
      </c>
    </row>
    <row r="711">
      <c r="A711" s="12" t="str">
        <f>Raw_Data!A717</f>
        <v>12 Apr 2025 15:47:32</v>
      </c>
      <c r="B711" s="12" t="str">
        <f t="shared" si="1"/>
        <v>April</v>
      </c>
      <c r="C711" s="12">
        <f t="shared" si="2"/>
        <v>4</v>
      </c>
      <c r="D711" s="12" t="str">
        <f>IFERROR(__xludf.DUMMYFUNCTION("IFERROR(IF(REGEXMATCH(LOWER(Raw_Data!C717),""fixed deposit|owealth|savings|target""),""Fixed Deposit"",IF(REGEXMATCH(LOWER(Raw_Data!C717),""airtime""),""Airtime"",IF(REGEXMATCH(LOWER(Raw_Data!C717),""electronic money transfer levy""),""Electronic Money Tr"&amp;"ansfer Levy"",IF(REGEXMATCH(LOWER(Raw_Data!C717),""transfer|trf|send""),""Transfer"",""Other"")))),""Other"")"),"Transfer")</f>
        <v>Transfer</v>
      </c>
      <c r="E711" s="20">
        <v>0.0</v>
      </c>
      <c r="F711" s="20">
        <v>303693.0</v>
      </c>
      <c r="G711" s="12" t="str">
        <f t="shared" si="3"/>
        <v>Deposit</v>
      </c>
      <c r="H711" s="12" t="str">
        <f>TEXT(Raw_Data!A717,"hh:mm:ss")
</f>
        <v>15:47:32</v>
      </c>
      <c r="I711" s="20">
        <f t="shared" si="4"/>
        <v>303693</v>
      </c>
    </row>
    <row r="712">
      <c r="A712" s="12" t="str">
        <f>Raw_Data!A718</f>
        <v>12 Apr 2025 15:47:37</v>
      </c>
      <c r="B712" s="12" t="str">
        <f t="shared" si="1"/>
        <v>April</v>
      </c>
      <c r="C712" s="12">
        <f t="shared" si="2"/>
        <v>4</v>
      </c>
      <c r="D712" s="12" t="str">
        <f>IFERROR(__xludf.DUMMYFUNCTION("IFERROR(IF(REGEXMATCH(LOWER(Raw_Data!C718),""fixed deposit|owealth|savings|target""),""Fixed Deposit"",IF(REGEXMATCH(LOWER(Raw_Data!C718),""airtime""),""Airtime"",IF(REGEXMATCH(LOWER(Raw_Data!C718),""electronic money transfer levy""),""Electronic Money Tr"&amp;"ansfer Levy"",IF(REGEXMATCH(LOWER(Raw_Data!C718),""transfer|trf|send""),""Transfer"",""Other"")))),""Other"")"),"Electronic Money Transfer Levy")</f>
        <v>Electronic Money Transfer Levy</v>
      </c>
      <c r="E712" s="20">
        <v>50.0</v>
      </c>
      <c r="F712" s="20">
        <v>0.0</v>
      </c>
      <c r="G712" s="12" t="str">
        <f t="shared" si="3"/>
        <v>Withdrawal</v>
      </c>
      <c r="H712" s="12" t="str">
        <f>TEXT(Raw_Data!A718,"hh:mm:ss")
</f>
        <v>15:47:37</v>
      </c>
      <c r="I712" s="20">
        <f t="shared" si="4"/>
        <v>50</v>
      </c>
    </row>
    <row r="713">
      <c r="A713" s="12" t="str">
        <f>Raw_Data!A719</f>
        <v>12 Apr 2025 15:48:49</v>
      </c>
      <c r="B713" s="12" t="str">
        <f t="shared" si="1"/>
        <v>April</v>
      </c>
      <c r="C713" s="12">
        <f t="shared" si="2"/>
        <v>4</v>
      </c>
      <c r="D713" s="12" t="str">
        <f>IFERROR(__xludf.DUMMYFUNCTION("IFERROR(IF(REGEXMATCH(LOWER(Raw_Data!C719),""fixed deposit|owealth|savings|target""),""Fixed Deposit"",IF(REGEXMATCH(LOWER(Raw_Data!C719),""airtime""),""Airtime"",IF(REGEXMATCH(LOWER(Raw_Data!C719),""electronic money transfer levy""),""Electronic Money Tr"&amp;"ansfer Levy"",IF(REGEXMATCH(LOWER(Raw_Data!C719),""transfer|trf|send""),""Transfer"",""Other"")))),""Other"")"),"Transfer")</f>
        <v>Transfer</v>
      </c>
      <c r="E713" s="20">
        <v>271600.0</v>
      </c>
      <c r="F713" s="20">
        <v>0.0</v>
      </c>
      <c r="G713" s="12" t="str">
        <f t="shared" si="3"/>
        <v>Withdrawal</v>
      </c>
      <c r="H713" s="12" t="str">
        <f>TEXT(Raw_Data!A719,"hh:mm:ss")
</f>
        <v>15:48:49</v>
      </c>
      <c r="I713" s="20">
        <f t="shared" si="4"/>
        <v>271600</v>
      </c>
    </row>
    <row r="714">
      <c r="A714" s="12" t="str">
        <f>Raw_Data!A720</f>
        <v>12 Apr 2025 16:03:56</v>
      </c>
      <c r="B714" s="12" t="str">
        <f t="shared" si="1"/>
        <v>April</v>
      </c>
      <c r="C714" s="12">
        <f t="shared" si="2"/>
        <v>4</v>
      </c>
      <c r="D714" s="12" t="str">
        <f>IFERROR(__xludf.DUMMYFUNCTION("IFERROR(IF(REGEXMATCH(LOWER(Raw_Data!C720),""fixed deposit|owealth|savings|target""),""Fixed Deposit"",IF(REGEXMATCH(LOWER(Raw_Data!C720),""airtime""),""Airtime"",IF(REGEXMATCH(LOWER(Raw_Data!C720),""electronic money transfer levy""),""Electronic Money Tr"&amp;"ansfer Levy"",IF(REGEXMATCH(LOWER(Raw_Data!C720),""transfer|trf|send""),""Transfer"",""Other"")))),""Other"")"),"Transfer")</f>
        <v>Transfer</v>
      </c>
      <c r="E714" s="20">
        <v>3000.0</v>
      </c>
      <c r="F714" s="20">
        <v>0.0</v>
      </c>
      <c r="G714" s="12" t="str">
        <f t="shared" si="3"/>
        <v>Withdrawal</v>
      </c>
      <c r="H714" s="12" t="str">
        <f>TEXT(Raw_Data!A720,"hh:mm:ss")
</f>
        <v>16:03:56</v>
      </c>
      <c r="I714" s="20">
        <f t="shared" si="4"/>
        <v>3000</v>
      </c>
    </row>
    <row r="715">
      <c r="A715" s="12" t="str">
        <f>Raw_Data!A721</f>
        <v>12 Apr 2025 16:06:58</v>
      </c>
      <c r="B715" s="12" t="str">
        <f t="shared" si="1"/>
        <v>April</v>
      </c>
      <c r="C715" s="12">
        <f t="shared" si="2"/>
        <v>4</v>
      </c>
      <c r="D715" s="12" t="str">
        <f>IFERROR(__xludf.DUMMYFUNCTION("IFERROR(IF(REGEXMATCH(LOWER(Raw_Data!C721),""fixed deposit|owealth|savings|target""),""Fixed Deposit"",IF(REGEXMATCH(LOWER(Raw_Data!C721),""airtime""),""Airtime"",IF(REGEXMATCH(LOWER(Raw_Data!C721),""electronic money transfer levy""),""Electronic Money Tr"&amp;"ansfer Levy"",IF(REGEXMATCH(LOWER(Raw_Data!C721),""transfer|trf|send""),""Transfer"",""Other"")))),""Other"")"),"Transfer")</f>
        <v>Transfer</v>
      </c>
      <c r="E715" s="20">
        <v>2100.0</v>
      </c>
      <c r="F715" s="20">
        <v>0.0</v>
      </c>
      <c r="G715" s="12" t="str">
        <f t="shared" si="3"/>
        <v>Withdrawal</v>
      </c>
      <c r="H715" s="12" t="str">
        <f>TEXT(Raw_Data!A721,"hh:mm:ss")
</f>
        <v>16:06:58</v>
      </c>
      <c r="I715" s="20">
        <f t="shared" si="4"/>
        <v>2100</v>
      </c>
    </row>
    <row r="716">
      <c r="A716" s="12" t="str">
        <f>Raw_Data!A722</f>
        <v>12 Apr 2025 16:16:48</v>
      </c>
      <c r="B716" s="12" t="str">
        <f t="shared" si="1"/>
        <v>April</v>
      </c>
      <c r="C716" s="12">
        <f t="shared" si="2"/>
        <v>4</v>
      </c>
      <c r="D716" s="12" t="str">
        <f>IFERROR(__xludf.DUMMYFUNCTION("IFERROR(IF(REGEXMATCH(LOWER(Raw_Data!C722),""fixed deposit|owealth|savings|target""),""Fixed Deposit"",IF(REGEXMATCH(LOWER(Raw_Data!C722),""airtime""),""Airtime"",IF(REGEXMATCH(LOWER(Raw_Data!C722),""electronic money transfer levy""),""Electronic Money Tr"&amp;"ansfer Levy"",IF(REGEXMATCH(LOWER(Raw_Data!C722),""transfer|trf|send""),""Transfer"",""Other"")))),""Other"")"),"Airtime")</f>
        <v>Airtime</v>
      </c>
      <c r="E716" s="20">
        <v>500.0</v>
      </c>
      <c r="F716" s="20">
        <v>0.0</v>
      </c>
      <c r="G716" s="12" t="str">
        <f t="shared" si="3"/>
        <v>Withdrawal</v>
      </c>
      <c r="H716" s="12" t="str">
        <f>TEXT(Raw_Data!A722,"hh:mm:ss")
</f>
        <v>16:16:48</v>
      </c>
      <c r="I716" s="20">
        <f t="shared" si="4"/>
        <v>500</v>
      </c>
    </row>
    <row r="717">
      <c r="A717" s="12" t="str">
        <f>Raw_Data!A723</f>
        <v>12 Apr 2025 16:48:48</v>
      </c>
      <c r="B717" s="12" t="str">
        <f t="shared" si="1"/>
        <v>April</v>
      </c>
      <c r="C717" s="12">
        <f t="shared" si="2"/>
        <v>4</v>
      </c>
      <c r="D717" s="12" t="str">
        <f>IFERROR(__xludf.DUMMYFUNCTION("IFERROR(IF(REGEXMATCH(LOWER(Raw_Data!C723),""fixed deposit|owealth|savings|target""),""Fixed Deposit"",IF(REGEXMATCH(LOWER(Raw_Data!C723),""airtime""),""Airtime"",IF(REGEXMATCH(LOWER(Raw_Data!C723),""electronic money transfer levy""),""Electronic Money Tr"&amp;"ansfer Levy"",IF(REGEXMATCH(LOWER(Raw_Data!C723),""transfer|trf|send""),""Transfer"",""Other"")))),""Other"")"),"Transfer")</f>
        <v>Transfer</v>
      </c>
      <c r="E717" s="20">
        <v>3100.0</v>
      </c>
      <c r="F717" s="20">
        <v>0.0</v>
      </c>
      <c r="G717" s="12" t="str">
        <f t="shared" si="3"/>
        <v>Withdrawal</v>
      </c>
      <c r="H717" s="12" t="str">
        <f>TEXT(Raw_Data!A723,"hh:mm:ss")
</f>
        <v>16:48:48</v>
      </c>
      <c r="I717" s="20">
        <f t="shared" si="4"/>
        <v>3100</v>
      </c>
    </row>
    <row r="718">
      <c r="A718" s="12" t="str">
        <f>Raw_Data!A724</f>
        <v>12 Apr 2025 18:28:38</v>
      </c>
      <c r="B718" s="12" t="str">
        <f t="shared" si="1"/>
        <v>April</v>
      </c>
      <c r="C718" s="12">
        <f t="shared" si="2"/>
        <v>4</v>
      </c>
      <c r="D718" s="12" t="str">
        <f>IFERROR(__xludf.DUMMYFUNCTION("IFERROR(IF(REGEXMATCH(LOWER(Raw_Data!C724),""fixed deposit|owealth|savings|target""),""Fixed Deposit"",IF(REGEXMATCH(LOWER(Raw_Data!C724),""airtime""),""Airtime"",IF(REGEXMATCH(LOWER(Raw_Data!C724),""electronic money transfer levy""),""Electronic Money Tr"&amp;"ansfer Levy"",IF(REGEXMATCH(LOWER(Raw_Data!C724),""transfer|trf|send""),""Transfer"",""Other"")))),""Other"")"),"Transfer")</f>
        <v>Transfer</v>
      </c>
      <c r="E718" s="20">
        <v>5810.0</v>
      </c>
      <c r="F718" s="20">
        <v>0.0</v>
      </c>
      <c r="G718" s="12" t="str">
        <f t="shared" si="3"/>
        <v>Withdrawal</v>
      </c>
      <c r="H718" s="12" t="str">
        <f>TEXT(Raw_Data!A724,"hh:mm:ss")
</f>
        <v>18:28:38</v>
      </c>
      <c r="I718" s="20">
        <f t="shared" si="4"/>
        <v>5810</v>
      </c>
    </row>
    <row r="719">
      <c r="A719" s="12" t="str">
        <f>Raw_Data!A725</f>
        <v>12 Apr 2025 18:35:07</v>
      </c>
      <c r="B719" s="12" t="str">
        <f t="shared" si="1"/>
        <v>April</v>
      </c>
      <c r="C719" s="12">
        <f t="shared" si="2"/>
        <v>4</v>
      </c>
      <c r="D719" s="12" t="str">
        <f>IFERROR(__xludf.DUMMYFUNCTION("IFERROR(IF(REGEXMATCH(LOWER(Raw_Data!C725),""fixed deposit|owealth|savings|target""),""Fixed Deposit"",IF(REGEXMATCH(LOWER(Raw_Data!C725),""airtime""),""Airtime"",IF(REGEXMATCH(LOWER(Raw_Data!C725),""electronic money transfer levy""),""Electronic Money Tr"&amp;"ansfer Levy"",IF(REGEXMATCH(LOWER(Raw_Data!C725),""transfer|trf|send""),""Transfer"",""Other"")))),""Other"")"),"Transfer")</f>
        <v>Transfer</v>
      </c>
      <c r="E719" s="20">
        <v>2210.0</v>
      </c>
      <c r="F719" s="20">
        <v>0.0</v>
      </c>
      <c r="G719" s="12" t="str">
        <f t="shared" si="3"/>
        <v>Withdrawal</v>
      </c>
      <c r="H719" s="12" t="str">
        <f>TEXT(Raw_Data!A725,"hh:mm:ss")
</f>
        <v>18:35:07</v>
      </c>
      <c r="I719" s="20">
        <f t="shared" si="4"/>
        <v>2210</v>
      </c>
    </row>
    <row r="720">
      <c r="A720" s="12" t="str">
        <f>Raw_Data!A726</f>
        <v>12 Apr 2025 21:56:55</v>
      </c>
      <c r="B720" s="12" t="str">
        <f t="shared" si="1"/>
        <v>April</v>
      </c>
      <c r="C720" s="12">
        <f t="shared" si="2"/>
        <v>4</v>
      </c>
      <c r="D720" s="12" t="str">
        <f>IFERROR(__xludf.DUMMYFUNCTION("IFERROR(IF(REGEXMATCH(LOWER(Raw_Data!C726),""fixed deposit|owealth|savings|target""),""Fixed Deposit"",IF(REGEXMATCH(LOWER(Raw_Data!C726),""airtime""),""Airtime"",IF(REGEXMATCH(LOWER(Raw_Data!C726),""electronic money transfer levy""),""Electronic Money Tr"&amp;"ansfer Levy"",IF(REGEXMATCH(LOWER(Raw_Data!C726),""transfer|trf|send""),""Transfer"",""Other"")))),""Other"")"),"Transfer")</f>
        <v>Transfer</v>
      </c>
      <c r="E720" s="20">
        <v>110.0</v>
      </c>
      <c r="F720" s="20">
        <v>0.0</v>
      </c>
      <c r="G720" s="12" t="str">
        <f t="shared" si="3"/>
        <v>Withdrawal</v>
      </c>
      <c r="H720" s="12" t="str">
        <f>TEXT(Raw_Data!A726,"hh:mm:ss")
</f>
        <v>21:56:55</v>
      </c>
      <c r="I720" s="20">
        <f t="shared" si="4"/>
        <v>110</v>
      </c>
    </row>
    <row r="721">
      <c r="A721" s="12" t="str">
        <f>Raw_Data!A727</f>
        <v>13 Apr 2025 09:13:47</v>
      </c>
      <c r="B721" s="12" t="str">
        <f t="shared" si="1"/>
        <v>April</v>
      </c>
      <c r="C721" s="12">
        <f t="shared" si="2"/>
        <v>4</v>
      </c>
      <c r="D721" s="12" t="str">
        <f>IFERROR(__xludf.DUMMYFUNCTION("IFERROR(IF(REGEXMATCH(LOWER(Raw_Data!C727),""fixed deposit|owealth|savings|target""),""Fixed Deposit"",IF(REGEXMATCH(LOWER(Raw_Data!C727),""airtime""),""Airtime"",IF(REGEXMATCH(LOWER(Raw_Data!C727),""electronic money transfer levy""),""Electronic Money Tr"&amp;"ansfer Levy"",IF(REGEXMATCH(LOWER(Raw_Data!C727),""transfer|trf|send""),""Transfer"",""Other"")))),""Other"")"),"Transfer")</f>
        <v>Transfer</v>
      </c>
      <c r="E721" s="20">
        <v>1030.0</v>
      </c>
      <c r="F721" s="20">
        <v>0.0</v>
      </c>
      <c r="G721" s="12" t="str">
        <f t="shared" si="3"/>
        <v>Withdrawal</v>
      </c>
      <c r="H721" s="12" t="str">
        <f>TEXT(Raw_Data!A727,"hh:mm:ss")
</f>
        <v>09:13:47</v>
      </c>
      <c r="I721" s="20">
        <f t="shared" si="4"/>
        <v>1030</v>
      </c>
    </row>
    <row r="722">
      <c r="A722" s="12" t="str">
        <f>Raw_Data!A728</f>
        <v>13 Apr 2025 13:30:08</v>
      </c>
      <c r="B722" s="12" t="str">
        <f t="shared" si="1"/>
        <v>April</v>
      </c>
      <c r="C722" s="12">
        <f t="shared" si="2"/>
        <v>4</v>
      </c>
      <c r="D722" s="12" t="str">
        <f>IFERROR(__xludf.DUMMYFUNCTION("IFERROR(IF(REGEXMATCH(LOWER(Raw_Data!C728),""fixed deposit|owealth|savings|target""),""Fixed Deposit"",IF(REGEXMATCH(LOWER(Raw_Data!C728),""airtime""),""Airtime"",IF(REGEXMATCH(LOWER(Raw_Data!C728),""electronic money transfer levy""),""Electronic Money Tr"&amp;"ansfer Levy"",IF(REGEXMATCH(LOWER(Raw_Data!C728),""transfer|trf|send""),""Transfer"",""Other"")))),""Other"")"),"Transfer")</f>
        <v>Transfer</v>
      </c>
      <c r="E722" s="20">
        <v>10000.0</v>
      </c>
      <c r="F722" s="20">
        <v>0.0</v>
      </c>
      <c r="G722" s="12" t="str">
        <f t="shared" si="3"/>
        <v>Withdrawal</v>
      </c>
      <c r="H722" s="12" t="str">
        <f>TEXT(Raw_Data!A728,"hh:mm:ss")
</f>
        <v>13:30:08</v>
      </c>
      <c r="I722" s="20">
        <f t="shared" si="4"/>
        <v>10000</v>
      </c>
    </row>
    <row r="723">
      <c r="A723" s="12" t="str">
        <f>Raw_Data!A729</f>
        <v>13 Apr 2025 16:48:48</v>
      </c>
      <c r="B723" s="12" t="str">
        <f t="shared" si="1"/>
        <v>April</v>
      </c>
      <c r="C723" s="12">
        <f t="shared" si="2"/>
        <v>4</v>
      </c>
      <c r="D723" s="12" t="str">
        <f>IFERROR(__xludf.DUMMYFUNCTION("IFERROR(IF(REGEXMATCH(LOWER(Raw_Data!C729),""fixed deposit|owealth|savings|target""),""Fixed Deposit"",IF(REGEXMATCH(LOWER(Raw_Data!C729),""airtime""),""Airtime"",IF(REGEXMATCH(LOWER(Raw_Data!C729),""electronic money transfer levy""),""Electronic Money Tr"&amp;"ansfer Levy"",IF(REGEXMATCH(LOWER(Raw_Data!C729),""transfer|trf|send""),""Transfer"",""Other"")))),""Other"")"),"Transfer")</f>
        <v>Transfer</v>
      </c>
      <c r="E723" s="20">
        <v>1000.0</v>
      </c>
      <c r="F723" s="20">
        <v>0.0</v>
      </c>
      <c r="G723" s="12" t="str">
        <f t="shared" si="3"/>
        <v>Withdrawal</v>
      </c>
      <c r="H723" s="12" t="str">
        <f>TEXT(Raw_Data!A729,"hh:mm:ss")
</f>
        <v>16:48:48</v>
      </c>
      <c r="I723" s="20">
        <f t="shared" si="4"/>
        <v>1000</v>
      </c>
    </row>
    <row r="724">
      <c r="A724" s="12" t="str">
        <f>Raw_Data!A730</f>
        <v>13 Apr 2025 20:22:29</v>
      </c>
      <c r="B724" s="12" t="str">
        <f t="shared" si="1"/>
        <v>April</v>
      </c>
      <c r="C724" s="12">
        <f t="shared" si="2"/>
        <v>4</v>
      </c>
      <c r="D724" s="12" t="str">
        <f>IFERROR(__xludf.DUMMYFUNCTION("IFERROR(IF(REGEXMATCH(LOWER(Raw_Data!C730),""fixed deposit|owealth|savings|target""),""Fixed Deposit"",IF(REGEXMATCH(LOWER(Raw_Data!C730),""airtime""),""Airtime"",IF(REGEXMATCH(LOWER(Raw_Data!C730),""electronic money transfer levy""),""Electronic Money Tr"&amp;"ansfer Levy"",IF(REGEXMATCH(LOWER(Raw_Data!C730),""transfer|trf|send""),""Transfer"",""Other"")))),""Other"")"),"Transfer")</f>
        <v>Transfer</v>
      </c>
      <c r="E724" s="20">
        <v>1000.0</v>
      </c>
      <c r="F724" s="20">
        <v>0.0</v>
      </c>
      <c r="G724" s="12" t="str">
        <f t="shared" si="3"/>
        <v>Withdrawal</v>
      </c>
      <c r="H724" s="12" t="str">
        <f>TEXT(Raw_Data!A730,"hh:mm:ss")
</f>
        <v>20:22:29</v>
      </c>
      <c r="I724" s="20">
        <f t="shared" si="4"/>
        <v>1000</v>
      </c>
    </row>
    <row r="725">
      <c r="A725" s="12" t="str">
        <f>Raw_Data!A731</f>
        <v>13 Apr 2025 21:31:24</v>
      </c>
      <c r="B725" s="12" t="str">
        <f t="shared" si="1"/>
        <v>April</v>
      </c>
      <c r="C725" s="12">
        <f t="shared" si="2"/>
        <v>4</v>
      </c>
      <c r="D725" s="12" t="str">
        <f>IFERROR(__xludf.DUMMYFUNCTION("IFERROR(IF(REGEXMATCH(LOWER(Raw_Data!C731),""fixed deposit|owealth|savings|target""),""Fixed Deposit"",IF(REGEXMATCH(LOWER(Raw_Data!C731),""airtime""),""Airtime"",IF(REGEXMATCH(LOWER(Raw_Data!C731),""electronic money transfer levy""),""Electronic Money Tr"&amp;"ansfer Levy"",IF(REGEXMATCH(LOWER(Raw_Data!C731),""transfer|trf|send""),""Transfer"",""Other"")))),""Other"")"),"Transfer")</f>
        <v>Transfer</v>
      </c>
      <c r="E725" s="20">
        <v>150.0</v>
      </c>
      <c r="F725" s="20">
        <v>0.0</v>
      </c>
      <c r="G725" s="12" t="str">
        <f t="shared" si="3"/>
        <v>Withdrawal</v>
      </c>
      <c r="H725" s="12" t="str">
        <f>TEXT(Raw_Data!A731,"hh:mm:ss")
</f>
        <v>21:31:24</v>
      </c>
      <c r="I725" s="20">
        <f t="shared" si="4"/>
        <v>150</v>
      </c>
    </row>
    <row r="726">
      <c r="A726" s="12" t="str">
        <f>Raw_Data!A732</f>
        <v>14 Apr 2025 05:57:58</v>
      </c>
      <c r="B726" s="12" t="str">
        <f t="shared" si="1"/>
        <v>April</v>
      </c>
      <c r="C726" s="12">
        <f t="shared" si="2"/>
        <v>4</v>
      </c>
      <c r="D726" s="12" t="str">
        <f>IFERROR(__xludf.DUMMYFUNCTION("IFERROR(IF(REGEXMATCH(LOWER(Raw_Data!C732),""fixed deposit|owealth|savings|target""),""Fixed Deposit"",IF(REGEXMATCH(LOWER(Raw_Data!C732),""airtime""),""Airtime"",IF(REGEXMATCH(LOWER(Raw_Data!C732),""electronic money transfer levy""),""Electronic Money Tr"&amp;"ansfer Levy"",IF(REGEXMATCH(LOWER(Raw_Data!C732),""transfer|trf|send""),""Transfer"",""Other"")))),""Other"")"),"Transfer")</f>
        <v>Transfer</v>
      </c>
      <c r="E726" s="20">
        <v>0.0</v>
      </c>
      <c r="F726" s="20">
        <v>5000.0</v>
      </c>
      <c r="G726" s="12" t="str">
        <f t="shared" si="3"/>
        <v>Deposit</v>
      </c>
      <c r="H726" s="12" t="str">
        <f>TEXT(Raw_Data!A732,"hh:mm:ss")
</f>
        <v>05:57:58</v>
      </c>
      <c r="I726" s="20">
        <f t="shared" si="4"/>
        <v>5000</v>
      </c>
    </row>
    <row r="727">
      <c r="A727" s="12" t="str">
        <f>Raw_Data!A733</f>
        <v>14 Apr 2025 08:19:12</v>
      </c>
      <c r="B727" s="12" t="str">
        <f t="shared" si="1"/>
        <v>April</v>
      </c>
      <c r="C727" s="12">
        <f t="shared" si="2"/>
        <v>4</v>
      </c>
      <c r="D727" s="12" t="str">
        <f>IFERROR(__xludf.DUMMYFUNCTION("IFERROR(IF(REGEXMATCH(LOWER(Raw_Data!C733),""fixed deposit|owealth|savings|target""),""Fixed Deposit"",IF(REGEXMATCH(LOWER(Raw_Data!C733),""airtime""),""Airtime"",IF(REGEXMATCH(LOWER(Raw_Data!C733),""electronic money transfer levy""),""Electronic Money Tr"&amp;"ansfer Levy"",IF(REGEXMATCH(LOWER(Raw_Data!C733),""transfer|trf|send""),""Transfer"",""Other"")))),""Other"")"),"Transfer")</f>
        <v>Transfer</v>
      </c>
      <c r="E727" s="20">
        <v>2000.0</v>
      </c>
      <c r="F727" s="20">
        <v>0.0</v>
      </c>
      <c r="G727" s="12" t="str">
        <f t="shared" si="3"/>
        <v>Withdrawal</v>
      </c>
      <c r="H727" s="12" t="str">
        <f>TEXT(Raw_Data!A733,"hh:mm:ss")
</f>
        <v>08:19:12</v>
      </c>
      <c r="I727" s="20">
        <f t="shared" si="4"/>
        <v>2000</v>
      </c>
    </row>
    <row r="728">
      <c r="A728" s="12" t="str">
        <f>Raw_Data!A734</f>
        <v>14 Apr 2025 08:49:38</v>
      </c>
      <c r="B728" s="12" t="str">
        <f t="shared" si="1"/>
        <v>April</v>
      </c>
      <c r="C728" s="12">
        <f t="shared" si="2"/>
        <v>4</v>
      </c>
      <c r="D728" s="12" t="str">
        <f>IFERROR(__xludf.DUMMYFUNCTION("IFERROR(IF(REGEXMATCH(LOWER(Raw_Data!C734),""fixed deposit|owealth|savings|target""),""Fixed Deposit"",IF(REGEXMATCH(LOWER(Raw_Data!C734),""airtime""),""Airtime"",IF(REGEXMATCH(LOWER(Raw_Data!C734),""electronic money transfer levy""),""Electronic Money Tr"&amp;"ansfer Levy"",IF(REGEXMATCH(LOWER(Raw_Data!C734),""transfer|trf|send""),""Transfer"",""Other"")))),""Other"")"),"Airtime")</f>
        <v>Airtime</v>
      </c>
      <c r="E728" s="20">
        <v>500.0</v>
      </c>
      <c r="F728" s="20">
        <v>0.0</v>
      </c>
      <c r="G728" s="12" t="str">
        <f t="shared" si="3"/>
        <v>Withdrawal</v>
      </c>
      <c r="H728" s="12" t="str">
        <f>TEXT(Raw_Data!A734,"hh:mm:ss")
</f>
        <v>08:49:38</v>
      </c>
      <c r="I728" s="20">
        <f t="shared" si="4"/>
        <v>500</v>
      </c>
    </row>
    <row r="729">
      <c r="A729" s="12" t="str">
        <f>Raw_Data!A735</f>
        <v>14 Apr 2025 10:05:42</v>
      </c>
      <c r="B729" s="12" t="str">
        <f t="shared" si="1"/>
        <v>April</v>
      </c>
      <c r="C729" s="12">
        <f t="shared" si="2"/>
        <v>4</v>
      </c>
      <c r="D729" s="12" t="str">
        <f>IFERROR(__xludf.DUMMYFUNCTION("IFERROR(IF(REGEXMATCH(LOWER(Raw_Data!C735),""fixed deposit|owealth|savings|target""),""Fixed Deposit"",IF(REGEXMATCH(LOWER(Raw_Data!C735),""airtime""),""Airtime"",IF(REGEXMATCH(LOWER(Raw_Data!C735),""electronic money transfer levy""),""Electronic Money Tr"&amp;"ansfer Levy"",IF(REGEXMATCH(LOWER(Raw_Data!C735),""transfer|trf|send""),""Transfer"",""Other"")))),""Other"")"),"Transfer")</f>
        <v>Transfer</v>
      </c>
      <c r="E729" s="20">
        <v>1400.0</v>
      </c>
      <c r="F729" s="20">
        <v>0.0</v>
      </c>
      <c r="G729" s="12" t="str">
        <f t="shared" si="3"/>
        <v>Withdrawal</v>
      </c>
      <c r="H729" s="12" t="str">
        <f>TEXT(Raw_Data!A735,"hh:mm:ss")
</f>
        <v>10:05:42</v>
      </c>
      <c r="I729" s="20">
        <f t="shared" si="4"/>
        <v>1400</v>
      </c>
    </row>
    <row r="730">
      <c r="A730" s="12" t="str">
        <f>Raw_Data!A736</f>
        <v>14 Apr 2025 11:39:40</v>
      </c>
      <c r="B730" s="12" t="str">
        <f t="shared" si="1"/>
        <v>April</v>
      </c>
      <c r="C730" s="12">
        <f t="shared" si="2"/>
        <v>4</v>
      </c>
      <c r="D730" s="12" t="str">
        <f>IFERROR(__xludf.DUMMYFUNCTION("IFERROR(IF(REGEXMATCH(LOWER(Raw_Data!C736),""fixed deposit|owealth|savings|target""),""Fixed Deposit"",IF(REGEXMATCH(LOWER(Raw_Data!C736),""airtime""),""Airtime"",IF(REGEXMATCH(LOWER(Raw_Data!C736),""electronic money transfer levy""),""Electronic Money Tr"&amp;"ansfer Levy"",IF(REGEXMATCH(LOWER(Raw_Data!C736),""transfer|trf|send""),""Transfer"",""Other"")))),""Other"")"),"Transfer")</f>
        <v>Transfer</v>
      </c>
      <c r="E730" s="20">
        <v>1850.0</v>
      </c>
      <c r="F730" s="20">
        <v>0.0</v>
      </c>
      <c r="G730" s="12" t="str">
        <f t="shared" si="3"/>
        <v>Withdrawal</v>
      </c>
      <c r="H730" s="12" t="str">
        <f>TEXT(Raw_Data!A736,"hh:mm:ss")
</f>
        <v>11:39:40</v>
      </c>
      <c r="I730" s="20">
        <f t="shared" si="4"/>
        <v>1850</v>
      </c>
    </row>
    <row r="731">
      <c r="A731" s="12" t="str">
        <f>Raw_Data!A737</f>
        <v>14 Apr 2025 13:02:20</v>
      </c>
      <c r="B731" s="12" t="str">
        <f t="shared" si="1"/>
        <v>April</v>
      </c>
      <c r="C731" s="12">
        <f t="shared" si="2"/>
        <v>4</v>
      </c>
      <c r="D731" s="12" t="str">
        <f>IFERROR(__xludf.DUMMYFUNCTION("IFERROR(IF(REGEXMATCH(LOWER(Raw_Data!C737),""fixed deposit|owealth|savings|target""),""Fixed Deposit"",IF(REGEXMATCH(LOWER(Raw_Data!C737),""airtime""),""Airtime"",IF(REGEXMATCH(LOWER(Raw_Data!C737),""electronic money transfer levy""),""Electronic Money Tr"&amp;"ansfer Levy"",IF(REGEXMATCH(LOWER(Raw_Data!C737),""transfer|trf|send""),""Transfer"",""Other"")))),""Other"")"),"Transfer")</f>
        <v>Transfer</v>
      </c>
      <c r="E731" s="20">
        <v>3000.0</v>
      </c>
      <c r="F731" s="20">
        <v>0.0</v>
      </c>
      <c r="G731" s="12" t="str">
        <f t="shared" si="3"/>
        <v>Withdrawal</v>
      </c>
      <c r="H731" s="12" t="str">
        <f>TEXT(Raw_Data!A737,"hh:mm:ss")
</f>
        <v>13:02:20</v>
      </c>
      <c r="I731" s="20">
        <f t="shared" si="4"/>
        <v>3000</v>
      </c>
    </row>
    <row r="732">
      <c r="A732" s="12" t="str">
        <f>Raw_Data!A738</f>
        <v>14 Apr 2025 15:51:46</v>
      </c>
      <c r="B732" s="12" t="str">
        <f t="shared" si="1"/>
        <v>April</v>
      </c>
      <c r="C732" s="12">
        <f t="shared" si="2"/>
        <v>4</v>
      </c>
      <c r="D732" s="12" t="str">
        <f>IFERROR(__xludf.DUMMYFUNCTION("IFERROR(IF(REGEXMATCH(LOWER(Raw_Data!C738),""fixed deposit|owealth|savings|target""),""Fixed Deposit"",IF(REGEXMATCH(LOWER(Raw_Data!C738),""airtime""),""Airtime"",IF(REGEXMATCH(LOWER(Raw_Data!C738),""electronic money transfer levy""),""Electronic Money Tr"&amp;"ansfer Levy"",IF(REGEXMATCH(LOWER(Raw_Data!C738),""transfer|trf|send""),""Transfer"",""Other"")))),""Other"")"),"Transfer")</f>
        <v>Transfer</v>
      </c>
      <c r="E732" s="20">
        <v>1000.0</v>
      </c>
      <c r="F732" s="20">
        <v>0.0</v>
      </c>
      <c r="G732" s="12" t="str">
        <f t="shared" si="3"/>
        <v>Withdrawal</v>
      </c>
      <c r="H732" s="12" t="str">
        <f>TEXT(Raw_Data!A738,"hh:mm:ss")
</f>
        <v>15:51:46</v>
      </c>
      <c r="I732" s="20">
        <f t="shared" si="4"/>
        <v>1000</v>
      </c>
    </row>
    <row r="733">
      <c r="A733" s="12" t="str">
        <f>Raw_Data!A739</f>
        <v>14 Apr 2025 17:19:19</v>
      </c>
      <c r="B733" s="12" t="str">
        <f t="shared" si="1"/>
        <v>April</v>
      </c>
      <c r="C733" s="12">
        <f t="shared" si="2"/>
        <v>4</v>
      </c>
      <c r="D733" s="12" t="str">
        <f>IFERROR(__xludf.DUMMYFUNCTION("IFERROR(IF(REGEXMATCH(LOWER(Raw_Data!C739),""fixed deposit|owealth|savings|target""),""Fixed Deposit"",IF(REGEXMATCH(LOWER(Raw_Data!C739),""airtime""),""Airtime"",IF(REGEXMATCH(LOWER(Raw_Data!C739),""electronic money transfer levy""),""Electronic Money Tr"&amp;"ansfer Levy"",IF(REGEXMATCH(LOWER(Raw_Data!C739),""transfer|trf|send""),""Transfer"",""Other"")))),""Other"")"),"Transfer")</f>
        <v>Transfer</v>
      </c>
      <c r="E733" s="20">
        <v>0.0</v>
      </c>
      <c r="F733" s="20">
        <v>3000.0</v>
      </c>
      <c r="G733" s="12" t="str">
        <f t="shared" si="3"/>
        <v>Deposit</v>
      </c>
      <c r="H733" s="12" t="str">
        <f>TEXT(Raw_Data!A739,"hh:mm:ss")
</f>
        <v>17:19:19</v>
      </c>
      <c r="I733" s="20">
        <f t="shared" si="4"/>
        <v>3000</v>
      </c>
    </row>
    <row r="734">
      <c r="A734" s="12" t="str">
        <f>Raw_Data!A740</f>
        <v>14 Apr 2025 17:23:38</v>
      </c>
      <c r="B734" s="12" t="str">
        <f t="shared" si="1"/>
        <v>April</v>
      </c>
      <c r="C734" s="12">
        <f t="shared" si="2"/>
        <v>4</v>
      </c>
      <c r="D734" s="12" t="str">
        <f>IFERROR(__xludf.DUMMYFUNCTION("IFERROR(IF(REGEXMATCH(LOWER(Raw_Data!C740),""fixed deposit|owealth|savings|target""),""Fixed Deposit"",IF(REGEXMATCH(LOWER(Raw_Data!C740),""airtime""),""Airtime"",IF(REGEXMATCH(LOWER(Raw_Data!C740),""electronic money transfer levy""),""Electronic Money Tr"&amp;"ansfer Levy"",IF(REGEXMATCH(LOWER(Raw_Data!C740),""transfer|trf|send""),""Transfer"",""Other"")))),""Other"")"),"Transfer")</f>
        <v>Transfer</v>
      </c>
      <c r="E734" s="20">
        <v>0.0</v>
      </c>
      <c r="F734" s="20">
        <v>4320.0</v>
      </c>
      <c r="G734" s="12" t="str">
        <f t="shared" si="3"/>
        <v>Deposit</v>
      </c>
      <c r="H734" s="12" t="str">
        <f>TEXT(Raw_Data!A740,"hh:mm:ss")
</f>
        <v>17:23:38</v>
      </c>
      <c r="I734" s="20">
        <f t="shared" si="4"/>
        <v>4320</v>
      </c>
    </row>
    <row r="735">
      <c r="A735" s="12" t="str">
        <f>Raw_Data!A741</f>
        <v>14 Apr 2025 17:35:57</v>
      </c>
      <c r="B735" s="12" t="str">
        <f t="shared" si="1"/>
        <v>April</v>
      </c>
      <c r="C735" s="12">
        <f t="shared" si="2"/>
        <v>4</v>
      </c>
      <c r="D735" s="12" t="str">
        <f>IFERROR(__xludf.DUMMYFUNCTION("IFERROR(IF(REGEXMATCH(LOWER(Raw_Data!C741),""fixed deposit|owealth|savings|target""),""Fixed Deposit"",IF(REGEXMATCH(LOWER(Raw_Data!C741),""airtime""),""Airtime"",IF(REGEXMATCH(LOWER(Raw_Data!C741),""electronic money transfer levy""),""Electronic Money Tr"&amp;"ansfer Levy"",IF(REGEXMATCH(LOWER(Raw_Data!C741),""transfer|trf|send""),""Transfer"",""Other"")))),""Other"")"),"Transfer")</f>
        <v>Transfer</v>
      </c>
      <c r="E735" s="20">
        <v>900.0</v>
      </c>
      <c r="F735" s="20">
        <v>0.0</v>
      </c>
      <c r="G735" s="12" t="str">
        <f t="shared" si="3"/>
        <v>Withdrawal</v>
      </c>
      <c r="H735" s="12" t="str">
        <f>TEXT(Raw_Data!A741,"hh:mm:ss")
</f>
        <v>17:35:57</v>
      </c>
      <c r="I735" s="20">
        <f t="shared" si="4"/>
        <v>900</v>
      </c>
    </row>
    <row r="736">
      <c r="A736" s="12" t="str">
        <f>Raw_Data!A742</f>
        <v>14 Apr 2025 18:04:11</v>
      </c>
      <c r="B736" s="12" t="str">
        <f t="shared" si="1"/>
        <v>April</v>
      </c>
      <c r="C736" s="12">
        <f t="shared" si="2"/>
        <v>4</v>
      </c>
      <c r="D736" s="12" t="str">
        <f>IFERROR(__xludf.DUMMYFUNCTION("IFERROR(IF(REGEXMATCH(LOWER(Raw_Data!C742),""fixed deposit|owealth|savings|target""),""Fixed Deposit"",IF(REGEXMATCH(LOWER(Raw_Data!C742),""airtime""),""Airtime"",IF(REGEXMATCH(LOWER(Raw_Data!C742),""electronic money transfer levy""),""Electronic Money Tr"&amp;"ansfer Levy"",IF(REGEXMATCH(LOWER(Raw_Data!C742),""transfer|trf|send""),""Transfer"",""Other"")))),""Other"")"),"Transfer")</f>
        <v>Transfer</v>
      </c>
      <c r="E736" s="20">
        <v>1110.0</v>
      </c>
      <c r="F736" s="20">
        <v>0.0</v>
      </c>
      <c r="G736" s="12" t="str">
        <f t="shared" si="3"/>
        <v>Withdrawal</v>
      </c>
      <c r="H736" s="12" t="str">
        <f>TEXT(Raw_Data!A742,"hh:mm:ss")
</f>
        <v>18:04:11</v>
      </c>
      <c r="I736" s="20">
        <f t="shared" si="4"/>
        <v>1110</v>
      </c>
    </row>
    <row r="737">
      <c r="A737" s="12" t="str">
        <f>Raw_Data!A743</f>
        <v>14 Apr 2025 20:59:55</v>
      </c>
      <c r="B737" s="12" t="str">
        <f t="shared" si="1"/>
        <v>April</v>
      </c>
      <c r="C737" s="12">
        <f t="shared" si="2"/>
        <v>4</v>
      </c>
      <c r="D737" s="12" t="str">
        <f>IFERROR(__xludf.DUMMYFUNCTION("IFERROR(IF(REGEXMATCH(LOWER(Raw_Data!C743),""fixed deposit|owealth|savings|target""),""Fixed Deposit"",IF(REGEXMATCH(LOWER(Raw_Data!C743),""airtime""),""Airtime"",IF(REGEXMATCH(LOWER(Raw_Data!C743),""electronic money transfer levy""),""Electronic Money Tr"&amp;"ansfer Levy"",IF(REGEXMATCH(LOWER(Raw_Data!C743),""transfer|trf|send""),""Transfer"",""Other"")))),""Other"")"),"Airtime")</f>
        <v>Airtime</v>
      </c>
      <c r="E737" s="20">
        <v>200.0</v>
      </c>
      <c r="F737" s="20">
        <v>0.0</v>
      </c>
      <c r="G737" s="12" t="str">
        <f t="shared" si="3"/>
        <v>Withdrawal</v>
      </c>
      <c r="H737" s="12" t="str">
        <f>TEXT(Raw_Data!A743,"hh:mm:ss")
</f>
        <v>20:59:55</v>
      </c>
      <c r="I737" s="20">
        <f t="shared" si="4"/>
        <v>200</v>
      </c>
    </row>
    <row r="738">
      <c r="A738" s="12" t="str">
        <f>Raw_Data!A744</f>
        <v>15 Apr 2025 07:27:35</v>
      </c>
      <c r="B738" s="12" t="str">
        <f t="shared" si="1"/>
        <v>April</v>
      </c>
      <c r="C738" s="12">
        <f t="shared" si="2"/>
        <v>4</v>
      </c>
      <c r="D738" s="12" t="str">
        <f>IFERROR(__xludf.DUMMYFUNCTION("IFERROR(IF(REGEXMATCH(LOWER(Raw_Data!C744),""fixed deposit|owealth|savings|target""),""Fixed Deposit"",IF(REGEXMATCH(LOWER(Raw_Data!C744),""airtime""),""Airtime"",IF(REGEXMATCH(LOWER(Raw_Data!C744),""electronic money transfer levy""),""Electronic Money Tr"&amp;"ansfer Levy"",IF(REGEXMATCH(LOWER(Raw_Data!C744),""transfer|trf|send""),""Transfer"",""Other"")))),""Other"")"),"Transfer")</f>
        <v>Transfer</v>
      </c>
      <c r="E738" s="20">
        <v>1200.0</v>
      </c>
      <c r="F738" s="20">
        <v>0.0</v>
      </c>
      <c r="G738" s="12" t="str">
        <f t="shared" si="3"/>
        <v>Withdrawal</v>
      </c>
      <c r="H738" s="12" t="str">
        <f>TEXT(Raw_Data!A744,"hh:mm:ss")
</f>
        <v>07:27:35</v>
      </c>
      <c r="I738" s="20">
        <f t="shared" si="4"/>
        <v>1200</v>
      </c>
    </row>
    <row r="739">
      <c r="A739" s="12" t="str">
        <f>Raw_Data!A745</f>
        <v>15 Apr 2025 07:55:39</v>
      </c>
      <c r="B739" s="12" t="str">
        <f t="shared" si="1"/>
        <v>April</v>
      </c>
      <c r="C739" s="12">
        <f t="shared" si="2"/>
        <v>4</v>
      </c>
      <c r="D739" s="12" t="str">
        <f>IFERROR(__xludf.DUMMYFUNCTION("IFERROR(IF(REGEXMATCH(LOWER(Raw_Data!C745),""fixed deposit|owealth|savings|target""),""Fixed Deposit"",IF(REGEXMATCH(LOWER(Raw_Data!C745),""airtime""),""Airtime"",IF(REGEXMATCH(LOWER(Raw_Data!C745),""electronic money transfer levy""),""Electronic Money Tr"&amp;"ansfer Levy"",IF(REGEXMATCH(LOWER(Raw_Data!C745),""transfer|trf|send""),""Transfer"",""Other"")))),""Other"")"),"Transfer")</f>
        <v>Transfer</v>
      </c>
      <c r="E739" s="20">
        <v>300.0</v>
      </c>
      <c r="F739" s="20">
        <v>0.0</v>
      </c>
      <c r="G739" s="12" t="str">
        <f t="shared" si="3"/>
        <v>Withdrawal</v>
      </c>
      <c r="H739" s="12" t="str">
        <f>TEXT(Raw_Data!A745,"hh:mm:ss")
</f>
        <v>07:55:39</v>
      </c>
      <c r="I739" s="20">
        <f t="shared" si="4"/>
        <v>300</v>
      </c>
    </row>
    <row r="740">
      <c r="A740" s="12" t="str">
        <f>Raw_Data!A746</f>
        <v>15 Apr 2025 15:16:06</v>
      </c>
      <c r="B740" s="12" t="str">
        <f t="shared" si="1"/>
        <v>April</v>
      </c>
      <c r="C740" s="12">
        <f t="shared" si="2"/>
        <v>4</v>
      </c>
      <c r="D740" s="12" t="str">
        <f>IFERROR(__xludf.DUMMYFUNCTION("IFERROR(IF(REGEXMATCH(LOWER(Raw_Data!C746),""fixed deposit|owealth|savings|target""),""Fixed Deposit"",IF(REGEXMATCH(LOWER(Raw_Data!C746),""airtime""),""Airtime"",IF(REGEXMATCH(LOWER(Raw_Data!C746),""electronic money transfer levy""),""Electronic Money Tr"&amp;"ansfer Levy"",IF(REGEXMATCH(LOWER(Raw_Data!C746),""transfer|trf|send""),""Transfer"",""Other"")))),""Other"")"),"Transfer")</f>
        <v>Transfer</v>
      </c>
      <c r="E740" s="20">
        <v>500.0</v>
      </c>
      <c r="F740" s="20">
        <v>0.0</v>
      </c>
      <c r="G740" s="12" t="str">
        <f t="shared" si="3"/>
        <v>Withdrawal</v>
      </c>
      <c r="H740" s="12" t="str">
        <f>TEXT(Raw_Data!A746,"hh:mm:ss")
</f>
        <v>15:16:06</v>
      </c>
      <c r="I740" s="20">
        <f t="shared" si="4"/>
        <v>500</v>
      </c>
    </row>
    <row r="741">
      <c r="A741" s="12" t="str">
        <f>Raw_Data!A747</f>
        <v>15 Apr 2025 18:05:15</v>
      </c>
      <c r="B741" s="12" t="str">
        <f t="shared" si="1"/>
        <v>April</v>
      </c>
      <c r="C741" s="12">
        <f t="shared" si="2"/>
        <v>4</v>
      </c>
      <c r="D741" s="12" t="str">
        <f>IFERROR(__xludf.DUMMYFUNCTION("IFERROR(IF(REGEXMATCH(LOWER(Raw_Data!C747),""fixed deposit|owealth|savings|target""),""Fixed Deposit"",IF(REGEXMATCH(LOWER(Raw_Data!C747),""airtime""),""Airtime"",IF(REGEXMATCH(LOWER(Raw_Data!C747),""electronic money transfer levy""),""Electronic Money Tr"&amp;"ansfer Levy"",IF(REGEXMATCH(LOWER(Raw_Data!C747),""transfer|trf|send""),""Transfer"",""Other"")))),""Other"")"),"Transfer")</f>
        <v>Transfer</v>
      </c>
      <c r="E741" s="20">
        <v>500.0</v>
      </c>
      <c r="F741" s="20">
        <v>0.0</v>
      </c>
      <c r="G741" s="12" t="str">
        <f t="shared" si="3"/>
        <v>Withdrawal</v>
      </c>
      <c r="H741" s="12" t="str">
        <f>TEXT(Raw_Data!A747,"hh:mm:ss")
</f>
        <v>18:05:15</v>
      </c>
      <c r="I741" s="20">
        <f t="shared" si="4"/>
        <v>500</v>
      </c>
    </row>
    <row r="742">
      <c r="A742" s="12" t="str">
        <f>Raw_Data!A748</f>
        <v>16 Apr 2025 07:29:10</v>
      </c>
      <c r="B742" s="12" t="str">
        <f t="shared" si="1"/>
        <v>April</v>
      </c>
      <c r="C742" s="12">
        <f t="shared" si="2"/>
        <v>4</v>
      </c>
      <c r="D742" s="12" t="str">
        <f>IFERROR(__xludf.DUMMYFUNCTION("IFERROR(IF(REGEXMATCH(LOWER(Raw_Data!C748),""fixed deposit|owealth|savings|target""),""Fixed Deposit"",IF(REGEXMATCH(LOWER(Raw_Data!C748),""airtime""),""Airtime"",IF(REGEXMATCH(LOWER(Raw_Data!C748),""electronic money transfer levy""),""Electronic Money Tr"&amp;"ansfer Levy"",IF(REGEXMATCH(LOWER(Raw_Data!C748),""transfer|trf|send""),""Transfer"",""Other"")))),""Other"")"),"Transfer")</f>
        <v>Transfer</v>
      </c>
      <c r="E742" s="20">
        <v>200.0</v>
      </c>
      <c r="F742" s="20">
        <v>0.0</v>
      </c>
      <c r="G742" s="12" t="str">
        <f t="shared" si="3"/>
        <v>Withdrawal</v>
      </c>
      <c r="H742" s="12" t="str">
        <f>TEXT(Raw_Data!A748,"hh:mm:ss")
</f>
        <v>07:29:10</v>
      </c>
      <c r="I742" s="20">
        <f t="shared" si="4"/>
        <v>200</v>
      </c>
    </row>
    <row r="743">
      <c r="A743" s="12" t="str">
        <f>Raw_Data!A749</f>
        <v>16 Apr 2025 08:24:25</v>
      </c>
      <c r="B743" s="12" t="str">
        <f t="shared" si="1"/>
        <v>April</v>
      </c>
      <c r="C743" s="12">
        <f t="shared" si="2"/>
        <v>4</v>
      </c>
      <c r="D743" s="12" t="str">
        <f>IFERROR(__xludf.DUMMYFUNCTION("IFERROR(IF(REGEXMATCH(LOWER(Raw_Data!C749),""fixed deposit|owealth|savings|target""),""Fixed Deposit"",IF(REGEXMATCH(LOWER(Raw_Data!C749),""airtime""),""Airtime"",IF(REGEXMATCH(LOWER(Raw_Data!C749),""electronic money transfer levy""),""Electronic Money Tr"&amp;"ansfer Levy"",IF(REGEXMATCH(LOWER(Raw_Data!C749),""transfer|trf|send""),""Transfer"",""Other"")))),""Other"")"),"Transfer")</f>
        <v>Transfer</v>
      </c>
      <c r="E743" s="20">
        <v>800.0</v>
      </c>
      <c r="F743" s="20">
        <v>0.0</v>
      </c>
      <c r="G743" s="12" t="str">
        <f t="shared" si="3"/>
        <v>Withdrawal</v>
      </c>
      <c r="H743" s="12" t="str">
        <f>TEXT(Raw_Data!A749,"hh:mm:ss")
</f>
        <v>08:24:25</v>
      </c>
      <c r="I743" s="20">
        <f t="shared" si="4"/>
        <v>800</v>
      </c>
    </row>
    <row r="744">
      <c r="A744" s="12" t="str">
        <f>Raw_Data!A750</f>
        <v>16 Apr 2025 11:23:06</v>
      </c>
      <c r="B744" s="12" t="str">
        <f t="shared" si="1"/>
        <v>April</v>
      </c>
      <c r="C744" s="12">
        <f t="shared" si="2"/>
        <v>4</v>
      </c>
      <c r="D744" s="12" t="str">
        <f>IFERROR(__xludf.DUMMYFUNCTION("IFERROR(IF(REGEXMATCH(LOWER(Raw_Data!C750),""fixed deposit|owealth|savings|target""),""Fixed Deposit"",IF(REGEXMATCH(LOWER(Raw_Data!C750),""airtime""),""Airtime"",IF(REGEXMATCH(LOWER(Raw_Data!C750),""electronic money transfer levy""),""Electronic Money Tr"&amp;"ansfer Levy"",IF(REGEXMATCH(LOWER(Raw_Data!C750),""transfer|trf|send""),""Transfer"",""Other"")))),""Other"")"),"Airtime")</f>
        <v>Airtime</v>
      </c>
      <c r="E744" s="20">
        <v>200.0</v>
      </c>
      <c r="F744" s="20">
        <v>0.0</v>
      </c>
      <c r="G744" s="12" t="str">
        <f t="shared" si="3"/>
        <v>Withdrawal</v>
      </c>
      <c r="H744" s="12" t="str">
        <f>TEXT(Raw_Data!A750,"hh:mm:ss")
</f>
        <v>11:23:06</v>
      </c>
      <c r="I744" s="20">
        <f t="shared" si="4"/>
        <v>200</v>
      </c>
    </row>
    <row r="745">
      <c r="A745" s="12" t="str">
        <f>Raw_Data!A751</f>
        <v>16 Apr 2025 13:23:04</v>
      </c>
      <c r="B745" s="12" t="str">
        <f t="shared" si="1"/>
        <v>April</v>
      </c>
      <c r="C745" s="12">
        <f t="shared" si="2"/>
        <v>4</v>
      </c>
      <c r="D745" s="12" t="str">
        <f>IFERROR(__xludf.DUMMYFUNCTION("IFERROR(IF(REGEXMATCH(LOWER(Raw_Data!C751),""fixed deposit|owealth|savings|target""),""Fixed Deposit"",IF(REGEXMATCH(LOWER(Raw_Data!C751),""airtime""),""Airtime"",IF(REGEXMATCH(LOWER(Raw_Data!C751),""electronic money transfer levy""),""Electronic Money Tr"&amp;"ansfer Levy"",IF(REGEXMATCH(LOWER(Raw_Data!C751),""transfer|trf|send""),""Transfer"",""Other"")))),""Other"")"),"Transfer")</f>
        <v>Transfer</v>
      </c>
      <c r="E745" s="20">
        <v>200.0</v>
      </c>
      <c r="F745" s="20">
        <v>0.0</v>
      </c>
      <c r="G745" s="12" t="str">
        <f t="shared" si="3"/>
        <v>Withdrawal</v>
      </c>
      <c r="H745" s="12" t="str">
        <f>TEXT(Raw_Data!A751,"hh:mm:ss")
</f>
        <v>13:23:04</v>
      </c>
      <c r="I745" s="20">
        <f t="shared" si="4"/>
        <v>200</v>
      </c>
    </row>
    <row r="746">
      <c r="A746" s="12" t="str">
        <f>Raw_Data!A752</f>
        <v>16 Apr 2025 13:24:04</v>
      </c>
      <c r="B746" s="12" t="str">
        <f t="shared" si="1"/>
        <v>April</v>
      </c>
      <c r="C746" s="12">
        <f t="shared" si="2"/>
        <v>4</v>
      </c>
      <c r="D746" s="12" t="str">
        <f>IFERROR(__xludf.DUMMYFUNCTION("IFERROR(IF(REGEXMATCH(LOWER(Raw_Data!C752),""fixed deposit|owealth|savings|target""),""Fixed Deposit"",IF(REGEXMATCH(LOWER(Raw_Data!C752),""airtime""),""Airtime"",IF(REGEXMATCH(LOWER(Raw_Data!C752),""electronic money transfer levy""),""Electronic Money Tr"&amp;"ansfer Levy"",IF(REGEXMATCH(LOWER(Raw_Data!C752),""transfer|trf|send""),""Transfer"",""Other"")))),""Other"")"),"Transfer")</f>
        <v>Transfer</v>
      </c>
      <c r="E746" s="20">
        <v>1500.0</v>
      </c>
      <c r="F746" s="20">
        <v>0.0</v>
      </c>
      <c r="G746" s="12" t="str">
        <f t="shared" si="3"/>
        <v>Withdrawal</v>
      </c>
      <c r="H746" s="12" t="str">
        <f>TEXT(Raw_Data!A752,"hh:mm:ss")
</f>
        <v>13:24:04</v>
      </c>
      <c r="I746" s="20">
        <f t="shared" si="4"/>
        <v>1500</v>
      </c>
    </row>
    <row r="747">
      <c r="A747" s="12" t="str">
        <f>Raw_Data!A753</f>
        <v>16 Apr 2025 13:26:28</v>
      </c>
      <c r="B747" s="12" t="str">
        <f t="shared" si="1"/>
        <v>April</v>
      </c>
      <c r="C747" s="12">
        <f t="shared" si="2"/>
        <v>4</v>
      </c>
      <c r="D747" s="12" t="str">
        <f>IFERROR(__xludf.DUMMYFUNCTION("IFERROR(IF(REGEXMATCH(LOWER(Raw_Data!C753),""fixed deposit|owealth|savings|target""),""Fixed Deposit"",IF(REGEXMATCH(LOWER(Raw_Data!C753),""airtime""),""Airtime"",IF(REGEXMATCH(LOWER(Raw_Data!C753),""electronic money transfer levy""),""Electronic Money Tr"&amp;"ansfer Levy"",IF(REGEXMATCH(LOWER(Raw_Data!C753),""transfer|trf|send""),""Transfer"",""Other"")))),""Other"")"),"Transfer")</f>
        <v>Transfer</v>
      </c>
      <c r="E747" s="20">
        <v>400.0</v>
      </c>
      <c r="F747" s="20">
        <v>0.0</v>
      </c>
      <c r="G747" s="12" t="str">
        <f t="shared" si="3"/>
        <v>Withdrawal</v>
      </c>
      <c r="H747" s="12" t="str">
        <f>TEXT(Raw_Data!A753,"hh:mm:ss")
</f>
        <v>13:26:28</v>
      </c>
      <c r="I747" s="20">
        <f t="shared" si="4"/>
        <v>400</v>
      </c>
    </row>
    <row r="748">
      <c r="A748" s="12" t="str">
        <f>Raw_Data!A754</f>
        <v>16 Apr 2025 18:26:25</v>
      </c>
      <c r="B748" s="12" t="str">
        <f t="shared" si="1"/>
        <v>April</v>
      </c>
      <c r="C748" s="12">
        <f t="shared" si="2"/>
        <v>4</v>
      </c>
      <c r="D748" s="12" t="str">
        <f>IFERROR(__xludf.DUMMYFUNCTION("IFERROR(IF(REGEXMATCH(LOWER(Raw_Data!C754),""fixed deposit|owealth|savings|target""),""Fixed Deposit"",IF(REGEXMATCH(LOWER(Raw_Data!C754),""airtime""),""Airtime"",IF(REGEXMATCH(LOWER(Raw_Data!C754),""electronic money transfer levy""),""Electronic Money Tr"&amp;"ansfer Levy"",IF(REGEXMATCH(LOWER(Raw_Data!C754),""transfer|trf|send""),""Transfer"",""Other"")))),""Other"")"),"Transfer")</f>
        <v>Transfer</v>
      </c>
      <c r="E748" s="20">
        <v>100.0</v>
      </c>
      <c r="F748" s="20">
        <v>0.0</v>
      </c>
      <c r="G748" s="12" t="str">
        <f t="shared" si="3"/>
        <v>Withdrawal</v>
      </c>
      <c r="H748" s="12" t="str">
        <f>TEXT(Raw_Data!A754,"hh:mm:ss")
</f>
        <v>18:26:25</v>
      </c>
      <c r="I748" s="20">
        <f t="shared" si="4"/>
        <v>100</v>
      </c>
    </row>
    <row r="749">
      <c r="A749" s="12" t="str">
        <f>Raw_Data!A755</f>
        <v>16 Apr 2025 19:08:26</v>
      </c>
      <c r="B749" s="12" t="str">
        <f t="shared" si="1"/>
        <v>April</v>
      </c>
      <c r="C749" s="12">
        <f t="shared" si="2"/>
        <v>4</v>
      </c>
      <c r="D749" s="12" t="str">
        <f>IFERROR(__xludf.DUMMYFUNCTION("IFERROR(IF(REGEXMATCH(LOWER(Raw_Data!C755),""fixed deposit|owealth|savings|target""),""Fixed Deposit"",IF(REGEXMATCH(LOWER(Raw_Data!C755),""airtime""),""Airtime"",IF(REGEXMATCH(LOWER(Raw_Data!C755),""electronic money transfer levy""),""Electronic Money Tr"&amp;"ansfer Levy"",IF(REGEXMATCH(LOWER(Raw_Data!C755),""transfer|trf|send""),""Transfer"",""Other"")))),""Other"")"),"Transfer")</f>
        <v>Transfer</v>
      </c>
      <c r="E749" s="20">
        <v>1210.0</v>
      </c>
      <c r="F749" s="20">
        <v>0.0</v>
      </c>
      <c r="G749" s="12" t="str">
        <f t="shared" si="3"/>
        <v>Withdrawal</v>
      </c>
      <c r="H749" s="12" t="str">
        <f>TEXT(Raw_Data!A755,"hh:mm:ss")
</f>
        <v>19:08:26</v>
      </c>
      <c r="I749" s="20">
        <f t="shared" si="4"/>
        <v>1210</v>
      </c>
    </row>
    <row r="750">
      <c r="A750" s="12" t="str">
        <f>Raw_Data!A756</f>
        <v>17 Apr 2025 03:14:13</v>
      </c>
      <c r="B750" s="12" t="str">
        <f t="shared" si="1"/>
        <v>April</v>
      </c>
      <c r="C750" s="12">
        <f t="shared" si="2"/>
        <v>4</v>
      </c>
      <c r="D750" s="12" t="str">
        <f>IFERROR(__xludf.DUMMYFUNCTION("IFERROR(IF(REGEXMATCH(LOWER(Raw_Data!C756),""fixed deposit|owealth|savings|target""),""Fixed Deposit"",IF(REGEXMATCH(LOWER(Raw_Data!C756),""airtime""),""Airtime"",IF(REGEXMATCH(LOWER(Raw_Data!C756),""electronic money transfer levy""),""Electronic Money Tr"&amp;"ansfer Levy"",IF(REGEXMATCH(LOWER(Raw_Data!C756),""transfer|trf|send""),""Transfer"",""Other"")))),""Other"")"),"Transfer")</f>
        <v>Transfer</v>
      </c>
      <c r="E750" s="20">
        <v>0.0</v>
      </c>
      <c r="F750" s="20">
        <v>15945.0</v>
      </c>
      <c r="G750" s="12" t="str">
        <f t="shared" si="3"/>
        <v>Deposit</v>
      </c>
      <c r="H750" s="12" t="str">
        <f>TEXT(Raw_Data!A756,"hh:mm:ss")
</f>
        <v>03:14:13</v>
      </c>
      <c r="I750" s="20">
        <f t="shared" si="4"/>
        <v>15945</v>
      </c>
    </row>
    <row r="751">
      <c r="A751" s="12" t="str">
        <f>Raw_Data!A757</f>
        <v>17 Apr 2025 03:14:19</v>
      </c>
      <c r="B751" s="12" t="str">
        <f t="shared" si="1"/>
        <v>April</v>
      </c>
      <c r="C751" s="12">
        <f t="shared" si="2"/>
        <v>4</v>
      </c>
      <c r="D751" s="12" t="str">
        <f>IFERROR(__xludf.DUMMYFUNCTION("IFERROR(IF(REGEXMATCH(LOWER(Raw_Data!C757),""fixed deposit|owealth|savings|target""),""Fixed Deposit"",IF(REGEXMATCH(LOWER(Raw_Data!C757),""airtime""),""Airtime"",IF(REGEXMATCH(LOWER(Raw_Data!C757),""electronic money transfer levy""),""Electronic Money Tr"&amp;"ansfer Levy"",IF(REGEXMATCH(LOWER(Raw_Data!C757),""transfer|trf|send""),""Transfer"",""Other"")))),""Other"")"),"Electronic Money Transfer Levy")</f>
        <v>Electronic Money Transfer Levy</v>
      </c>
      <c r="E751" s="20">
        <v>50.0</v>
      </c>
      <c r="F751" s="20">
        <v>0.0</v>
      </c>
      <c r="G751" s="12" t="str">
        <f t="shared" si="3"/>
        <v>Withdrawal</v>
      </c>
      <c r="H751" s="12" t="str">
        <f>TEXT(Raw_Data!A757,"hh:mm:ss")
</f>
        <v>03:14:19</v>
      </c>
      <c r="I751" s="20">
        <f t="shared" si="4"/>
        <v>50</v>
      </c>
    </row>
    <row r="752">
      <c r="A752" s="12" t="str">
        <f>Raw_Data!A758</f>
        <v>17 Apr 2025 05:48:07</v>
      </c>
      <c r="B752" s="12" t="str">
        <f t="shared" si="1"/>
        <v>April</v>
      </c>
      <c r="C752" s="12">
        <f t="shared" si="2"/>
        <v>4</v>
      </c>
      <c r="D752" s="12" t="str">
        <f>IFERROR(__xludf.DUMMYFUNCTION("IFERROR(IF(REGEXMATCH(LOWER(Raw_Data!C758),""fixed deposit|owealth|savings|target""),""Fixed Deposit"",IF(REGEXMATCH(LOWER(Raw_Data!C758),""airtime""),""Airtime"",IF(REGEXMATCH(LOWER(Raw_Data!C758),""electronic money transfer levy""),""Electronic Money Tr"&amp;"ansfer Levy"",IF(REGEXMATCH(LOWER(Raw_Data!C758),""transfer|trf|send""),""Transfer"",""Other"")))),""Other"")"),"Transfer")</f>
        <v>Transfer</v>
      </c>
      <c r="E752" s="20">
        <v>2000.0</v>
      </c>
      <c r="F752" s="20">
        <v>0.0</v>
      </c>
      <c r="G752" s="12" t="str">
        <f t="shared" si="3"/>
        <v>Withdrawal</v>
      </c>
      <c r="H752" s="12" t="str">
        <f>TEXT(Raw_Data!A758,"hh:mm:ss")
</f>
        <v>05:48:07</v>
      </c>
      <c r="I752" s="20">
        <f t="shared" si="4"/>
        <v>2000</v>
      </c>
    </row>
    <row r="753">
      <c r="A753" s="12" t="str">
        <f>Raw_Data!A759</f>
        <v>17 Apr 2025 05:59:06</v>
      </c>
      <c r="B753" s="12" t="str">
        <f t="shared" si="1"/>
        <v>April</v>
      </c>
      <c r="C753" s="12">
        <f t="shared" si="2"/>
        <v>4</v>
      </c>
      <c r="D753" s="12" t="str">
        <f>IFERROR(__xludf.DUMMYFUNCTION("IFERROR(IF(REGEXMATCH(LOWER(Raw_Data!C759),""fixed deposit|owealth|savings|target""),""Fixed Deposit"",IF(REGEXMATCH(LOWER(Raw_Data!C759),""airtime""),""Airtime"",IF(REGEXMATCH(LOWER(Raw_Data!C759),""electronic money transfer levy""),""Electronic Money Tr"&amp;"ansfer Levy"",IF(REGEXMATCH(LOWER(Raw_Data!C759),""transfer|trf|send""),""Transfer"",""Other"")))),""Other"")"),"Airtime")</f>
        <v>Airtime</v>
      </c>
      <c r="E753" s="20">
        <v>500.0</v>
      </c>
      <c r="F753" s="20">
        <v>0.0</v>
      </c>
      <c r="G753" s="12" t="str">
        <f t="shared" si="3"/>
        <v>Withdrawal</v>
      </c>
      <c r="H753" s="12" t="str">
        <f>TEXT(Raw_Data!A759,"hh:mm:ss")
</f>
        <v>05:59:06</v>
      </c>
      <c r="I753" s="20">
        <f t="shared" si="4"/>
        <v>500</v>
      </c>
    </row>
    <row r="754">
      <c r="A754" s="12" t="str">
        <f>Raw_Data!A760</f>
        <v>17 Apr 2025 09:53:44</v>
      </c>
      <c r="B754" s="12" t="str">
        <f t="shared" si="1"/>
        <v>April</v>
      </c>
      <c r="C754" s="12">
        <f t="shared" si="2"/>
        <v>4</v>
      </c>
      <c r="D754" s="12" t="str">
        <f>IFERROR(__xludf.DUMMYFUNCTION("IFERROR(IF(REGEXMATCH(LOWER(Raw_Data!C760),""fixed deposit|owealth|savings|target""),""Fixed Deposit"",IF(REGEXMATCH(LOWER(Raw_Data!C760),""airtime""),""Airtime"",IF(REGEXMATCH(LOWER(Raw_Data!C760),""electronic money transfer levy""),""Electronic Money Tr"&amp;"ansfer Levy"",IF(REGEXMATCH(LOWER(Raw_Data!C760),""transfer|trf|send""),""Transfer"",""Other"")))),""Other"")"),"Transfer")</f>
        <v>Transfer</v>
      </c>
      <c r="E754" s="20">
        <v>1900.0</v>
      </c>
      <c r="F754" s="20">
        <v>0.0</v>
      </c>
      <c r="G754" s="12" t="str">
        <f t="shared" si="3"/>
        <v>Withdrawal</v>
      </c>
      <c r="H754" s="12" t="str">
        <f>TEXT(Raw_Data!A760,"hh:mm:ss")
</f>
        <v>09:53:44</v>
      </c>
      <c r="I754" s="20">
        <f t="shared" si="4"/>
        <v>1900</v>
      </c>
    </row>
    <row r="755">
      <c r="A755" s="12" t="str">
        <f>Raw_Data!A761</f>
        <v>17 Apr 2025 10:57:04</v>
      </c>
      <c r="B755" s="12" t="str">
        <f t="shared" si="1"/>
        <v>April</v>
      </c>
      <c r="C755" s="12">
        <f t="shared" si="2"/>
        <v>4</v>
      </c>
      <c r="D755" s="12" t="str">
        <f>IFERROR(__xludf.DUMMYFUNCTION("IFERROR(IF(REGEXMATCH(LOWER(Raw_Data!C761),""fixed deposit|owealth|savings|target""),""Fixed Deposit"",IF(REGEXMATCH(LOWER(Raw_Data!C761),""airtime""),""Airtime"",IF(REGEXMATCH(LOWER(Raw_Data!C761),""electronic money transfer levy""),""Electronic Money Tr"&amp;"ansfer Levy"",IF(REGEXMATCH(LOWER(Raw_Data!C761),""transfer|trf|send""),""Transfer"",""Other"")))),""Other"")"),"Transfer")</f>
        <v>Transfer</v>
      </c>
      <c r="E755" s="20">
        <v>1000.0</v>
      </c>
      <c r="F755" s="20">
        <v>0.0</v>
      </c>
      <c r="G755" s="12" t="str">
        <f t="shared" si="3"/>
        <v>Withdrawal</v>
      </c>
      <c r="H755" s="12" t="str">
        <f>TEXT(Raw_Data!A761,"hh:mm:ss")
</f>
        <v>10:57:04</v>
      </c>
      <c r="I755" s="20">
        <f t="shared" si="4"/>
        <v>1000</v>
      </c>
    </row>
    <row r="756">
      <c r="A756" s="12" t="str">
        <f>Raw_Data!A762</f>
        <v>17 Apr 2025 12:57:48</v>
      </c>
      <c r="B756" s="12" t="str">
        <f t="shared" si="1"/>
        <v>April</v>
      </c>
      <c r="C756" s="12">
        <f t="shared" si="2"/>
        <v>4</v>
      </c>
      <c r="D756" s="12" t="str">
        <f>IFERROR(__xludf.DUMMYFUNCTION("IFERROR(IF(REGEXMATCH(LOWER(Raw_Data!C762),""fixed deposit|owealth|savings|target""),""Fixed Deposit"",IF(REGEXMATCH(LOWER(Raw_Data!C762),""airtime""),""Airtime"",IF(REGEXMATCH(LOWER(Raw_Data!C762),""electronic money transfer levy""),""Electronic Money Tr"&amp;"ansfer Levy"",IF(REGEXMATCH(LOWER(Raw_Data!C762),""transfer|trf|send""),""Transfer"",""Other"")))),""Other"")"),"Transfer")</f>
        <v>Transfer</v>
      </c>
      <c r="E756" s="20">
        <v>100.0</v>
      </c>
      <c r="F756" s="20">
        <v>0.0</v>
      </c>
      <c r="G756" s="12" t="str">
        <f t="shared" si="3"/>
        <v>Withdrawal</v>
      </c>
      <c r="H756" s="12" t="str">
        <f>TEXT(Raw_Data!A762,"hh:mm:ss")
</f>
        <v>12:57:48</v>
      </c>
      <c r="I756" s="20">
        <f t="shared" si="4"/>
        <v>100</v>
      </c>
    </row>
    <row r="757">
      <c r="A757" s="12" t="str">
        <f>Raw_Data!A763</f>
        <v>17 Apr 2025 15:47:07</v>
      </c>
      <c r="B757" s="12" t="str">
        <f t="shared" si="1"/>
        <v>April</v>
      </c>
      <c r="C757" s="12">
        <f t="shared" si="2"/>
        <v>4</v>
      </c>
      <c r="D757" s="12" t="str">
        <f>IFERROR(__xludf.DUMMYFUNCTION("IFERROR(IF(REGEXMATCH(LOWER(Raw_Data!C763),""fixed deposit|owealth|savings|target""),""Fixed Deposit"",IF(REGEXMATCH(LOWER(Raw_Data!C763),""airtime""),""Airtime"",IF(REGEXMATCH(LOWER(Raw_Data!C763),""electronic money transfer levy""),""Electronic Money Tr"&amp;"ansfer Levy"",IF(REGEXMATCH(LOWER(Raw_Data!C763),""transfer|trf|send""),""Transfer"",""Other"")))),""Other"")"),"Transfer")</f>
        <v>Transfer</v>
      </c>
      <c r="E757" s="20">
        <v>3000.0</v>
      </c>
      <c r="F757" s="20">
        <v>0.0</v>
      </c>
      <c r="G757" s="12" t="str">
        <f t="shared" si="3"/>
        <v>Withdrawal</v>
      </c>
      <c r="H757" s="12" t="str">
        <f>TEXT(Raw_Data!A763,"hh:mm:ss")
</f>
        <v>15:47:07</v>
      </c>
      <c r="I757" s="20">
        <f t="shared" si="4"/>
        <v>3000</v>
      </c>
    </row>
    <row r="758">
      <c r="A758" s="12" t="str">
        <f>Raw_Data!A764</f>
        <v>17 Apr 2025 17:03:38</v>
      </c>
      <c r="B758" s="12" t="str">
        <f t="shared" si="1"/>
        <v>April</v>
      </c>
      <c r="C758" s="12">
        <f t="shared" si="2"/>
        <v>4</v>
      </c>
      <c r="D758" s="12" t="str">
        <f>IFERROR(__xludf.DUMMYFUNCTION("IFERROR(IF(REGEXMATCH(LOWER(Raw_Data!C764),""fixed deposit|owealth|savings|target""),""Fixed Deposit"",IF(REGEXMATCH(LOWER(Raw_Data!C764),""airtime""),""Airtime"",IF(REGEXMATCH(LOWER(Raw_Data!C764),""electronic money transfer levy""),""Electronic Money Tr"&amp;"ansfer Levy"",IF(REGEXMATCH(LOWER(Raw_Data!C764),""transfer|trf|send""),""Transfer"",""Other"")))),""Other"")"),"Transfer")</f>
        <v>Transfer</v>
      </c>
      <c r="E758" s="20">
        <v>1000.0</v>
      </c>
      <c r="F758" s="20">
        <v>0.0</v>
      </c>
      <c r="G758" s="12" t="str">
        <f t="shared" si="3"/>
        <v>Withdrawal</v>
      </c>
      <c r="H758" s="12" t="str">
        <f>TEXT(Raw_Data!A764,"hh:mm:ss")
</f>
        <v>17:03:38</v>
      </c>
      <c r="I758" s="20">
        <f t="shared" si="4"/>
        <v>1000</v>
      </c>
    </row>
    <row r="759">
      <c r="A759" s="12" t="str">
        <f>Raw_Data!A765</f>
        <v>17 Apr 2025 19:39:26</v>
      </c>
      <c r="B759" s="12" t="str">
        <f t="shared" si="1"/>
        <v>April</v>
      </c>
      <c r="C759" s="12">
        <f t="shared" si="2"/>
        <v>4</v>
      </c>
      <c r="D759" s="12" t="str">
        <f>IFERROR(__xludf.DUMMYFUNCTION("IFERROR(IF(REGEXMATCH(LOWER(Raw_Data!C765),""fixed deposit|owealth|savings|target""),""Fixed Deposit"",IF(REGEXMATCH(LOWER(Raw_Data!C765),""airtime""),""Airtime"",IF(REGEXMATCH(LOWER(Raw_Data!C765),""electronic money transfer levy""),""Electronic Money Tr"&amp;"ansfer Levy"",IF(REGEXMATCH(LOWER(Raw_Data!C765),""transfer|trf|send""),""Transfer"",""Other"")))),""Other"")"),"Transfer")</f>
        <v>Transfer</v>
      </c>
      <c r="E759" s="20">
        <v>150.0</v>
      </c>
      <c r="F759" s="20">
        <v>0.0</v>
      </c>
      <c r="G759" s="12" t="str">
        <f t="shared" si="3"/>
        <v>Withdrawal</v>
      </c>
      <c r="H759" s="12" t="str">
        <f>TEXT(Raw_Data!A765,"hh:mm:ss")
</f>
        <v>19:39:26</v>
      </c>
      <c r="I759" s="20">
        <f t="shared" si="4"/>
        <v>150</v>
      </c>
    </row>
    <row r="760">
      <c r="A760" s="12" t="str">
        <f>Raw_Data!A766</f>
        <v>18 Apr 2025 20:09:07</v>
      </c>
      <c r="B760" s="12" t="str">
        <f t="shared" si="1"/>
        <v>April</v>
      </c>
      <c r="C760" s="12">
        <f t="shared" si="2"/>
        <v>4</v>
      </c>
      <c r="D760" s="12" t="str">
        <f>IFERROR(__xludf.DUMMYFUNCTION("IFERROR(IF(REGEXMATCH(LOWER(Raw_Data!C766),""fixed deposit|owealth|savings|target""),""Fixed Deposit"",IF(REGEXMATCH(LOWER(Raw_Data!C766),""airtime""),""Airtime"",IF(REGEXMATCH(LOWER(Raw_Data!C766),""electronic money transfer levy""),""Electronic Money Tr"&amp;"ansfer Levy"",IF(REGEXMATCH(LOWER(Raw_Data!C766),""transfer|trf|send""),""Transfer"",""Other"")))),""Other"")"),"Transfer")</f>
        <v>Transfer</v>
      </c>
      <c r="E760" s="20">
        <v>650.0</v>
      </c>
      <c r="F760" s="20">
        <v>0.0</v>
      </c>
      <c r="G760" s="12" t="str">
        <f t="shared" si="3"/>
        <v>Withdrawal</v>
      </c>
      <c r="H760" s="12" t="str">
        <f>TEXT(Raw_Data!A766,"hh:mm:ss")
</f>
        <v>20:09:07</v>
      </c>
      <c r="I760" s="20">
        <f t="shared" si="4"/>
        <v>650</v>
      </c>
    </row>
    <row r="761">
      <c r="A761" s="12" t="str">
        <f>Raw_Data!A767</f>
        <v>19 Apr 2025 07:51:45</v>
      </c>
      <c r="B761" s="12" t="str">
        <f t="shared" si="1"/>
        <v>April</v>
      </c>
      <c r="C761" s="12">
        <f t="shared" si="2"/>
        <v>4</v>
      </c>
      <c r="D761" s="12" t="str">
        <f>IFERROR(__xludf.DUMMYFUNCTION("IFERROR(IF(REGEXMATCH(LOWER(Raw_Data!C767),""fixed deposit|owealth|savings|target""),""Fixed Deposit"",IF(REGEXMATCH(LOWER(Raw_Data!C767),""airtime""),""Airtime"",IF(REGEXMATCH(LOWER(Raw_Data!C767),""electronic money transfer levy""),""Electronic Money Tr"&amp;"ansfer Levy"",IF(REGEXMATCH(LOWER(Raw_Data!C767),""transfer|trf|send""),""Transfer"",""Other"")))),""Other"")"),"Transfer")</f>
        <v>Transfer</v>
      </c>
      <c r="E761" s="20">
        <v>800.0</v>
      </c>
      <c r="F761" s="20">
        <v>0.0</v>
      </c>
      <c r="G761" s="12" t="str">
        <f t="shared" si="3"/>
        <v>Withdrawal</v>
      </c>
      <c r="H761" s="12" t="str">
        <f>TEXT(Raw_Data!A767,"hh:mm:ss")
</f>
        <v>07:51:45</v>
      </c>
      <c r="I761" s="20">
        <f t="shared" si="4"/>
        <v>800</v>
      </c>
    </row>
    <row r="762">
      <c r="A762" s="12" t="str">
        <f>Raw_Data!A768</f>
        <v>19 Apr 2025 18:24:54</v>
      </c>
      <c r="B762" s="12" t="str">
        <f t="shared" si="1"/>
        <v>April</v>
      </c>
      <c r="C762" s="12">
        <f t="shared" si="2"/>
        <v>4</v>
      </c>
      <c r="D762" s="12" t="str">
        <f>IFERROR(__xludf.DUMMYFUNCTION("IFERROR(IF(REGEXMATCH(LOWER(Raw_Data!C768),""fixed deposit|owealth|savings|target""),""Fixed Deposit"",IF(REGEXMATCH(LOWER(Raw_Data!C768),""airtime""),""Airtime"",IF(REGEXMATCH(LOWER(Raw_Data!C768),""electronic money transfer levy""),""Electronic Money Tr"&amp;"ansfer Levy"",IF(REGEXMATCH(LOWER(Raw_Data!C768),""transfer|trf|send""),""Transfer"",""Other"")))),""Other"")"),"Airtime")</f>
        <v>Airtime</v>
      </c>
      <c r="E762" s="20">
        <v>200.0</v>
      </c>
      <c r="F762" s="20">
        <v>0.0</v>
      </c>
      <c r="G762" s="12" t="str">
        <f t="shared" si="3"/>
        <v>Withdrawal</v>
      </c>
      <c r="H762" s="12" t="str">
        <f>TEXT(Raw_Data!A768,"hh:mm:ss")
</f>
        <v>18:24:54</v>
      </c>
      <c r="I762" s="20">
        <f t="shared" si="4"/>
        <v>200</v>
      </c>
    </row>
    <row r="763">
      <c r="A763" s="12" t="str">
        <f>Raw_Data!A769</f>
        <v>20 Apr 2025 08:17:55</v>
      </c>
      <c r="B763" s="12" t="str">
        <f t="shared" si="1"/>
        <v>April</v>
      </c>
      <c r="C763" s="12">
        <f t="shared" si="2"/>
        <v>4</v>
      </c>
      <c r="D763" s="12" t="str">
        <f>IFERROR(__xludf.DUMMYFUNCTION("IFERROR(IF(REGEXMATCH(LOWER(Raw_Data!C769),""fixed deposit|owealth|savings|target""),""Fixed Deposit"",IF(REGEXMATCH(LOWER(Raw_Data!C769),""airtime""),""Airtime"",IF(REGEXMATCH(LOWER(Raw_Data!C769),""electronic money transfer levy""),""Electronic Money Tr"&amp;"ansfer Levy"",IF(REGEXMATCH(LOWER(Raw_Data!C769),""transfer|trf|send""),""Transfer"",""Other"")))),""Other"")"),"Airtime")</f>
        <v>Airtime</v>
      </c>
      <c r="E763" s="20">
        <v>500.0</v>
      </c>
      <c r="F763" s="20">
        <v>0.0</v>
      </c>
      <c r="G763" s="12" t="str">
        <f t="shared" si="3"/>
        <v>Withdrawal</v>
      </c>
      <c r="H763" s="12" t="str">
        <f>TEXT(Raw_Data!A769,"hh:mm:ss")
</f>
        <v>08:17:55</v>
      </c>
      <c r="I763" s="20">
        <f t="shared" si="4"/>
        <v>500</v>
      </c>
    </row>
    <row r="764">
      <c r="A764" s="12" t="str">
        <f>Raw_Data!A770</f>
        <v>20 Apr 2025 15:10:40</v>
      </c>
      <c r="B764" s="12" t="str">
        <f t="shared" si="1"/>
        <v>April</v>
      </c>
      <c r="C764" s="12">
        <f t="shared" si="2"/>
        <v>4</v>
      </c>
      <c r="D764" s="12" t="str">
        <f>IFERROR(__xludf.DUMMYFUNCTION("IFERROR(IF(REGEXMATCH(LOWER(Raw_Data!C770),""fixed deposit|owealth|savings|target""),""Fixed Deposit"",IF(REGEXMATCH(LOWER(Raw_Data!C770),""airtime""),""Airtime"",IF(REGEXMATCH(LOWER(Raw_Data!C770),""electronic money transfer levy""),""Electronic Money Tr"&amp;"ansfer Levy"",IF(REGEXMATCH(LOWER(Raw_Data!C770),""transfer|trf|send""),""Transfer"",""Other"")))),""Other"")"),"Transfer")</f>
        <v>Transfer</v>
      </c>
      <c r="E764" s="20">
        <v>600.0</v>
      </c>
      <c r="F764" s="20">
        <v>0.0</v>
      </c>
      <c r="G764" s="12" t="str">
        <f t="shared" si="3"/>
        <v>Withdrawal</v>
      </c>
      <c r="H764" s="12" t="str">
        <f>TEXT(Raw_Data!A770,"hh:mm:ss")
</f>
        <v>15:10:40</v>
      </c>
      <c r="I764" s="20">
        <f t="shared" si="4"/>
        <v>600</v>
      </c>
    </row>
    <row r="765">
      <c r="A765" s="12" t="str">
        <f>Raw_Data!A771</f>
        <v>21 Apr 2025 11:12:17</v>
      </c>
      <c r="B765" s="12" t="str">
        <f t="shared" si="1"/>
        <v>April</v>
      </c>
      <c r="C765" s="12">
        <f t="shared" si="2"/>
        <v>4</v>
      </c>
      <c r="D765" s="12" t="str">
        <f>IFERROR(__xludf.DUMMYFUNCTION("IFERROR(IF(REGEXMATCH(LOWER(Raw_Data!C771),""fixed deposit|owealth|savings|target""),""Fixed Deposit"",IF(REGEXMATCH(LOWER(Raw_Data!C771),""airtime""),""Airtime"",IF(REGEXMATCH(LOWER(Raw_Data!C771),""electronic money transfer levy""),""Electronic Money Tr"&amp;"ansfer Levy"",IF(REGEXMATCH(LOWER(Raw_Data!C771),""transfer|trf|send""),""Transfer"",""Other"")))),""Other"")"),"Other")</f>
        <v>Other</v>
      </c>
      <c r="E765" s="20">
        <v>1000.0</v>
      </c>
      <c r="F765" s="20">
        <v>0.0</v>
      </c>
      <c r="G765" s="12" t="str">
        <f t="shared" si="3"/>
        <v>Withdrawal</v>
      </c>
      <c r="H765" s="12" t="str">
        <f>TEXT(Raw_Data!A771,"hh:mm:ss")
</f>
        <v>11:12:17</v>
      </c>
      <c r="I765" s="20">
        <f t="shared" si="4"/>
        <v>1000</v>
      </c>
    </row>
    <row r="766">
      <c r="A766" s="12" t="str">
        <f>Raw_Data!A772</f>
        <v>22 Apr 2025 03:26:00</v>
      </c>
      <c r="B766" s="12" t="str">
        <f t="shared" si="1"/>
        <v>April</v>
      </c>
      <c r="C766" s="12">
        <f t="shared" si="2"/>
        <v>4</v>
      </c>
      <c r="D766" s="12" t="str">
        <f>IFERROR(__xludf.DUMMYFUNCTION("IFERROR(IF(REGEXMATCH(LOWER(Raw_Data!C772),""fixed deposit|owealth|savings|target""),""Fixed Deposit"",IF(REGEXMATCH(LOWER(Raw_Data!C772),""airtime""),""Airtime"",IF(REGEXMATCH(LOWER(Raw_Data!C772),""electronic money transfer levy""),""Electronic Money Tr"&amp;"ansfer Levy"",IF(REGEXMATCH(LOWER(Raw_Data!C772),""transfer|trf|send""),""Transfer"",""Other"")))),""Other"")"),"Transfer")</f>
        <v>Transfer</v>
      </c>
      <c r="E766" s="20">
        <v>0.0</v>
      </c>
      <c r="F766" s="20">
        <v>50000.0</v>
      </c>
      <c r="G766" s="12" t="str">
        <f t="shared" si="3"/>
        <v>Deposit</v>
      </c>
      <c r="H766" s="12" t="str">
        <f>TEXT(Raw_Data!A772,"hh:mm:ss")
</f>
        <v>03:26:00</v>
      </c>
      <c r="I766" s="20">
        <f t="shared" si="4"/>
        <v>50000</v>
      </c>
    </row>
    <row r="767">
      <c r="A767" s="12" t="str">
        <f>Raw_Data!A773</f>
        <v>22 Apr 2025 03:26:10</v>
      </c>
      <c r="B767" s="12" t="str">
        <f t="shared" si="1"/>
        <v>April</v>
      </c>
      <c r="C767" s="12">
        <f t="shared" si="2"/>
        <v>4</v>
      </c>
      <c r="D767" s="12" t="str">
        <f>IFERROR(__xludf.DUMMYFUNCTION("IFERROR(IF(REGEXMATCH(LOWER(Raw_Data!C773),""fixed deposit|owealth|savings|target""),""Fixed Deposit"",IF(REGEXMATCH(LOWER(Raw_Data!C773),""airtime""),""Airtime"",IF(REGEXMATCH(LOWER(Raw_Data!C773),""electronic money transfer levy""),""Electronic Money Tr"&amp;"ansfer Levy"",IF(REGEXMATCH(LOWER(Raw_Data!C773),""transfer|trf|send""),""Transfer"",""Other"")))),""Other"")"),"Electronic Money Transfer Levy")</f>
        <v>Electronic Money Transfer Levy</v>
      </c>
      <c r="E767" s="20">
        <v>50.0</v>
      </c>
      <c r="F767" s="20">
        <v>0.0</v>
      </c>
      <c r="G767" s="12" t="str">
        <f t="shared" si="3"/>
        <v>Withdrawal</v>
      </c>
      <c r="H767" s="12" t="str">
        <f>TEXT(Raw_Data!A773,"hh:mm:ss")
</f>
        <v>03:26:10</v>
      </c>
      <c r="I767" s="20">
        <f t="shared" si="4"/>
        <v>50</v>
      </c>
    </row>
    <row r="768">
      <c r="A768" s="12" t="str">
        <f>Raw_Data!A774</f>
        <v>22 Apr 2025 03:26:50</v>
      </c>
      <c r="B768" s="12" t="str">
        <f t="shared" si="1"/>
        <v>April</v>
      </c>
      <c r="C768" s="12">
        <f t="shared" si="2"/>
        <v>4</v>
      </c>
      <c r="D768" s="12" t="str">
        <f>IFERROR(__xludf.DUMMYFUNCTION("IFERROR(IF(REGEXMATCH(LOWER(Raw_Data!C774),""fixed deposit|owealth|savings|target""),""Fixed Deposit"",IF(REGEXMATCH(LOWER(Raw_Data!C774),""airtime""),""Airtime"",IF(REGEXMATCH(LOWER(Raw_Data!C774),""electronic money transfer levy""),""Electronic Money Tr"&amp;"ansfer Levy"",IF(REGEXMATCH(LOWER(Raw_Data!C774),""transfer|trf|send""),""Transfer"",""Other"")))),""Other"")"),"Transfer")</f>
        <v>Transfer</v>
      </c>
      <c r="E768" s="20">
        <v>0.0</v>
      </c>
      <c r="F768" s="20">
        <v>2500.0</v>
      </c>
      <c r="G768" s="12" t="str">
        <f t="shared" si="3"/>
        <v>Deposit</v>
      </c>
      <c r="H768" s="12" t="str">
        <f>TEXT(Raw_Data!A774,"hh:mm:ss")
</f>
        <v>03:26:50</v>
      </c>
      <c r="I768" s="20">
        <f t="shared" si="4"/>
        <v>2500</v>
      </c>
    </row>
    <row r="769">
      <c r="A769" s="12" t="str">
        <f>Raw_Data!A775</f>
        <v>22 Apr 2025 03:27:45</v>
      </c>
      <c r="B769" s="12" t="str">
        <f t="shared" si="1"/>
        <v>April</v>
      </c>
      <c r="C769" s="12">
        <f t="shared" si="2"/>
        <v>4</v>
      </c>
      <c r="D769" s="12" t="str">
        <f>IFERROR(__xludf.DUMMYFUNCTION("IFERROR(IF(REGEXMATCH(LOWER(Raw_Data!C775),""fixed deposit|owealth|savings|target""),""Fixed Deposit"",IF(REGEXMATCH(LOWER(Raw_Data!C775),""airtime""),""Airtime"",IF(REGEXMATCH(LOWER(Raw_Data!C775),""electronic money transfer levy""),""Electronic Money Tr"&amp;"ansfer Levy"",IF(REGEXMATCH(LOWER(Raw_Data!C775),""transfer|trf|send""),""Transfer"",""Other"")))),""Other"")"),"Transfer")</f>
        <v>Transfer</v>
      </c>
      <c r="E769" s="20">
        <v>47000.0</v>
      </c>
      <c r="F769" s="20">
        <v>0.0</v>
      </c>
      <c r="G769" s="12" t="str">
        <f t="shared" si="3"/>
        <v>Withdrawal</v>
      </c>
      <c r="H769" s="12" t="str">
        <f>TEXT(Raw_Data!A775,"hh:mm:ss")
</f>
        <v>03:27:45</v>
      </c>
      <c r="I769" s="20">
        <f t="shared" si="4"/>
        <v>47000</v>
      </c>
    </row>
    <row r="770">
      <c r="A770" s="12" t="str">
        <f>Raw_Data!A776</f>
        <v>22 Apr 2025 03:31:29</v>
      </c>
      <c r="B770" s="12" t="str">
        <f t="shared" si="1"/>
        <v>April</v>
      </c>
      <c r="C770" s="12">
        <f t="shared" si="2"/>
        <v>4</v>
      </c>
      <c r="D770" s="12" t="str">
        <f>IFERROR(__xludf.DUMMYFUNCTION("IFERROR(IF(REGEXMATCH(LOWER(Raw_Data!C776),""fixed deposit|owealth|savings|target""),""Fixed Deposit"",IF(REGEXMATCH(LOWER(Raw_Data!C776),""airtime""),""Airtime"",IF(REGEXMATCH(LOWER(Raw_Data!C776),""electronic money transfer levy""),""Electronic Money Tr"&amp;"ansfer Levy"",IF(REGEXMATCH(LOWER(Raw_Data!C776),""transfer|trf|send""),""Transfer"",""Other"")))),""Other"")"),"Transfer")</f>
        <v>Transfer</v>
      </c>
      <c r="E770" s="20">
        <v>0.0</v>
      </c>
      <c r="F770" s="20">
        <v>2000.0</v>
      </c>
      <c r="G770" s="12" t="str">
        <f t="shared" si="3"/>
        <v>Deposit</v>
      </c>
      <c r="H770" s="12" t="str">
        <f>TEXT(Raw_Data!A776,"hh:mm:ss")
</f>
        <v>03:31:29</v>
      </c>
      <c r="I770" s="20">
        <f t="shared" si="4"/>
        <v>2000</v>
      </c>
    </row>
    <row r="771">
      <c r="A771" s="12" t="str">
        <f>Raw_Data!A777</f>
        <v>22 Apr 2025 03:35:38</v>
      </c>
      <c r="B771" s="12" t="str">
        <f t="shared" si="1"/>
        <v>April</v>
      </c>
      <c r="C771" s="12">
        <f t="shared" si="2"/>
        <v>4</v>
      </c>
      <c r="D771" s="12" t="str">
        <f>IFERROR(__xludf.DUMMYFUNCTION("IFERROR(IF(REGEXMATCH(LOWER(Raw_Data!C777),""fixed deposit|owealth|savings|target""),""Fixed Deposit"",IF(REGEXMATCH(LOWER(Raw_Data!C777),""airtime""),""Airtime"",IF(REGEXMATCH(LOWER(Raw_Data!C777),""electronic money transfer levy""),""Electronic Money Tr"&amp;"ansfer Levy"",IF(REGEXMATCH(LOWER(Raw_Data!C777),""transfer|trf|send""),""Transfer"",""Other"")))),""Other"")"),"Airtime")</f>
        <v>Airtime</v>
      </c>
      <c r="E771" s="20">
        <v>500.0</v>
      </c>
      <c r="F771" s="20">
        <v>0.0</v>
      </c>
      <c r="G771" s="12" t="str">
        <f t="shared" si="3"/>
        <v>Withdrawal</v>
      </c>
      <c r="H771" s="12" t="str">
        <f>TEXT(Raw_Data!A777,"hh:mm:ss")
</f>
        <v>03:35:38</v>
      </c>
      <c r="I771" s="20">
        <f t="shared" si="4"/>
        <v>500</v>
      </c>
    </row>
    <row r="772">
      <c r="A772" s="12" t="str">
        <f>Raw_Data!A778</f>
        <v>22 Apr 2025 03:41:37</v>
      </c>
      <c r="B772" s="12" t="str">
        <f t="shared" si="1"/>
        <v>April</v>
      </c>
      <c r="C772" s="12">
        <f t="shared" si="2"/>
        <v>4</v>
      </c>
      <c r="D772" s="12" t="str">
        <f>IFERROR(__xludf.DUMMYFUNCTION("IFERROR(IF(REGEXMATCH(LOWER(Raw_Data!C778),""fixed deposit|owealth|savings|target""),""Fixed Deposit"",IF(REGEXMATCH(LOWER(Raw_Data!C778),""airtime""),""Airtime"",IF(REGEXMATCH(LOWER(Raw_Data!C778),""electronic money transfer levy""),""Electronic Money Tr"&amp;"ansfer Levy"",IF(REGEXMATCH(LOWER(Raw_Data!C778),""transfer|trf|send""),""Transfer"",""Other"")))),""Other"")"),"Transfer")</f>
        <v>Transfer</v>
      </c>
      <c r="E772" s="20">
        <v>1500.0</v>
      </c>
      <c r="F772" s="20">
        <v>0.0</v>
      </c>
      <c r="G772" s="12" t="str">
        <f t="shared" si="3"/>
        <v>Withdrawal</v>
      </c>
      <c r="H772" s="12" t="str">
        <f>TEXT(Raw_Data!A778,"hh:mm:ss")
</f>
        <v>03:41:37</v>
      </c>
      <c r="I772" s="20">
        <f t="shared" si="4"/>
        <v>1500</v>
      </c>
    </row>
    <row r="773">
      <c r="A773" s="12" t="str">
        <f>Raw_Data!A779</f>
        <v>22 Apr 2025 07:36:37</v>
      </c>
      <c r="B773" s="12" t="str">
        <f t="shared" si="1"/>
        <v>April</v>
      </c>
      <c r="C773" s="12">
        <f t="shared" si="2"/>
        <v>4</v>
      </c>
      <c r="D773" s="12" t="str">
        <f>IFERROR(__xludf.DUMMYFUNCTION("IFERROR(IF(REGEXMATCH(LOWER(Raw_Data!C779),""fixed deposit|owealth|savings|target""),""Fixed Deposit"",IF(REGEXMATCH(LOWER(Raw_Data!C779),""airtime""),""Airtime"",IF(REGEXMATCH(LOWER(Raw_Data!C779),""electronic money transfer levy""),""Electronic Money Tr"&amp;"ansfer Levy"",IF(REGEXMATCH(LOWER(Raw_Data!C779),""transfer|trf|send""),""Transfer"",""Other"")))),""Other"")"),"Transfer")</f>
        <v>Transfer</v>
      </c>
      <c r="E773" s="20">
        <v>700.0</v>
      </c>
      <c r="F773" s="20">
        <v>0.0</v>
      </c>
      <c r="G773" s="12" t="str">
        <f t="shared" si="3"/>
        <v>Withdrawal</v>
      </c>
      <c r="H773" s="12" t="str">
        <f>TEXT(Raw_Data!A779,"hh:mm:ss")
</f>
        <v>07:36:37</v>
      </c>
      <c r="I773" s="20">
        <f t="shared" si="4"/>
        <v>700</v>
      </c>
    </row>
    <row r="774">
      <c r="A774" s="12" t="str">
        <f>Raw_Data!A780</f>
        <v>22 Apr 2025 08:56:12</v>
      </c>
      <c r="B774" s="12" t="str">
        <f t="shared" si="1"/>
        <v>April</v>
      </c>
      <c r="C774" s="12">
        <f t="shared" si="2"/>
        <v>4</v>
      </c>
      <c r="D774" s="12" t="str">
        <f>IFERROR(__xludf.DUMMYFUNCTION("IFERROR(IF(REGEXMATCH(LOWER(Raw_Data!C780),""fixed deposit|owealth|savings|target""),""Fixed Deposit"",IF(REGEXMATCH(LOWER(Raw_Data!C780),""airtime""),""Airtime"",IF(REGEXMATCH(LOWER(Raw_Data!C780),""electronic money transfer levy""),""Electronic Money Tr"&amp;"ansfer Levy"",IF(REGEXMATCH(LOWER(Raw_Data!C780),""transfer|trf|send""),""Transfer"",""Other"")))),""Other"")"),"Transfer")</f>
        <v>Transfer</v>
      </c>
      <c r="E774" s="20">
        <v>750.0</v>
      </c>
      <c r="F774" s="20">
        <v>0.0</v>
      </c>
      <c r="G774" s="12" t="str">
        <f t="shared" si="3"/>
        <v>Withdrawal</v>
      </c>
      <c r="H774" s="12" t="str">
        <f>TEXT(Raw_Data!A780,"hh:mm:ss")
</f>
        <v>08:56:12</v>
      </c>
      <c r="I774" s="20">
        <f t="shared" si="4"/>
        <v>750</v>
      </c>
    </row>
    <row r="775">
      <c r="A775" s="12" t="str">
        <f>Raw_Data!A781</f>
        <v>22 Apr 2025 12:15:18</v>
      </c>
      <c r="B775" s="12" t="str">
        <f t="shared" si="1"/>
        <v>April</v>
      </c>
      <c r="C775" s="12">
        <f t="shared" si="2"/>
        <v>4</v>
      </c>
      <c r="D775" s="12" t="str">
        <f>IFERROR(__xludf.DUMMYFUNCTION("IFERROR(IF(REGEXMATCH(LOWER(Raw_Data!C781),""fixed deposit|owealth|savings|target""),""Fixed Deposit"",IF(REGEXMATCH(LOWER(Raw_Data!C781),""airtime""),""Airtime"",IF(REGEXMATCH(LOWER(Raw_Data!C781),""electronic money transfer levy""),""Electronic Money Tr"&amp;"ansfer Levy"",IF(REGEXMATCH(LOWER(Raw_Data!C781),""transfer|trf|send""),""Transfer"",""Other"")))),""Other"")"),"Transfer")</f>
        <v>Transfer</v>
      </c>
      <c r="E775" s="20">
        <v>3000.0</v>
      </c>
      <c r="F775" s="20">
        <v>0.0</v>
      </c>
      <c r="G775" s="12" t="str">
        <f t="shared" si="3"/>
        <v>Withdrawal</v>
      </c>
      <c r="H775" s="12" t="str">
        <f>TEXT(Raw_Data!A781,"hh:mm:ss")
</f>
        <v>12:15:18</v>
      </c>
      <c r="I775" s="20">
        <f t="shared" si="4"/>
        <v>3000</v>
      </c>
    </row>
    <row r="776">
      <c r="A776" s="12" t="str">
        <f>Raw_Data!A782</f>
        <v>22 Apr 2025 13:22:25</v>
      </c>
      <c r="B776" s="12" t="str">
        <f t="shared" si="1"/>
        <v>April</v>
      </c>
      <c r="C776" s="12">
        <f t="shared" si="2"/>
        <v>4</v>
      </c>
      <c r="D776" s="12" t="str">
        <f>IFERROR(__xludf.DUMMYFUNCTION("IFERROR(IF(REGEXMATCH(LOWER(Raw_Data!C782),""fixed deposit|owealth|savings|target""),""Fixed Deposit"",IF(REGEXMATCH(LOWER(Raw_Data!C782),""airtime""),""Airtime"",IF(REGEXMATCH(LOWER(Raw_Data!C782),""electronic money transfer levy""),""Electronic Money Tr"&amp;"ansfer Levy"",IF(REGEXMATCH(LOWER(Raw_Data!C782),""transfer|trf|send""),""Transfer"",""Other"")))),""Other"")"),"Transfer")</f>
        <v>Transfer</v>
      </c>
      <c r="E776" s="20">
        <v>500.0</v>
      </c>
      <c r="F776" s="20">
        <v>0.0</v>
      </c>
      <c r="G776" s="12" t="str">
        <f t="shared" si="3"/>
        <v>Withdrawal</v>
      </c>
      <c r="H776" s="12" t="str">
        <f>TEXT(Raw_Data!A782,"hh:mm:ss")
</f>
        <v>13:22:25</v>
      </c>
      <c r="I776" s="20">
        <f t="shared" si="4"/>
        <v>500</v>
      </c>
    </row>
    <row r="777">
      <c r="A777" s="12" t="str">
        <f>Raw_Data!A783</f>
        <v>22 Apr 2025 20:32:54</v>
      </c>
      <c r="B777" s="12" t="str">
        <f t="shared" si="1"/>
        <v>April</v>
      </c>
      <c r="C777" s="12">
        <f t="shared" si="2"/>
        <v>4</v>
      </c>
      <c r="D777" s="12" t="str">
        <f>IFERROR(__xludf.DUMMYFUNCTION("IFERROR(IF(REGEXMATCH(LOWER(Raw_Data!C783),""fixed deposit|owealth|savings|target""),""Fixed Deposit"",IF(REGEXMATCH(LOWER(Raw_Data!C783),""airtime""),""Airtime"",IF(REGEXMATCH(LOWER(Raw_Data!C783),""electronic money transfer levy""),""Electronic Money Tr"&amp;"ansfer Levy"",IF(REGEXMATCH(LOWER(Raw_Data!C783),""transfer|trf|send""),""Transfer"",""Other"")))),""Other"")"),"Transfer")</f>
        <v>Transfer</v>
      </c>
      <c r="E777" s="20">
        <v>310.0</v>
      </c>
      <c r="F777" s="20">
        <v>0.0</v>
      </c>
      <c r="G777" s="12" t="str">
        <f t="shared" si="3"/>
        <v>Withdrawal</v>
      </c>
      <c r="H777" s="12" t="str">
        <f>TEXT(Raw_Data!A783,"hh:mm:ss")
</f>
        <v>20:32:54</v>
      </c>
      <c r="I777" s="20">
        <f t="shared" si="4"/>
        <v>310</v>
      </c>
    </row>
    <row r="778">
      <c r="A778" s="12" t="str">
        <f>Raw_Data!A784</f>
        <v>22 Apr 2025 21:42:46</v>
      </c>
      <c r="B778" s="12" t="str">
        <f t="shared" si="1"/>
        <v>April</v>
      </c>
      <c r="C778" s="12">
        <f t="shared" si="2"/>
        <v>4</v>
      </c>
      <c r="D778" s="12" t="str">
        <f>IFERROR(__xludf.DUMMYFUNCTION("IFERROR(IF(REGEXMATCH(LOWER(Raw_Data!C784),""fixed deposit|owealth|savings|target""),""Fixed Deposit"",IF(REGEXMATCH(LOWER(Raw_Data!C784),""airtime""),""Airtime"",IF(REGEXMATCH(LOWER(Raw_Data!C784),""electronic money transfer levy""),""Electronic Money Tr"&amp;"ansfer Levy"",IF(REGEXMATCH(LOWER(Raw_Data!C784),""transfer|trf|send""),""Transfer"",""Other"")))),""Other"")"),"Transfer")</f>
        <v>Transfer</v>
      </c>
      <c r="E778" s="20">
        <v>110.0</v>
      </c>
      <c r="F778" s="20">
        <v>0.0</v>
      </c>
      <c r="G778" s="12" t="str">
        <f t="shared" si="3"/>
        <v>Withdrawal</v>
      </c>
      <c r="H778" s="12" t="str">
        <f>TEXT(Raw_Data!A784,"hh:mm:ss")
</f>
        <v>21:42:46</v>
      </c>
      <c r="I778" s="20">
        <f t="shared" si="4"/>
        <v>110</v>
      </c>
    </row>
    <row r="779">
      <c r="A779" s="12" t="str">
        <f>Raw_Data!A785</f>
        <v>23 Apr 2025 05:47:00</v>
      </c>
      <c r="B779" s="12" t="str">
        <f t="shared" si="1"/>
        <v>April</v>
      </c>
      <c r="C779" s="12">
        <f t="shared" si="2"/>
        <v>4</v>
      </c>
      <c r="D779" s="12" t="str">
        <f>IFERROR(__xludf.DUMMYFUNCTION("IFERROR(IF(REGEXMATCH(LOWER(Raw_Data!C785),""fixed deposit|owealth|savings|target""),""Fixed Deposit"",IF(REGEXMATCH(LOWER(Raw_Data!C785),""airtime""),""Airtime"",IF(REGEXMATCH(LOWER(Raw_Data!C785),""electronic money transfer levy""),""Electronic Money Tr"&amp;"ansfer Levy"",IF(REGEXMATCH(LOWER(Raw_Data!C785),""transfer|trf|send""),""Transfer"",""Other"")))),""Other"")"),"Transfer")</f>
        <v>Transfer</v>
      </c>
      <c r="E779" s="20">
        <v>0.0</v>
      </c>
      <c r="F779" s="20">
        <v>40000.0</v>
      </c>
      <c r="G779" s="12" t="str">
        <f t="shared" si="3"/>
        <v>Deposit</v>
      </c>
      <c r="H779" s="12" t="str">
        <f>TEXT(Raw_Data!A785,"hh:mm:ss")
</f>
        <v>05:47:00</v>
      </c>
      <c r="I779" s="20">
        <f t="shared" si="4"/>
        <v>40000</v>
      </c>
    </row>
    <row r="780">
      <c r="A780" s="12" t="str">
        <f>Raw_Data!A786</f>
        <v>23 Apr 2025 05:47:06</v>
      </c>
      <c r="B780" s="12" t="str">
        <f t="shared" si="1"/>
        <v>April</v>
      </c>
      <c r="C780" s="12">
        <f t="shared" si="2"/>
        <v>4</v>
      </c>
      <c r="D780" s="12" t="str">
        <f>IFERROR(__xludf.DUMMYFUNCTION("IFERROR(IF(REGEXMATCH(LOWER(Raw_Data!C786),""fixed deposit|owealth|savings|target""),""Fixed Deposit"",IF(REGEXMATCH(LOWER(Raw_Data!C786),""airtime""),""Airtime"",IF(REGEXMATCH(LOWER(Raw_Data!C786),""electronic money transfer levy""),""Electronic Money Tr"&amp;"ansfer Levy"",IF(REGEXMATCH(LOWER(Raw_Data!C786),""transfer|trf|send""),""Transfer"",""Other"")))),""Other"")"),"Electronic Money Transfer Levy")</f>
        <v>Electronic Money Transfer Levy</v>
      </c>
      <c r="E780" s="20">
        <v>50.0</v>
      </c>
      <c r="F780" s="20">
        <v>0.0</v>
      </c>
      <c r="G780" s="12" t="str">
        <f t="shared" si="3"/>
        <v>Withdrawal</v>
      </c>
      <c r="H780" s="12" t="str">
        <f>TEXT(Raw_Data!A786,"hh:mm:ss")
</f>
        <v>05:47:06</v>
      </c>
      <c r="I780" s="20">
        <f t="shared" si="4"/>
        <v>50</v>
      </c>
    </row>
    <row r="781">
      <c r="A781" s="12" t="str">
        <f>Raw_Data!A787</f>
        <v>23 Apr 2025 06:13:05</v>
      </c>
      <c r="B781" s="12" t="str">
        <f t="shared" si="1"/>
        <v>April</v>
      </c>
      <c r="C781" s="12">
        <f t="shared" si="2"/>
        <v>4</v>
      </c>
      <c r="D781" s="12" t="str">
        <f>IFERROR(__xludf.DUMMYFUNCTION("IFERROR(IF(REGEXMATCH(LOWER(Raw_Data!C787),""fixed deposit|owealth|savings|target""),""Fixed Deposit"",IF(REGEXMATCH(LOWER(Raw_Data!C787),""airtime""),""Airtime"",IF(REGEXMATCH(LOWER(Raw_Data!C787),""electronic money transfer levy""),""Electronic Money Tr"&amp;"ansfer Levy"",IF(REGEXMATCH(LOWER(Raw_Data!C787),""transfer|trf|send""),""Transfer"",""Other"")))),""Other"")"),"Fixed Deposit")</f>
        <v>Fixed Deposit</v>
      </c>
      <c r="E781" s="20">
        <v>15000.0</v>
      </c>
      <c r="F781" s="20">
        <v>0.0</v>
      </c>
      <c r="G781" s="12" t="str">
        <f t="shared" si="3"/>
        <v>Withdrawal</v>
      </c>
      <c r="H781" s="12" t="str">
        <f>TEXT(Raw_Data!A787,"hh:mm:ss")
</f>
        <v>06:13:05</v>
      </c>
      <c r="I781" s="20">
        <f t="shared" si="4"/>
        <v>15000</v>
      </c>
    </row>
    <row r="782">
      <c r="A782" s="12" t="str">
        <f>Raw_Data!A788</f>
        <v>23 Apr 2025 06:14:44</v>
      </c>
      <c r="B782" s="12" t="str">
        <f t="shared" si="1"/>
        <v>April</v>
      </c>
      <c r="C782" s="12">
        <f t="shared" si="2"/>
        <v>4</v>
      </c>
      <c r="D782" s="12" t="str">
        <f>IFERROR(__xludf.DUMMYFUNCTION("IFERROR(IF(REGEXMATCH(LOWER(Raw_Data!C788),""fixed deposit|owealth|savings|target""),""Fixed Deposit"",IF(REGEXMATCH(LOWER(Raw_Data!C788),""airtime""),""Airtime"",IF(REGEXMATCH(LOWER(Raw_Data!C788),""electronic money transfer levy""),""Electronic Money Tr"&amp;"ansfer Levy"",IF(REGEXMATCH(LOWER(Raw_Data!C788),""transfer|trf|send""),""Transfer"",""Other"")))),""Other"")"),"Transfer")</f>
        <v>Transfer</v>
      </c>
      <c r="E782" s="20">
        <v>3000.0</v>
      </c>
      <c r="F782" s="20">
        <v>0.0</v>
      </c>
      <c r="G782" s="12" t="str">
        <f t="shared" si="3"/>
        <v>Withdrawal</v>
      </c>
      <c r="H782" s="12" t="str">
        <f>TEXT(Raw_Data!A788,"hh:mm:ss")
</f>
        <v>06:14:44</v>
      </c>
      <c r="I782" s="20">
        <f t="shared" si="4"/>
        <v>3000</v>
      </c>
    </row>
    <row r="783">
      <c r="A783" s="12" t="str">
        <f>Raw_Data!A789</f>
        <v>23 Apr 2025 06:36:53</v>
      </c>
      <c r="B783" s="12" t="str">
        <f t="shared" si="1"/>
        <v>April</v>
      </c>
      <c r="C783" s="12">
        <f t="shared" si="2"/>
        <v>4</v>
      </c>
      <c r="D783" s="12" t="str">
        <f>IFERROR(__xludf.DUMMYFUNCTION("IFERROR(IF(REGEXMATCH(LOWER(Raw_Data!C789),""fixed deposit|owealth|savings|target""),""Fixed Deposit"",IF(REGEXMATCH(LOWER(Raw_Data!C789),""airtime""),""Airtime"",IF(REGEXMATCH(LOWER(Raw_Data!C789),""electronic money transfer levy""),""Electronic Money Tr"&amp;"ansfer Levy"",IF(REGEXMATCH(LOWER(Raw_Data!C789),""transfer|trf|send""),""Transfer"",""Other"")))),""Other"")"),"Airtime")</f>
        <v>Airtime</v>
      </c>
      <c r="E783" s="20">
        <v>500.0</v>
      </c>
      <c r="F783" s="20">
        <v>0.0</v>
      </c>
      <c r="G783" s="12" t="str">
        <f t="shared" si="3"/>
        <v>Withdrawal</v>
      </c>
      <c r="H783" s="12" t="str">
        <f>TEXT(Raw_Data!A789,"hh:mm:ss")
</f>
        <v>06:36:53</v>
      </c>
      <c r="I783" s="20">
        <f t="shared" si="4"/>
        <v>500</v>
      </c>
    </row>
    <row r="784">
      <c r="A784" s="12" t="str">
        <f>Raw_Data!A790</f>
        <v>23 Apr 2025 06:37:33</v>
      </c>
      <c r="B784" s="12" t="str">
        <f t="shared" si="1"/>
        <v>April</v>
      </c>
      <c r="C784" s="12">
        <f t="shared" si="2"/>
        <v>4</v>
      </c>
      <c r="D784" s="12" t="str">
        <f>IFERROR(__xludf.DUMMYFUNCTION("IFERROR(IF(REGEXMATCH(LOWER(Raw_Data!C790),""fixed deposit|owealth|savings|target""),""Fixed Deposit"",IF(REGEXMATCH(LOWER(Raw_Data!C790),""airtime""),""Airtime"",IF(REGEXMATCH(LOWER(Raw_Data!C790),""electronic money transfer levy""),""Electronic Money Tr"&amp;"ansfer Levy"",IF(REGEXMATCH(LOWER(Raw_Data!C790),""transfer|trf|send""),""Transfer"",""Other"")))),""Other"")"),"Airtime")</f>
        <v>Airtime</v>
      </c>
      <c r="E784" s="20">
        <v>500.0</v>
      </c>
      <c r="F784" s="20">
        <v>0.0</v>
      </c>
      <c r="G784" s="12" t="str">
        <f t="shared" si="3"/>
        <v>Withdrawal</v>
      </c>
      <c r="H784" s="12" t="str">
        <f>TEXT(Raw_Data!A790,"hh:mm:ss")
</f>
        <v>06:37:33</v>
      </c>
      <c r="I784" s="20">
        <f t="shared" si="4"/>
        <v>500</v>
      </c>
    </row>
    <row r="785">
      <c r="A785" s="12" t="str">
        <f>Raw_Data!A791</f>
        <v>23 Apr 2025 09:00:47</v>
      </c>
      <c r="B785" s="12" t="str">
        <f t="shared" si="1"/>
        <v>April</v>
      </c>
      <c r="C785" s="12">
        <f t="shared" si="2"/>
        <v>4</v>
      </c>
      <c r="D785" s="12" t="str">
        <f>IFERROR(__xludf.DUMMYFUNCTION("IFERROR(IF(REGEXMATCH(LOWER(Raw_Data!C791),""fixed deposit|owealth|savings|target""),""Fixed Deposit"",IF(REGEXMATCH(LOWER(Raw_Data!C791),""airtime""),""Airtime"",IF(REGEXMATCH(LOWER(Raw_Data!C791),""electronic money transfer levy""),""Electronic Money Tr"&amp;"ansfer Levy"",IF(REGEXMATCH(LOWER(Raw_Data!C791),""transfer|trf|send""),""Transfer"",""Other"")))),""Other"")"),"Transfer")</f>
        <v>Transfer</v>
      </c>
      <c r="E785" s="20">
        <v>1000.0</v>
      </c>
      <c r="F785" s="20">
        <v>0.0</v>
      </c>
      <c r="G785" s="12" t="str">
        <f t="shared" si="3"/>
        <v>Withdrawal</v>
      </c>
      <c r="H785" s="12" t="str">
        <f>TEXT(Raw_Data!A791,"hh:mm:ss")
</f>
        <v>09:00:47</v>
      </c>
      <c r="I785" s="20">
        <f t="shared" si="4"/>
        <v>1000</v>
      </c>
    </row>
    <row r="786">
      <c r="A786" s="12" t="str">
        <f>Raw_Data!A792</f>
        <v>23 Apr 2025 09:34:55</v>
      </c>
      <c r="B786" s="12" t="str">
        <f t="shared" si="1"/>
        <v>April</v>
      </c>
      <c r="C786" s="12">
        <f t="shared" si="2"/>
        <v>4</v>
      </c>
      <c r="D786" s="12" t="str">
        <f>IFERROR(__xludf.DUMMYFUNCTION("IFERROR(IF(REGEXMATCH(LOWER(Raw_Data!C792),""fixed deposit|owealth|savings|target""),""Fixed Deposit"",IF(REGEXMATCH(LOWER(Raw_Data!C792),""airtime""),""Airtime"",IF(REGEXMATCH(LOWER(Raw_Data!C792),""electronic money transfer levy""),""Electronic Money Tr"&amp;"ansfer Levy"",IF(REGEXMATCH(LOWER(Raw_Data!C792),""transfer|trf|send""),""Transfer"",""Other"")))),""Other"")"),"Transfer")</f>
        <v>Transfer</v>
      </c>
      <c r="E786" s="20">
        <v>3000.0</v>
      </c>
      <c r="F786" s="20">
        <v>0.0</v>
      </c>
      <c r="G786" s="12" t="str">
        <f t="shared" si="3"/>
        <v>Withdrawal</v>
      </c>
      <c r="H786" s="12" t="str">
        <f>TEXT(Raw_Data!A792,"hh:mm:ss")
</f>
        <v>09:34:55</v>
      </c>
      <c r="I786" s="20">
        <f t="shared" si="4"/>
        <v>3000</v>
      </c>
    </row>
    <row r="787">
      <c r="A787" s="12" t="str">
        <f>Raw_Data!A793</f>
        <v>23 Apr 2025 09:49:03</v>
      </c>
      <c r="B787" s="12" t="str">
        <f t="shared" si="1"/>
        <v>April</v>
      </c>
      <c r="C787" s="12">
        <f t="shared" si="2"/>
        <v>4</v>
      </c>
      <c r="D787" s="12" t="str">
        <f>IFERROR(__xludf.DUMMYFUNCTION("IFERROR(IF(REGEXMATCH(LOWER(Raw_Data!C793),""fixed deposit|owealth|savings|target""),""Fixed Deposit"",IF(REGEXMATCH(LOWER(Raw_Data!C793),""airtime""),""Airtime"",IF(REGEXMATCH(LOWER(Raw_Data!C793),""electronic money transfer levy""),""Electronic Money Tr"&amp;"ansfer Levy"",IF(REGEXMATCH(LOWER(Raw_Data!C793),""transfer|trf|send""),""Transfer"",""Other"")))),""Other"")"),"Transfer")</f>
        <v>Transfer</v>
      </c>
      <c r="E787" s="20">
        <v>2000.0</v>
      </c>
      <c r="F787" s="20">
        <v>0.0</v>
      </c>
      <c r="G787" s="12" t="str">
        <f t="shared" si="3"/>
        <v>Withdrawal</v>
      </c>
      <c r="H787" s="12" t="str">
        <f>TEXT(Raw_Data!A793,"hh:mm:ss")
</f>
        <v>09:49:03</v>
      </c>
      <c r="I787" s="20">
        <f t="shared" si="4"/>
        <v>2000</v>
      </c>
    </row>
    <row r="788">
      <c r="A788" s="12" t="str">
        <f>Raw_Data!A794</f>
        <v>23 Apr 2025 09:59:36</v>
      </c>
      <c r="B788" s="12" t="str">
        <f t="shared" si="1"/>
        <v>April</v>
      </c>
      <c r="C788" s="12">
        <f t="shared" si="2"/>
        <v>4</v>
      </c>
      <c r="D788" s="12" t="str">
        <f>IFERROR(__xludf.DUMMYFUNCTION("IFERROR(IF(REGEXMATCH(LOWER(Raw_Data!C794),""fixed deposit|owealth|savings|target""),""Fixed Deposit"",IF(REGEXMATCH(LOWER(Raw_Data!C794),""airtime""),""Airtime"",IF(REGEXMATCH(LOWER(Raw_Data!C794),""electronic money transfer levy""),""Electronic Money Tr"&amp;"ansfer Levy"",IF(REGEXMATCH(LOWER(Raw_Data!C794),""transfer|trf|send""),""Transfer"",""Other"")))),""Other"")"),"Transfer")</f>
        <v>Transfer</v>
      </c>
      <c r="E788" s="20">
        <v>2300.0</v>
      </c>
      <c r="F788" s="20">
        <v>0.0</v>
      </c>
      <c r="G788" s="12" t="str">
        <f t="shared" si="3"/>
        <v>Withdrawal</v>
      </c>
      <c r="H788" s="12" t="str">
        <f>TEXT(Raw_Data!A794,"hh:mm:ss")
</f>
        <v>09:59:36</v>
      </c>
      <c r="I788" s="20">
        <f t="shared" si="4"/>
        <v>2300</v>
      </c>
    </row>
    <row r="789">
      <c r="A789" s="12" t="str">
        <f>Raw_Data!A795</f>
        <v>23 Apr 2025 12:36:40</v>
      </c>
      <c r="B789" s="12" t="str">
        <f t="shared" si="1"/>
        <v>April</v>
      </c>
      <c r="C789" s="12">
        <f t="shared" si="2"/>
        <v>4</v>
      </c>
      <c r="D789" s="12" t="str">
        <f>IFERROR(__xludf.DUMMYFUNCTION("IFERROR(IF(REGEXMATCH(LOWER(Raw_Data!C795),""fixed deposit|owealth|savings|target""),""Fixed Deposit"",IF(REGEXMATCH(LOWER(Raw_Data!C795),""airtime""),""Airtime"",IF(REGEXMATCH(LOWER(Raw_Data!C795),""electronic money transfer levy""),""Electronic Money Tr"&amp;"ansfer Levy"",IF(REGEXMATCH(LOWER(Raw_Data!C795),""transfer|trf|send""),""Transfer"",""Other"")))),""Other"")"),"Transfer")</f>
        <v>Transfer</v>
      </c>
      <c r="E789" s="20">
        <v>200.0</v>
      </c>
      <c r="F789" s="20">
        <v>0.0</v>
      </c>
      <c r="G789" s="12" t="str">
        <f t="shared" si="3"/>
        <v>Withdrawal</v>
      </c>
      <c r="H789" s="12" t="str">
        <f>TEXT(Raw_Data!A795,"hh:mm:ss")
</f>
        <v>12:36:40</v>
      </c>
      <c r="I789" s="20">
        <f t="shared" si="4"/>
        <v>200</v>
      </c>
    </row>
    <row r="790">
      <c r="A790" s="12" t="str">
        <f>Raw_Data!A796</f>
        <v>23 Apr 2025 13:25:18</v>
      </c>
      <c r="B790" s="12" t="str">
        <f t="shared" si="1"/>
        <v>April</v>
      </c>
      <c r="C790" s="12">
        <f t="shared" si="2"/>
        <v>4</v>
      </c>
      <c r="D790" s="12" t="str">
        <f>IFERROR(__xludf.DUMMYFUNCTION("IFERROR(IF(REGEXMATCH(LOWER(Raw_Data!C796),""fixed deposit|owealth|savings|target""),""Fixed Deposit"",IF(REGEXMATCH(LOWER(Raw_Data!C796),""airtime""),""Airtime"",IF(REGEXMATCH(LOWER(Raw_Data!C796),""electronic money transfer levy""),""Electronic Money Tr"&amp;"ansfer Levy"",IF(REGEXMATCH(LOWER(Raw_Data!C796),""transfer|trf|send""),""Transfer"",""Other"")))),""Other"")"),"Transfer")</f>
        <v>Transfer</v>
      </c>
      <c r="E790" s="20">
        <v>1500.0</v>
      </c>
      <c r="F790" s="20">
        <v>0.0</v>
      </c>
      <c r="G790" s="12" t="str">
        <f t="shared" si="3"/>
        <v>Withdrawal</v>
      </c>
      <c r="H790" s="12" t="str">
        <f>TEXT(Raw_Data!A796,"hh:mm:ss")
</f>
        <v>13:25:18</v>
      </c>
      <c r="I790" s="20">
        <f t="shared" si="4"/>
        <v>1500</v>
      </c>
    </row>
    <row r="791">
      <c r="A791" s="12" t="str">
        <f>Raw_Data!A797</f>
        <v>23 Apr 2025 15:06:02</v>
      </c>
      <c r="B791" s="12" t="str">
        <f t="shared" si="1"/>
        <v>April</v>
      </c>
      <c r="C791" s="12">
        <f t="shared" si="2"/>
        <v>4</v>
      </c>
      <c r="D791" s="12" t="str">
        <f>IFERROR(__xludf.DUMMYFUNCTION("IFERROR(IF(REGEXMATCH(LOWER(Raw_Data!C797),""fixed deposit|owealth|savings|target""),""Fixed Deposit"",IF(REGEXMATCH(LOWER(Raw_Data!C797),""airtime""),""Airtime"",IF(REGEXMATCH(LOWER(Raw_Data!C797),""electronic money transfer levy""),""Electronic Money Tr"&amp;"ansfer Levy"",IF(REGEXMATCH(LOWER(Raw_Data!C797),""transfer|trf|send""),""Transfer"",""Other"")))),""Other"")"),"Transfer")</f>
        <v>Transfer</v>
      </c>
      <c r="E791" s="20">
        <v>0.0</v>
      </c>
      <c r="F791" s="20">
        <v>155539.0</v>
      </c>
      <c r="G791" s="12" t="str">
        <f t="shared" si="3"/>
        <v>Deposit</v>
      </c>
      <c r="H791" s="12" t="str">
        <f>TEXT(Raw_Data!A797,"hh:mm:ss")
</f>
        <v>15:06:02</v>
      </c>
      <c r="I791" s="20">
        <f t="shared" si="4"/>
        <v>155539</v>
      </c>
    </row>
    <row r="792">
      <c r="A792" s="12" t="str">
        <f>Raw_Data!A798</f>
        <v>23 Apr 2025 15:06:07</v>
      </c>
      <c r="B792" s="12" t="str">
        <f t="shared" si="1"/>
        <v>April</v>
      </c>
      <c r="C792" s="12">
        <f t="shared" si="2"/>
        <v>4</v>
      </c>
      <c r="D792" s="12" t="str">
        <f>IFERROR(__xludf.DUMMYFUNCTION("IFERROR(IF(REGEXMATCH(LOWER(Raw_Data!C798),""fixed deposit|owealth|savings|target""),""Fixed Deposit"",IF(REGEXMATCH(LOWER(Raw_Data!C798),""airtime""),""Airtime"",IF(REGEXMATCH(LOWER(Raw_Data!C798),""electronic money transfer levy""),""Electronic Money Tr"&amp;"ansfer Levy"",IF(REGEXMATCH(LOWER(Raw_Data!C798),""transfer|trf|send""),""Transfer"",""Other"")))),""Other"")"),"Electronic Money Transfer Levy")</f>
        <v>Electronic Money Transfer Levy</v>
      </c>
      <c r="E792" s="20">
        <v>50.0</v>
      </c>
      <c r="F792" s="20">
        <v>0.0</v>
      </c>
      <c r="G792" s="12" t="str">
        <f t="shared" si="3"/>
        <v>Withdrawal</v>
      </c>
      <c r="H792" s="12" t="str">
        <f>TEXT(Raw_Data!A798,"hh:mm:ss")
</f>
        <v>15:06:07</v>
      </c>
      <c r="I792" s="20">
        <f t="shared" si="4"/>
        <v>50</v>
      </c>
    </row>
    <row r="793">
      <c r="A793" s="12" t="str">
        <f>Raw_Data!A799</f>
        <v>23 Apr 2025 15:07:50</v>
      </c>
      <c r="B793" s="12" t="str">
        <f t="shared" si="1"/>
        <v>April</v>
      </c>
      <c r="C793" s="12">
        <f t="shared" si="2"/>
        <v>4</v>
      </c>
      <c r="D793" s="12" t="str">
        <f>IFERROR(__xludf.DUMMYFUNCTION("IFERROR(IF(REGEXMATCH(LOWER(Raw_Data!C799),""fixed deposit|owealth|savings|target""),""Fixed Deposit"",IF(REGEXMATCH(LOWER(Raw_Data!C799),""airtime""),""Airtime"",IF(REGEXMATCH(LOWER(Raw_Data!C799),""electronic money transfer levy""),""Electronic Money Tr"&amp;"ansfer Levy"",IF(REGEXMATCH(LOWER(Raw_Data!C799),""transfer|trf|send""),""Transfer"",""Other"")))),""Other"")"),"Transfer")</f>
        <v>Transfer</v>
      </c>
      <c r="E793" s="20">
        <v>155000.0</v>
      </c>
      <c r="F793" s="20">
        <v>0.0</v>
      </c>
      <c r="G793" s="12" t="str">
        <f t="shared" si="3"/>
        <v>Withdrawal</v>
      </c>
      <c r="H793" s="12" t="str">
        <f>TEXT(Raw_Data!A799,"hh:mm:ss")
</f>
        <v>15:07:50</v>
      </c>
      <c r="I793" s="20">
        <f t="shared" si="4"/>
        <v>155000</v>
      </c>
    </row>
    <row r="794">
      <c r="A794" s="12" t="str">
        <f>Raw_Data!A800</f>
        <v>23 Apr 2025 16:11:13</v>
      </c>
      <c r="B794" s="12" t="str">
        <f t="shared" si="1"/>
        <v>April</v>
      </c>
      <c r="C794" s="12">
        <f t="shared" si="2"/>
        <v>4</v>
      </c>
      <c r="D794" s="12" t="str">
        <f>IFERROR(__xludf.DUMMYFUNCTION("IFERROR(IF(REGEXMATCH(LOWER(Raw_Data!C800),""fixed deposit|owealth|savings|target""),""Fixed Deposit"",IF(REGEXMATCH(LOWER(Raw_Data!C800),""airtime""),""Airtime"",IF(REGEXMATCH(LOWER(Raw_Data!C800),""electronic money transfer levy""),""Electronic Money Tr"&amp;"ansfer Levy"",IF(REGEXMATCH(LOWER(Raw_Data!C800),""transfer|trf|send""),""Transfer"",""Other"")))),""Other"")"),"Transfer")</f>
        <v>Transfer</v>
      </c>
      <c r="E794" s="20">
        <v>1300.0</v>
      </c>
      <c r="F794" s="20">
        <v>0.0</v>
      </c>
      <c r="G794" s="12" t="str">
        <f t="shared" si="3"/>
        <v>Withdrawal</v>
      </c>
      <c r="H794" s="12" t="str">
        <f>TEXT(Raw_Data!A800,"hh:mm:ss")
</f>
        <v>16:11:13</v>
      </c>
      <c r="I794" s="20">
        <f t="shared" si="4"/>
        <v>1300</v>
      </c>
    </row>
    <row r="795">
      <c r="A795" s="12" t="str">
        <f>Raw_Data!A801</f>
        <v>23 Apr 2025 16:15:34</v>
      </c>
      <c r="B795" s="12" t="str">
        <f t="shared" si="1"/>
        <v>April</v>
      </c>
      <c r="C795" s="12">
        <f t="shared" si="2"/>
        <v>4</v>
      </c>
      <c r="D795" s="12" t="str">
        <f>IFERROR(__xludf.DUMMYFUNCTION("IFERROR(IF(REGEXMATCH(LOWER(Raw_Data!C801),""fixed deposit|owealth|savings|target""),""Fixed Deposit"",IF(REGEXMATCH(LOWER(Raw_Data!C801),""airtime""),""Airtime"",IF(REGEXMATCH(LOWER(Raw_Data!C801),""electronic money transfer levy""),""Electronic Money Tr"&amp;"ansfer Levy"",IF(REGEXMATCH(LOWER(Raw_Data!C801),""transfer|trf|send""),""Transfer"",""Other"")))),""Other"")"),"Transfer")</f>
        <v>Transfer</v>
      </c>
      <c r="E795" s="20">
        <v>0.0</v>
      </c>
      <c r="F795" s="20">
        <v>3000.0</v>
      </c>
      <c r="G795" s="12" t="str">
        <f t="shared" si="3"/>
        <v>Deposit</v>
      </c>
      <c r="H795" s="12" t="str">
        <f>TEXT(Raw_Data!A801,"hh:mm:ss")
</f>
        <v>16:15:34</v>
      </c>
      <c r="I795" s="20">
        <f t="shared" si="4"/>
        <v>3000</v>
      </c>
    </row>
    <row r="796">
      <c r="A796" s="12" t="str">
        <f>Raw_Data!A802</f>
        <v>24 Apr 2025 08:07:06</v>
      </c>
      <c r="B796" s="12" t="str">
        <f t="shared" si="1"/>
        <v>April</v>
      </c>
      <c r="C796" s="12">
        <f t="shared" si="2"/>
        <v>4</v>
      </c>
      <c r="D796" s="12" t="str">
        <f>IFERROR(__xludf.DUMMYFUNCTION("IFERROR(IF(REGEXMATCH(LOWER(Raw_Data!C802),""fixed deposit|owealth|savings|target""),""Fixed Deposit"",IF(REGEXMATCH(LOWER(Raw_Data!C802),""airtime""),""Airtime"",IF(REGEXMATCH(LOWER(Raw_Data!C802),""electronic money transfer levy""),""Electronic Money Tr"&amp;"ansfer Levy"",IF(REGEXMATCH(LOWER(Raw_Data!C802),""transfer|trf|send""),""Transfer"",""Other"")))),""Other"")"),"Transfer")</f>
        <v>Transfer</v>
      </c>
      <c r="E796" s="20">
        <v>200.0</v>
      </c>
      <c r="F796" s="20">
        <v>0.0</v>
      </c>
      <c r="G796" s="12" t="str">
        <f t="shared" si="3"/>
        <v>Withdrawal</v>
      </c>
      <c r="H796" s="12" t="str">
        <f>TEXT(Raw_Data!A802,"hh:mm:ss")
</f>
        <v>08:07:06</v>
      </c>
      <c r="I796" s="20">
        <f t="shared" si="4"/>
        <v>200</v>
      </c>
    </row>
    <row r="797">
      <c r="A797" s="12" t="str">
        <f>Raw_Data!A803</f>
        <v>24 Apr 2025 09:12:46</v>
      </c>
      <c r="B797" s="12" t="str">
        <f t="shared" si="1"/>
        <v>April</v>
      </c>
      <c r="C797" s="12">
        <f t="shared" si="2"/>
        <v>4</v>
      </c>
      <c r="D797" s="12" t="str">
        <f>IFERROR(__xludf.DUMMYFUNCTION("IFERROR(IF(REGEXMATCH(LOWER(Raw_Data!C803),""fixed deposit|owealth|savings|target""),""Fixed Deposit"",IF(REGEXMATCH(LOWER(Raw_Data!C803),""airtime""),""Airtime"",IF(REGEXMATCH(LOWER(Raw_Data!C803),""electronic money transfer levy""),""Electronic Money Tr"&amp;"ansfer Levy"",IF(REGEXMATCH(LOWER(Raw_Data!C803),""transfer|trf|send""),""Transfer"",""Other"")))),""Other"")"),"Other")</f>
        <v>Other</v>
      </c>
      <c r="E797" s="20">
        <v>500.0</v>
      </c>
      <c r="F797" s="20">
        <v>0.0</v>
      </c>
      <c r="G797" s="12" t="str">
        <f t="shared" si="3"/>
        <v>Withdrawal</v>
      </c>
      <c r="H797" s="12" t="str">
        <f>TEXT(Raw_Data!A803,"hh:mm:ss")
</f>
        <v>09:12:46</v>
      </c>
      <c r="I797" s="20">
        <f t="shared" si="4"/>
        <v>500</v>
      </c>
    </row>
    <row r="798">
      <c r="A798" s="12" t="str">
        <f>Raw_Data!A804</f>
        <v>24 Apr 2025 10:39:33</v>
      </c>
      <c r="B798" s="12" t="str">
        <f t="shared" si="1"/>
        <v>April</v>
      </c>
      <c r="C798" s="12">
        <f t="shared" si="2"/>
        <v>4</v>
      </c>
      <c r="D798" s="12" t="str">
        <f>IFERROR(__xludf.DUMMYFUNCTION("IFERROR(IF(REGEXMATCH(LOWER(Raw_Data!C804),""fixed deposit|owealth|savings|target""),""Fixed Deposit"",IF(REGEXMATCH(LOWER(Raw_Data!C804),""airtime""),""Airtime"",IF(REGEXMATCH(LOWER(Raw_Data!C804),""electronic money transfer levy""),""Electronic Money Tr"&amp;"ansfer Levy"",IF(REGEXMATCH(LOWER(Raw_Data!C804),""transfer|trf|send""),""Transfer"",""Other"")))),""Other"")"),"Transfer")</f>
        <v>Transfer</v>
      </c>
      <c r="E798" s="20">
        <v>2000.0</v>
      </c>
      <c r="F798" s="20">
        <v>0.0</v>
      </c>
      <c r="G798" s="12" t="str">
        <f t="shared" si="3"/>
        <v>Withdrawal</v>
      </c>
      <c r="H798" s="12" t="str">
        <f>TEXT(Raw_Data!A804,"hh:mm:ss")
</f>
        <v>10:39:33</v>
      </c>
      <c r="I798" s="20">
        <f t="shared" si="4"/>
        <v>2000</v>
      </c>
    </row>
    <row r="799">
      <c r="A799" s="12" t="str">
        <f>Raw_Data!A805</f>
        <v>24 Apr 2025 16:20:07</v>
      </c>
      <c r="B799" s="12" t="str">
        <f t="shared" si="1"/>
        <v>April</v>
      </c>
      <c r="C799" s="12">
        <f t="shared" si="2"/>
        <v>4</v>
      </c>
      <c r="D799" s="12" t="str">
        <f>IFERROR(__xludf.DUMMYFUNCTION("IFERROR(IF(REGEXMATCH(LOWER(Raw_Data!C805),""fixed deposit|owealth|savings|target""),""Fixed Deposit"",IF(REGEXMATCH(LOWER(Raw_Data!C805),""airtime""),""Airtime"",IF(REGEXMATCH(LOWER(Raw_Data!C805),""electronic money transfer levy""),""Electronic Money Tr"&amp;"ansfer Levy"",IF(REGEXMATCH(LOWER(Raw_Data!C805),""transfer|trf|send""),""Transfer"",""Other"")))),""Other"")"),"Transfer")</f>
        <v>Transfer</v>
      </c>
      <c r="E799" s="20">
        <v>500.0</v>
      </c>
      <c r="F799" s="20">
        <v>0.0</v>
      </c>
      <c r="G799" s="12" t="str">
        <f t="shared" si="3"/>
        <v>Withdrawal</v>
      </c>
      <c r="H799" s="12" t="str">
        <f>TEXT(Raw_Data!A805,"hh:mm:ss")
</f>
        <v>16:20:07</v>
      </c>
      <c r="I799" s="20">
        <f t="shared" si="4"/>
        <v>500</v>
      </c>
    </row>
    <row r="800">
      <c r="A800" s="12" t="str">
        <f>Raw_Data!A806</f>
        <v>24 Apr 2025 18:28:51</v>
      </c>
      <c r="B800" s="12" t="str">
        <f t="shared" si="1"/>
        <v>April</v>
      </c>
      <c r="C800" s="12">
        <f t="shared" si="2"/>
        <v>4</v>
      </c>
      <c r="D800" s="12" t="str">
        <f>IFERROR(__xludf.DUMMYFUNCTION("IFERROR(IF(REGEXMATCH(LOWER(Raw_Data!C806),""fixed deposit|owealth|savings|target""),""Fixed Deposit"",IF(REGEXMATCH(LOWER(Raw_Data!C806),""airtime""),""Airtime"",IF(REGEXMATCH(LOWER(Raw_Data!C806),""electronic money transfer levy""),""Electronic Money Tr"&amp;"ansfer Levy"",IF(REGEXMATCH(LOWER(Raw_Data!C806),""transfer|trf|send""),""Transfer"",""Other"")))),""Other"")"),"Transfer")</f>
        <v>Transfer</v>
      </c>
      <c r="E800" s="20">
        <v>450.0</v>
      </c>
      <c r="F800" s="20">
        <v>0.0</v>
      </c>
      <c r="G800" s="12" t="str">
        <f t="shared" si="3"/>
        <v>Withdrawal</v>
      </c>
      <c r="H800" s="12" t="str">
        <f>TEXT(Raw_Data!A806,"hh:mm:ss")
</f>
        <v>18:28:51</v>
      </c>
      <c r="I800" s="20">
        <f t="shared" si="4"/>
        <v>450</v>
      </c>
    </row>
    <row r="801">
      <c r="A801" s="12" t="str">
        <f>Raw_Data!A807</f>
        <v>24 Apr 2025 18:35:48</v>
      </c>
      <c r="B801" s="12" t="str">
        <f t="shared" si="1"/>
        <v>April</v>
      </c>
      <c r="C801" s="12">
        <f t="shared" si="2"/>
        <v>4</v>
      </c>
      <c r="D801" s="12" t="str">
        <f>IFERROR(__xludf.DUMMYFUNCTION("IFERROR(IF(REGEXMATCH(LOWER(Raw_Data!C807),""fixed deposit|owealth|savings|target""),""Fixed Deposit"",IF(REGEXMATCH(LOWER(Raw_Data!C807),""airtime""),""Airtime"",IF(REGEXMATCH(LOWER(Raw_Data!C807),""electronic money transfer levy""),""Electronic Money Tr"&amp;"ansfer Levy"",IF(REGEXMATCH(LOWER(Raw_Data!C807),""transfer|trf|send""),""Transfer"",""Other"")))),""Other"")"),"Transfer")</f>
        <v>Transfer</v>
      </c>
      <c r="E801" s="20">
        <v>300.0</v>
      </c>
      <c r="F801" s="20">
        <v>0.0</v>
      </c>
      <c r="G801" s="12" t="str">
        <f t="shared" si="3"/>
        <v>Withdrawal</v>
      </c>
      <c r="H801" s="12" t="str">
        <f>TEXT(Raw_Data!A807,"hh:mm:ss")
</f>
        <v>18:35:48</v>
      </c>
      <c r="I801" s="20">
        <f t="shared" si="4"/>
        <v>300</v>
      </c>
    </row>
    <row r="802">
      <c r="A802" s="12" t="str">
        <f>Raw_Data!A808</f>
        <v>24 Apr 2025 18:42:39</v>
      </c>
      <c r="B802" s="12" t="str">
        <f t="shared" si="1"/>
        <v>April</v>
      </c>
      <c r="C802" s="12">
        <f t="shared" si="2"/>
        <v>4</v>
      </c>
      <c r="D802" s="12" t="str">
        <f>IFERROR(__xludf.DUMMYFUNCTION("IFERROR(IF(REGEXMATCH(LOWER(Raw_Data!C808),""fixed deposit|owealth|savings|target""),""Fixed Deposit"",IF(REGEXMATCH(LOWER(Raw_Data!C808),""airtime""),""Airtime"",IF(REGEXMATCH(LOWER(Raw_Data!C808),""electronic money transfer levy""),""Electronic Money Tr"&amp;"ansfer Levy"",IF(REGEXMATCH(LOWER(Raw_Data!C808),""transfer|trf|send""),""Transfer"",""Other"")))),""Other"")"),"Transfer")</f>
        <v>Transfer</v>
      </c>
      <c r="E802" s="20">
        <v>150.0</v>
      </c>
      <c r="F802" s="20">
        <v>0.0</v>
      </c>
      <c r="G802" s="12" t="str">
        <f t="shared" si="3"/>
        <v>Withdrawal</v>
      </c>
      <c r="H802" s="12" t="str">
        <f>TEXT(Raw_Data!A808,"hh:mm:ss")
</f>
        <v>18:42:39</v>
      </c>
      <c r="I802" s="20">
        <f t="shared" si="4"/>
        <v>150</v>
      </c>
    </row>
    <row r="803">
      <c r="A803" s="12" t="str">
        <f>Raw_Data!A809</f>
        <v>24 Apr 2025 19:03:15</v>
      </c>
      <c r="B803" s="12" t="str">
        <f t="shared" si="1"/>
        <v>April</v>
      </c>
      <c r="C803" s="12">
        <f t="shared" si="2"/>
        <v>4</v>
      </c>
      <c r="D803" s="12" t="str">
        <f>IFERROR(__xludf.DUMMYFUNCTION("IFERROR(IF(REGEXMATCH(LOWER(Raw_Data!C809),""fixed deposit|owealth|savings|target""),""Fixed Deposit"",IF(REGEXMATCH(LOWER(Raw_Data!C809),""airtime""),""Airtime"",IF(REGEXMATCH(LOWER(Raw_Data!C809),""electronic money transfer levy""),""Electronic Money Tr"&amp;"ansfer Levy"",IF(REGEXMATCH(LOWER(Raw_Data!C809),""transfer|trf|send""),""Transfer"",""Other"")))),""Other"")"),"Transfer")</f>
        <v>Transfer</v>
      </c>
      <c r="E803" s="20">
        <v>500.0</v>
      </c>
      <c r="F803" s="20">
        <v>0.0</v>
      </c>
      <c r="G803" s="12" t="str">
        <f t="shared" si="3"/>
        <v>Withdrawal</v>
      </c>
      <c r="H803" s="12" t="str">
        <f>TEXT(Raw_Data!A809,"hh:mm:ss")
</f>
        <v>19:03:15</v>
      </c>
      <c r="I803" s="20">
        <f t="shared" si="4"/>
        <v>500</v>
      </c>
    </row>
    <row r="804">
      <c r="A804" s="12" t="str">
        <f>Raw_Data!A810</f>
        <v>25 Apr 2025 08:38:29</v>
      </c>
      <c r="B804" s="12" t="str">
        <f t="shared" si="1"/>
        <v>April</v>
      </c>
      <c r="C804" s="12">
        <f t="shared" si="2"/>
        <v>4</v>
      </c>
      <c r="D804" s="12" t="str">
        <f>IFERROR(__xludf.DUMMYFUNCTION("IFERROR(IF(REGEXMATCH(LOWER(Raw_Data!C810),""fixed deposit|owealth|savings|target""),""Fixed Deposit"",IF(REGEXMATCH(LOWER(Raw_Data!C810),""airtime""),""Airtime"",IF(REGEXMATCH(LOWER(Raw_Data!C810),""electronic money transfer levy""),""Electronic Money Tr"&amp;"ansfer Levy"",IF(REGEXMATCH(LOWER(Raw_Data!C810),""transfer|trf|send""),""Transfer"",""Other"")))),""Other"")"),"Transfer")</f>
        <v>Transfer</v>
      </c>
      <c r="E804" s="20">
        <v>150.0</v>
      </c>
      <c r="F804" s="20">
        <v>0.0</v>
      </c>
      <c r="G804" s="12" t="str">
        <f t="shared" si="3"/>
        <v>Withdrawal</v>
      </c>
      <c r="H804" s="12" t="str">
        <f>TEXT(Raw_Data!A810,"hh:mm:ss")
</f>
        <v>08:38:29</v>
      </c>
      <c r="I804" s="20">
        <f t="shared" si="4"/>
        <v>150</v>
      </c>
    </row>
    <row r="805">
      <c r="A805" s="12" t="str">
        <f>Raw_Data!A811</f>
        <v>25 Apr 2025 10:38:27</v>
      </c>
      <c r="B805" s="12" t="str">
        <f t="shared" si="1"/>
        <v>April</v>
      </c>
      <c r="C805" s="12">
        <f t="shared" si="2"/>
        <v>4</v>
      </c>
      <c r="D805" s="12" t="str">
        <f>IFERROR(__xludf.DUMMYFUNCTION("IFERROR(IF(REGEXMATCH(LOWER(Raw_Data!C811),""fixed deposit|owealth|savings|target""),""Fixed Deposit"",IF(REGEXMATCH(LOWER(Raw_Data!C811),""airtime""),""Airtime"",IF(REGEXMATCH(LOWER(Raw_Data!C811),""electronic money transfer levy""),""Electronic Money Tr"&amp;"ansfer Levy"",IF(REGEXMATCH(LOWER(Raw_Data!C811),""transfer|trf|send""),""Transfer"",""Other"")))),""Other"")"),"Transfer")</f>
        <v>Transfer</v>
      </c>
      <c r="E805" s="20">
        <v>2500.0</v>
      </c>
      <c r="F805" s="20">
        <v>0.0</v>
      </c>
      <c r="G805" s="12" t="str">
        <f t="shared" si="3"/>
        <v>Withdrawal</v>
      </c>
      <c r="H805" s="12" t="str">
        <f>TEXT(Raw_Data!A811,"hh:mm:ss")
</f>
        <v>10:38:27</v>
      </c>
      <c r="I805" s="20">
        <f t="shared" si="4"/>
        <v>2500</v>
      </c>
    </row>
    <row r="806">
      <c r="A806" s="12" t="str">
        <f>Raw_Data!A812</f>
        <v>25 Apr 2025 14:18:41</v>
      </c>
      <c r="B806" s="12" t="str">
        <f t="shared" si="1"/>
        <v>April</v>
      </c>
      <c r="C806" s="12">
        <f t="shared" si="2"/>
        <v>4</v>
      </c>
      <c r="D806" s="12" t="str">
        <f>IFERROR(__xludf.DUMMYFUNCTION("IFERROR(IF(REGEXMATCH(LOWER(Raw_Data!C812),""fixed deposit|owealth|savings|target""),""Fixed Deposit"",IF(REGEXMATCH(LOWER(Raw_Data!C812),""airtime""),""Airtime"",IF(REGEXMATCH(LOWER(Raw_Data!C812),""electronic money transfer levy""),""Electronic Money Tr"&amp;"ansfer Levy"",IF(REGEXMATCH(LOWER(Raw_Data!C812),""transfer|trf|send""),""Transfer"",""Other"")))),""Other"")"),"Transfer")</f>
        <v>Transfer</v>
      </c>
      <c r="E806" s="20">
        <v>500.0</v>
      </c>
      <c r="F806" s="20">
        <v>0.0</v>
      </c>
      <c r="G806" s="12" t="str">
        <f t="shared" si="3"/>
        <v>Withdrawal</v>
      </c>
      <c r="H806" s="12" t="str">
        <f>TEXT(Raw_Data!A812,"hh:mm:ss")
</f>
        <v>14:18:41</v>
      </c>
      <c r="I806" s="20">
        <f t="shared" si="4"/>
        <v>500</v>
      </c>
    </row>
    <row r="807">
      <c r="A807" s="12" t="str">
        <f>Raw_Data!A813</f>
        <v>25 Apr 2025 18:47:09</v>
      </c>
      <c r="B807" s="12" t="str">
        <f t="shared" si="1"/>
        <v>April</v>
      </c>
      <c r="C807" s="12">
        <f t="shared" si="2"/>
        <v>4</v>
      </c>
      <c r="D807" s="12" t="str">
        <f>IFERROR(__xludf.DUMMYFUNCTION("IFERROR(IF(REGEXMATCH(LOWER(Raw_Data!C813),""fixed deposit|owealth|savings|target""),""Fixed Deposit"",IF(REGEXMATCH(LOWER(Raw_Data!C813),""airtime""),""Airtime"",IF(REGEXMATCH(LOWER(Raw_Data!C813),""electronic money transfer levy""),""Electronic Money Tr"&amp;"ansfer Levy"",IF(REGEXMATCH(LOWER(Raw_Data!C813),""transfer|trf|send""),""Transfer"",""Other"")))),""Other"")"),"Transfer")</f>
        <v>Transfer</v>
      </c>
      <c r="E807" s="20">
        <v>2200.0</v>
      </c>
      <c r="F807" s="20">
        <v>0.0</v>
      </c>
      <c r="G807" s="12" t="str">
        <f t="shared" si="3"/>
        <v>Withdrawal</v>
      </c>
      <c r="H807" s="12" t="str">
        <f>TEXT(Raw_Data!A813,"hh:mm:ss")
</f>
        <v>18:47:09</v>
      </c>
      <c r="I807" s="20">
        <f t="shared" si="4"/>
        <v>2200</v>
      </c>
    </row>
    <row r="808">
      <c r="A808" s="12" t="str">
        <f>Raw_Data!A814</f>
        <v>25 Apr 2025 20:58:18</v>
      </c>
      <c r="B808" s="12" t="str">
        <f t="shared" si="1"/>
        <v>April</v>
      </c>
      <c r="C808" s="12">
        <f t="shared" si="2"/>
        <v>4</v>
      </c>
      <c r="D808" s="12" t="str">
        <f>IFERROR(__xludf.DUMMYFUNCTION("IFERROR(IF(REGEXMATCH(LOWER(Raw_Data!C814),""fixed deposit|owealth|savings|target""),""Fixed Deposit"",IF(REGEXMATCH(LOWER(Raw_Data!C814),""airtime""),""Airtime"",IF(REGEXMATCH(LOWER(Raw_Data!C814),""electronic money transfer levy""),""Electronic Money Tr"&amp;"ansfer Levy"",IF(REGEXMATCH(LOWER(Raw_Data!C814),""transfer|trf|send""),""Transfer"",""Other"")))),""Other"")"),"Transfer")</f>
        <v>Transfer</v>
      </c>
      <c r="E808" s="20">
        <v>800.0</v>
      </c>
      <c r="F808" s="20">
        <v>0.0</v>
      </c>
      <c r="G808" s="12" t="str">
        <f t="shared" si="3"/>
        <v>Withdrawal</v>
      </c>
      <c r="H808" s="12" t="str">
        <f>TEXT(Raw_Data!A814,"hh:mm:ss")
</f>
        <v>20:58:18</v>
      </c>
      <c r="I808" s="20">
        <f t="shared" si="4"/>
        <v>800</v>
      </c>
    </row>
    <row r="809">
      <c r="A809" s="12" t="str">
        <f>Raw_Data!A815</f>
        <v>26 Apr 2025 09:15:44</v>
      </c>
      <c r="B809" s="12" t="str">
        <f t="shared" si="1"/>
        <v>April</v>
      </c>
      <c r="C809" s="12">
        <f t="shared" si="2"/>
        <v>4</v>
      </c>
      <c r="D809" s="12" t="str">
        <f>IFERROR(__xludf.DUMMYFUNCTION("IFERROR(IF(REGEXMATCH(LOWER(Raw_Data!C815),""fixed deposit|owealth|savings|target""),""Fixed Deposit"",IF(REGEXMATCH(LOWER(Raw_Data!C815),""airtime""),""Airtime"",IF(REGEXMATCH(LOWER(Raw_Data!C815),""electronic money transfer levy""),""Electronic Money Tr"&amp;"ansfer Levy"",IF(REGEXMATCH(LOWER(Raw_Data!C815),""transfer|trf|send""),""Transfer"",""Other"")))),""Other"")"),"Transfer")</f>
        <v>Transfer</v>
      </c>
      <c r="E809" s="20">
        <v>1000.0</v>
      </c>
      <c r="F809" s="20">
        <v>0.0</v>
      </c>
      <c r="G809" s="12" t="str">
        <f t="shared" si="3"/>
        <v>Withdrawal</v>
      </c>
      <c r="H809" s="12" t="str">
        <f>TEXT(Raw_Data!A815,"hh:mm:ss")
</f>
        <v>09:15:44</v>
      </c>
      <c r="I809" s="20">
        <f t="shared" si="4"/>
        <v>1000</v>
      </c>
    </row>
    <row r="810">
      <c r="A810" s="12" t="str">
        <f>Raw_Data!A816</f>
        <v>26 Apr 2025 17:59:30</v>
      </c>
      <c r="B810" s="12" t="str">
        <f t="shared" si="1"/>
        <v>April</v>
      </c>
      <c r="C810" s="12">
        <f t="shared" si="2"/>
        <v>4</v>
      </c>
      <c r="D810" s="12" t="str">
        <f>IFERROR(__xludf.DUMMYFUNCTION("IFERROR(IF(REGEXMATCH(LOWER(Raw_Data!C816),""fixed deposit|owealth|savings|target""),""Fixed Deposit"",IF(REGEXMATCH(LOWER(Raw_Data!C816),""airtime""),""Airtime"",IF(REGEXMATCH(LOWER(Raw_Data!C816),""electronic money transfer levy""),""Electronic Money Tr"&amp;"ansfer Levy"",IF(REGEXMATCH(LOWER(Raw_Data!C816),""transfer|trf|send""),""Transfer"",""Other"")))),""Other"")"),"Other")</f>
        <v>Other</v>
      </c>
      <c r="E810" s="20">
        <v>900.0</v>
      </c>
      <c r="F810" s="20">
        <v>0.0</v>
      </c>
      <c r="G810" s="12" t="str">
        <f t="shared" si="3"/>
        <v>Withdrawal</v>
      </c>
      <c r="H810" s="12" t="str">
        <f>TEXT(Raw_Data!A816,"hh:mm:ss")
</f>
        <v>17:59:30</v>
      </c>
      <c r="I810" s="20">
        <f t="shared" si="4"/>
        <v>900</v>
      </c>
    </row>
    <row r="811">
      <c r="A811" s="12" t="str">
        <f>Raw_Data!A817</f>
        <v>26 Apr 2025 18:19:45</v>
      </c>
      <c r="B811" s="12" t="str">
        <f t="shared" si="1"/>
        <v>April</v>
      </c>
      <c r="C811" s="12">
        <f t="shared" si="2"/>
        <v>4</v>
      </c>
      <c r="D811" s="12" t="str">
        <f>IFERROR(__xludf.DUMMYFUNCTION("IFERROR(IF(REGEXMATCH(LOWER(Raw_Data!C817),""fixed deposit|owealth|savings|target""),""Fixed Deposit"",IF(REGEXMATCH(LOWER(Raw_Data!C817),""airtime""),""Airtime"",IF(REGEXMATCH(LOWER(Raw_Data!C817),""electronic money transfer levy""),""Electronic Money Tr"&amp;"ansfer Levy"",IF(REGEXMATCH(LOWER(Raw_Data!C817),""transfer|trf|send""),""Transfer"",""Other"")))),""Other"")"),"Transfer")</f>
        <v>Transfer</v>
      </c>
      <c r="E811" s="20">
        <v>650.0</v>
      </c>
      <c r="F811" s="20">
        <v>0.0</v>
      </c>
      <c r="G811" s="12" t="str">
        <f t="shared" si="3"/>
        <v>Withdrawal</v>
      </c>
      <c r="H811" s="12" t="str">
        <f>TEXT(Raw_Data!A817,"hh:mm:ss")
</f>
        <v>18:19:45</v>
      </c>
      <c r="I811" s="20">
        <f t="shared" si="4"/>
        <v>650</v>
      </c>
    </row>
    <row r="812">
      <c r="A812" s="12" t="str">
        <f>Raw_Data!A818</f>
        <v>26 Apr 2025 20:13:26</v>
      </c>
      <c r="B812" s="12" t="str">
        <f t="shared" si="1"/>
        <v>April</v>
      </c>
      <c r="C812" s="12">
        <f t="shared" si="2"/>
        <v>4</v>
      </c>
      <c r="D812" s="12" t="str">
        <f>IFERROR(__xludf.DUMMYFUNCTION("IFERROR(IF(REGEXMATCH(LOWER(Raw_Data!C818),""fixed deposit|owealth|savings|target""),""Fixed Deposit"",IF(REGEXMATCH(LOWER(Raw_Data!C818),""airtime""),""Airtime"",IF(REGEXMATCH(LOWER(Raw_Data!C818),""electronic money transfer levy""),""Electronic Money Tr"&amp;"ansfer Levy"",IF(REGEXMATCH(LOWER(Raw_Data!C818),""transfer|trf|send""),""Transfer"",""Other"")))),""Other"")"),"Transfer")</f>
        <v>Transfer</v>
      </c>
      <c r="E812" s="20">
        <v>0.0</v>
      </c>
      <c r="F812" s="20">
        <v>50000.0</v>
      </c>
      <c r="G812" s="12" t="str">
        <f t="shared" si="3"/>
        <v>Deposit</v>
      </c>
      <c r="H812" s="12" t="str">
        <f>TEXT(Raw_Data!A818,"hh:mm:ss")
</f>
        <v>20:13:26</v>
      </c>
      <c r="I812" s="20">
        <f t="shared" si="4"/>
        <v>50000</v>
      </c>
    </row>
    <row r="813">
      <c r="A813" s="12" t="str">
        <f>Raw_Data!A819</f>
        <v>26 Apr 2025 20:13:31</v>
      </c>
      <c r="B813" s="12" t="str">
        <f t="shared" si="1"/>
        <v>April</v>
      </c>
      <c r="C813" s="12">
        <f t="shared" si="2"/>
        <v>4</v>
      </c>
      <c r="D813" s="12" t="str">
        <f>IFERROR(__xludf.DUMMYFUNCTION("IFERROR(IF(REGEXMATCH(LOWER(Raw_Data!C819),""fixed deposit|owealth|savings|target""),""Fixed Deposit"",IF(REGEXMATCH(LOWER(Raw_Data!C819),""airtime""),""Airtime"",IF(REGEXMATCH(LOWER(Raw_Data!C819),""electronic money transfer levy""),""Electronic Money Tr"&amp;"ansfer Levy"",IF(REGEXMATCH(LOWER(Raw_Data!C819),""transfer|trf|send""),""Transfer"",""Other"")))),""Other"")"),"Electronic Money Transfer Levy")</f>
        <v>Electronic Money Transfer Levy</v>
      </c>
      <c r="E813" s="20">
        <v>50.0</v>
      </c>
      <c r="F813" s="20">
        <v>0.0</v>
      </c>
      <c r="G813" s="12" t="str">
        <f t="shared" si="3"/>
        <v>Withdrawal</v>
      </c>
      <c r="H813" s="12" t="str">
        <f>TEXT(Raw_Data!A819,"hh:mm:ss")
</f>
        <v>20:13:31</v>
      </c>
      <c r="I813" s="20">
        <f t="shared" si="4"/>
        <v>50</v>
      </c>
    </row>
    <row r="814">
      <c r="A814" s="12" t="str">
        <f>Raw_Data!A820</f>
        <v>26 Apr 2025 20:17:13</v>
      </c>
      <c r="B814" s="12" t="str">
        <f t="shared" si="1"/>
        <v>April</v>
      </c>
      <c r="C814" s="12">
        <f t="shared" si="2"/>
        <v>4</v>
      </c>
      <c r="D814" s="12" t="str">
        <f>IFERROR(__xludf.DUMMYFUNCTION("IFERROR(IF(REGEXMATCH(LOWER(Raw_Data!C820),""fixed deposit|owealth|savings|target""),""Fixed Deposit"",IF(REGEXMATCH(LOWER(Raw_Data!C820),""airtime""),""Airtime"",IF(REGEXMATCH(LOWER(Raw_Data!C820),""electronic money transfer levy""),""Electronic Money Tr"&amp;"ansfer Levy"",IF(REGEXMATCH(LOWER(Raw_Data!C820),""transfer|trf|send""),""Transfer"",""Other"")))),""Other"")"),"Transfer")</f>
        <v>Transfer</v>
      </c>
      <c r="E814" s="20">
        <v>47500.0</v>
      </c>
      <c r="F814" s="20">
        <v>0.0</v>
      </c>
      <c r="G814" s="12" t="str">
        <f t="shared" si="3"/>
        <v>Withdrawal</v>
      </c>
      <c r="H814" s="12" t="str">
        <f>TEXT(Raw_Data!A820,"hh:mm:ss")
</f>
        <v>20:17:13</v>
      </c>
      <c r="I814" s="20">
        <f t="shared" si="4"/>
        <v>47500</v>
      </c>
    </row>
    <row r="815">
      <c r="A815" s="12" t="str">
        <f>Raw_Data!A821</f>
        <v>26 Apr 2025 21:38:14</v>
      </c>
      <c r="B815" s="12" t="str">
        <f t="shared" si="1"/>
        <v>April</v>
      </c>
      <c r="C815" s="12">
        <f t="shared" si="2"/>
        <v>4</v>
      </c>
      <c r="D815" s="12" t="str">
        <f>IFERROR(__xludf.DUMMYFUNCTION("IFERROR(IF(REGEXMATCH(LOWER(Raw_Data!C821),""fixed deposit|owealth|savings|target""),""Fixed Deposit"",IF(REGEXMATCH(LOWER(Raw_Data!C821),""airtime""),""Airtime"",IF(REGEXMATCH(LOWER(Raw_Data!C821),""electronic money transfer levy""),""Electronic Money Tr"&amp;"ansfer Levy"",IF(REGEXMATCH(LOWER(Raw_Data!C821),""transfer|trf|send""),""Transfer"",""Other"")))),""Other"")"),"Transfer")</f>
        <v>Transfer</v>
      </c>
      <c r="E815" s="20">
        <v>1500.0</v>
      </c>
      <c r="F815" s="20">
        <v>0.0</v>
      </c>
      <c r="G815" s="12" t="str">
        <f t="shared" si="3"/>
        <v>Withdrawal</v>
      </c>
      <c r="H815" s="12" t="str">
        <f>TEXT(Raw_Data!A821,"hh:mm:ss")
</f>
        <v>21:38:14</v>
      </c>
      <c r="I815" s="20">
        <f t="shared" si="4"/>
        <v>1500</v>
      </c>
    </row>
    <row r="816">
      <c r="A816" s="12" t="str">
        <f>Raw_Data!A822</f>
        <v>26 Apr 2025 23:11:18</v>
      </c>
      <c r="B816" s="12" t="str">
        <f t="shared" si="1"/>
        <v>April</v>
      </c>
      <c r="C816" s="12">
        <f t="shared" si="2"/>
        <v>4</v>
      </c>
      <c r="D816" s="12" t="str">
        <f>IFERROR(__xludf.DUMMYFUNCTION("IFERROR(IF(REGEXMATCH(LOWER(Raw_Data!C822),""fixed deposit|owealth|savings|target""),""Fixed Deposit"",IF(REGEXMATCH(LOWER(Raw_Data!C822),""airtime""),""Airtime"",IF(REGEXMATCH(LOWER(Raw_Data!C822),""electronic money transfer levy""),""Electronic Money Tr"&amp;"ansfer Levy"",IF(REGEXMATCH(LOWER(Raw_Data!C822),""transfer|trf|send""),""Transfer"",""Other"")))),""Other"")"),"Other")</f>
        <v>Other</v>
      </c>
      <c r="E816" s="20">
        <v>900.0</v>
      </c>
      <c r="F816" s="20">
        <v>0.0</v>
      </c>
      <c r="G816" s="12" t="str">
        <f t="shared" si="3"/>
        <v>Withdrawal</v>
      </c>
      <c r="H816" s="12" t="str">
        <f>TEXT(Raw_Data!A822,"hh:mm:ss")
</f>
        <v>23:11:18</v>
      </c>
      <c r="I816" s="20">
        <f t="shared" si="4"/>
        <v>900</v>
      </c>
    </row>
    <row r="817">
      <c r="A817" s="12" t="str">
        <f>Raw_Data!A823</f>
        <v>27 Apr 2025 08:52:50</v>
      </c>
      <c r="B817" s="12" t="str">
        <f t="shared" si="1"/>
        <v>April</v>
      </c>
      <c r="C817" s="12">
        <f t="shared" si="2"/>
        <v>4</v>
      </c>
      <c r="D817" s="12" t="str">
        <f>IFERROR(__xludf.DUMMYFUNCTION("IFERROR(IF(REGEXMATCH(LOWER(Raw_Data!C823),""fixed deposit|owealth|savings|target""),""Fixed Deposit"",IF(REGEXMATCH(LOWER(Raw_Data!C823),""airtime""),""Airtime"",IF(REGEXMATCH(LOWER(Raw_Data!C823),""electronic money transfer levy""),""Electronic Money Tr"&amp;"ansfer Levy"",IF(REGEXMATCH(LOWER(Raw_Data!C823),""transfer|trf|send""),""Transfer"",""Other"")))),""Other"")"),"Transfer")</f>
        <v>Transfer</v>
      </c>
      <c r="E817" s="20">
        <v>0.0</v>
      </c>
      <c r="F817" s="20">
        <v>3000.0</v>
      </c>
      <c r="G817" s="12" t="str">
        <f t="shared" si="3"/>
        <v>Deposit</v>
      </c>
      <c r="H817" s="12" t="str">
        <f>TEXT(Raw_Data!A823,"hh:mm:ss")
</f>
        <v>08:52:50</v>
      </c>
      <c r="I817" s="20">
        <f t="shared" si="4"/>
        <v>3000</v>
      </c>
    </row>
    <row r="818">
      <c r="A818" s="12" t="str">
        <f>Raw_Data!A824</f>
        <v>27 Apr 2025 09:17:40</v>
      </c>
      <c r="B818" s="12" t="str">
        <f t="shared" si="1"/>
        <v>April</v>
      </c>
      <c r="C818" s="12">
        <f t="shared" si="2"/>
        <v>4</v>
      </c>
      <c r="D818" s="12" t="str">
        <f>IFERROR(__xludf.DUMMYFUNCTION("IFERROR(IF(REGEXMATCH(LOWER(Raw_Data!C824),""fixed deposit|owealth|savings|target""),""Fixed Deposit"",IF(REGEXMATCH(LOWER(Raw_Data!C824),""airtime""),""Airtime"",IF(REGEXMATCH(LOWER(Raw_Data!C824),""electronic money transfer levy""),""Electronic Money Tr"&amp;"ansfer Levy"",IF(REGEXMATCH(LOWER(Raw_Data!C824),""transfer|trf|send""),""Transfer"",""Other"")))),""Other"")"),"Transfer")</f>
        <v>Transfer</v>
      </c>
      <c r="E818" s="20">
        <v>3000.0</v>
      </c>
      <c r="F818" s="20">
        <v>0.0</v>
      </c>
      <c r="G818" s="12" t="str">
        <f t="shared" si="3"/>
        <v>Withdrawal</v>
      </c>
      <c r="H818" s="12" t="str">
        <f>TEXT(Raw_Data!A824,"hh:mm:ss")
</f>
        <v>09:17:40</v>
      </c>
      <c r="I818" s="20">
        <f t="shared" si="4"/>
        <v>3000</v>
      </c>
    </row>
    <row r="819">
      <c r="A819" s="12" t="str">
        <f>Raw_Data!A825</f>
        <v>27 Apr 2025 11:40:47</v>
      </c>
      <c r="B819" s="12" t="str">
        <f t="shared" si="1"/>
        <v>April</v>
      </c>
      <c r="C819" s="12">
        <f t="shared" si="2"/>
        <v>4</v>
      </c>
      <c r="D819" s="12" t="str">
        <f>IFERROR(__xludf.DUMMYFUNCTION("IFERROR(IF(REGEXMATCH(LOWER(Raw_Data!C825),""fixed deposit|owealth|savings|target""),""Fixed Deposit"",IF(REGEXMATCH(LOWER(Raw_Data!C825),""airtime""),""Airtime"",IF(REGEXMATCH(LOWER(Raw_Data!C825),""electronic money transfer levy""),""Electronic Money Tr"&amp;"ansfer Levy"",IF(REGEXMATCH(LOWER(Raw_Data!C825),""transfer|trf|send""),""Transfer"",""Other"")))),""Other"")"),"Transfer")</f>
        <v>Transfer</v>
      </c>
      <c r="E819" s="20">
        <v>250.0</v>
      </c>
      <c r="F819" s="20">
        <v>0.0</v>
      </c>
      <c r="G819" s="12" t="str">
        <f t="shared" si="3"/>
        <v>Withdrawal</v>
      </c>
      <c r="H819" s="12" t="str">
        <f>TEXT(Raw_Data!A825,"hh:mm:ss")
</f>
        <v>11:40:47</v>
      </c>
      <c r="I819" s="20">
        <f t="shared" si="4"/>
        <v>250</v>
      </c>
    </row>
    <row r="820">
      <c r="A820" s="12" t="str">
        <f>Raw_Data!A826</f>
        <v>27 Apr 2025 12:22:30</v>
      </c>
      <c r="B820" s="12" t="str">
        <f t="shared" si="1"/>
        <v>April</v>
      </c>
      <c r="C820" s="12">
        <f t="shared" si="2"/>
        <v>4</v>
      </c>
      <c r="D820" s="12" t="str">
        <f>IFERROR(__xludf.DUMMYFUNCTION("IFERROR(IF(REGEXMATCH(LOWER(Raw_Data!C826),""fixed deposit|owealth|savings|target""),""Fixed Deposit"",IF(REGEXMATCH(LOWER(Raw_Data!C826),""airtime""),""Airtime"",IF(REGEXMATCH(LOWER(Raw_Data!C826),""electronic money transfer levy""),""Electronic Money Tr"&amp;"ansfer Levy"",IF(REGEXMATCH(LOWER(Raw_Data!C826),""transfer|trf|send""),""Transfer"",""Other"")))),""Other"")"),"Transfer")</f>
        <v>Transfer</v>
      </c>
      <c r="E820" s="20">
        <v>300.0</v>
      </c>
      <c r="F820" s="20">
        <v>0.0</v>
      </c>
      <c r="G820" s="12" t="str">
        <f t="shared" si="3"/>
        <v>Withdrawal</v>
      </c>
      <c r="H820" s="12" t="str">
        <f>TEXT(Raw_Data!A826,"hh:mm:ss")
</f>
        <v>12:22:30</v>
      </c>
      <c r="I820" s="20">
        <f t="shared" si="4"/>
        <v>300</v>
      </c>
    </row>
    <row r="821">
      <c r="A821" s="12" t="str">
        <f>Raw_Data!A827</f>
        <v>27 Apr 2025 16:53:42</v>
      </c>
      <c r="B821" s="12" t="str">
        <f t="shared" si="1"/>
        <v>April</v>
      </c>
      <c r="C821" s="12">
        <f t="shared" si="2"/>
        <v>4</v>
      </c>
      <c r="D821" s="12" t="str">
        <f>IFERROR(__xludf.DUMMYFUNCTION("IFERROR(IF(REGEXMATCH(LOWER(Raw_Data!C827),""fixed deposit|owealth|savings|target""),""Fixed Deposit"",IF(REGEXMATCH(LOWER(Raw_Data!C827),""airtime""),""Airtime"",IF(REGEXMATCH(LOWER(Raw_Data!C827),""electronic money transfer levy""),""Electronic Money Tr"&amp;"ansfer Levy"",IF(REGEXMATCH(LOWER(Raw_Data!C827),""transfer|trf|send""),""Transfer"",""Other"")))),""Other"")"),"Transfer")</f>
        <v>Transfer</v>
      </c>
      <c r="E821" s="20">
        <v>1000.0</v>
      </c>
      <c r="F821" s="20">
        <v>0.0</v>
      </c>
      <c r="G821" s="12" t="str">
        <f t="shared" si="3"/>
        <v>Withdrawal</v>
      </c>
      <c r="H821" s="12" t="str">
        <f>TEXT(Raw_Data!A827,"hh:mm:ss")
</f>
        <v>16:53:42</v>
      </c>
      <c r="I821" s="20">
        <f t="shared" si="4"/>
        <v>1000</v>
      </c>
    </row>
    <row r="822">
      <c r="A822" s="12" t="str">
        <f>Raw_Data!A828</f>
        <v>27 Apr 2025 18:08:25</v>
      </c>
      <c r="B822" s="12" t="str">
        <f t="shared" si="1"/>
        <v>April</v>
      </c>
      <c r="C822" s="12">
        <f t="shared" si="2"/>
        <v>4</v>
      </c>
      <c r="D822" s="12" t="str">
        <f>IFERROR(__xludf.DUMMYFUNCTION("IFERROR(IF(REGEXMATCH(LOWER(Raw_Data!C828),""fixed deposit|owealth|savings|target""),""Fixed Deposit"",IF(REGEXMATCH(LOWER(Raw_Data!C828),""airtime""),""Airtime"",IF(REGEXMATCH(LOWER(Raw_Data!C828),""electronic money transfer levy""),""Electronic Money Tr"&amp;"ansfer Levy"",IF(REGEXMATCH(LOWER(Raw_Data!C828),""transfer|trf|send""),""Transfer"",""Other"")))),""Other"")"),"Transfer")</f>
        <v>Transfer</v>
      </c>
      <c r="E822" s="20">
        <v>3000.0</v>
      </c>
      <c r="F822" s="20">
        <v>0.0</v>
      </c>
      <c r="G822" s="12" t="str">
        <f t="shared" si="3"/>
        <v>Withdrawal</v>
      </c>
      <c r="H822" s="12" t="str">
        <f>TEXT(Raw_Data!A828,"hh:mm:ss")
</f>
        <v>18:08:25</v>
      </c>
      <c r="I822" s="20">
        <f t="shared" si="4"/>
        <v>3000</v>
      </c>
    </row>
    <row r="823">
      <c r="A823" s="12" t="str">
        <f>Raw_Data!A829</f>
        <v>27 Apr 2025 20:31:22</v>
      </c>
      <c r="B823" s="12" t="str">
        <f t="shared" si="1"/>
        <v>April</v>
      </c>
      <c r="C823" s="12">
        <f t="shared" si="2"/>
        <v>4</v>
      </c>
      <c r="D823" s="12" t="str">
        <f>IFERROR(__xludf.DUMMYFUNCTION("IFERROR(IF(REGEXMATCH(LOWER(Raw_Data!C829),""fixed deposit|owealth|savings|target""),""Fixed Deposit"",IF(REGEXMATCH(LOWER(Raw_Data!C829),""airtime""),""Airtime"",IF(REGEXMATCH(LOWER(Raw_Data!C829),""electronic money transfer levy""),""Electronic Money Tr"&amp;"ansfer Levy"",IF(REGEXMATCH(LOWER(Raw_Data!C829),""transfer|trf|send""),""Transfer"",""Other"")))),""Other"")"),"Transfer")</f>
        <v>Transfer</v>
      </c>
      <c r="E823" s="20">
        <v>150.0</v>
      </c>
      <c r="F823" s="20">
        <v>0.0</v>
      </c>
      <c r="G823" s="12" t="str">
        <f t="shared" si="3"/>
        <v>Withdrawal</v>
      </c>
      <c r="H823" s="12" t="str">
        <f>TEXT(Raw_Data!A829,"hh:mm:ss")
</f>
        <v>20:31:22</v>
      </c>
      <c r="I823" s="20">
        <f t="shared" si="4"/>
        <v>150</v>
      </c>
    </row>
    <row r="824">
      <c r="A824" s="12" t="str">
        <f>Raw_Data!A830</f>
        <v>28 Apr 2025 09:16:37</v>
      </c>
      <c r="B824" s="12" t="str">
        <f t="shared" si="1"/>
        <v>April</v>
      </c>
      <c r="C824" s="12">
        <f t="shared" si="2"/>
        <v>4</v>
      </c>
      <c r="D824" s="12" t="str">
        <f>IFERROR(__xludf.DUMMYFUNCTION("IFERROR(IF(REGEXMATCH(LOWER(Raw_Data!C830),""fixed deposit|owealth|savings|target""),""Fixed Deposit"",IF(REGEXMATCH(LOWER(Raw_Data!C830),""airtime""),""Airtime"",IF(REGEXMATCH(LOWER(Raw_Data!C830),""electronic money transfer levy""),""Electronic Money Tr"&amp;"ansfer Levy"",IF(REGEXMATCH(LOWER(Raw_Data!C830),""transfer|trf|send""),""Transfer"",""Other"")))),""Other"")"),"Transfer")</f>
        <v>Transfer</v>
      </c>
      <c r="E824" s="20">
        <v>150.0</v>
      </c>
      <c r="F824" s="20">
        <v>0.0</v>
      </c>
      <c r="G824" s="12" t="str">
        <f t="shared" si="3"/>
        <v>Withdrawal</v>
      </c>
      <c r="H824" s="12" t="str">
        <f>TEXT(Raw_Data!A830,"hh:mm:ss")
</f>
        <v>09:16:37</v>
      </c>
      <c r="I824" s="20">
        <f t="shared" si="4"/>
        <v>150</v>
      </c>
    </row>
    <row r="825">
      <c r="A825" s="12" t="str">
        <f>Raw_Data!A831</f>
        <v>28 Apr 2025 10:36:22</v>
      </c>
      <c r="B825" s="12" t="str">
        <f t="shared" si="1"/>
        <v>April</v>
      </c>
      <c r="C825" s="12">
        <f t="shared" si="2"/>
        <v>4</v>
      </c>
      <c r="D825" s="12" t="str">
        <f>IFERROR(__xludf.DUMMYFUNCTION("IFERROR(IF(REGEXMATCH(LOWER(Raw_Data!C831),""fixed deposit|owealth|savings|target""),""Fixed Deposit"",IF(REGEXMATCH(LOWER(Raw_Data!C831),""airtime""),""Airtime"",IF(REGEXMATCH(LOWER(Raw_Data!C831),""electronic money transfer levy""),""Electronic Money Tr"&amp;"ansfer Levy"",IF(REGEXMATCH(LOWER(Raw_Data!C831),""transfer|trf|send""),""Transfer"",""Other"")))),""Other"")"),"Transfer")</f>
        <v>Transfer</v>
      </c>
      <c r="E825" s="20">
        <v>1000.0</v>
      </c>
      <c r="F825" s="20">
        <v>0.0</v>
      </c>
      <c r="G825" s="12" t="str">
        <f t="shared" si="3"/>
        <v>Withdrawal</v>
      </c>
      <c r="H825" s="12" t="str">
        <f>TEXT(Raw_Data!A831,"hh:mm:ss")
</f>
        <v>10:36:22</v>
      </c>
      <c r="I825" s="20">
        <f t="shared" si="4"/>
        <v>1000</v>
      </c>
    </row>
    <row r="826">
      <c r="A826" s="12" t="str">
        <f>Raw_Data!A832</f>
        <v>28 Apr 2025 10:36:30</v>
      </c>
      <c r="B826" s="12" t="str">
        <f t="shared" si="1"/>
        <v>April</v>
      </c>
      <c r="C826" s="12">
        <f t="shared" si="2"/>
        <v>4</v>
      </c>
      <c r="D826" s="12" t="str">
        <f>IFERROR(__xludf.DUMMYFUNCTION("IFERROR(IF(REGEXMATCH(LOWER(Raw_Data!C832),""fixed deposit|owealth|savings|target""),""Fixed Deposit"",IF(REGEXMATCH(LOWER(Raw_Data!C832),""airtime""),""Airtime"",IF(REGEXMATCH(LOWER(Raw_Data!C832),""electronic money transfer levy""),""Electronic Money Tr"&amp;"ansfer Levy"",IF(REGEXMATCH(LOWER(Raw_Data!C832),""transfer|trf|send""),""Transfer"",""Other"")))),""Other"")"),"Fixed Deposit")</f>
        <v>Fixed Deposit</v>
      </c>
      <c r="E826" s="20">
        <v>0.0</v>
      </c>
      <c r="F826" s="20">
        <v>1000.0</v>
      </c>
      <c r="G826" s="12" t="str">
        <f t="shared" si="3"/>
        <v>Deposit</v>
      </c>
      <c r="H826" s="12" t="str">
        <f>TEXT(Raw_Data!A832,"hh:mm:ss")
</f>
        <v>10:36:30</v>
      </c>
      <c r="I826" s="20">
        <f t="shared" si="4"/>
        <v>1000</v>
      </c>
    </row>
    <row r="827">
      <c r="A827" s="12" t="str">
        <f>Raw_Data!A833</f>
        <v>28 Apr 2025 10:47:53</v>
      </c>
      <c r="B827" s="12" t="str">
        <f t="shared" si="1"/>
        <v>April</v>
      </c>
      <c r="C827" s="12">
        <f t="shared" si="2"/>
        <v>4</v>
      </c>
      <c r="D827" s="12" t="str">
        <f>IFERROR(__xludf.DUMMYFUNCTION("IFERROR(IF(REGEXMATCH(LOWER(Raw_Data!C833),""fixed deposit|owealth|savings|target""),""Fixed Deposit"",IF(REGEXMATCH(LOWER(Raw_Data!C833),""airtime""),""Airtime"",IF(REGEXMATCH(LOWER(Raw_Data!C833),""electronic money transfer levy""),""Electronic Money Tr"&amp;"ansfer Levy"",IF(REGEXMATCH(LOWER(Raw_Data!C833),""transfer|trf|send""),""Transfer"",""Other"")))),""Other"")"),"Transfer")</f>
        <v>Transfer</v>
      </c>
      <c r="E827" s="20">
        <v>550.0</v>
      </c>
      <c r="F827" s="20">
        <v>0.0</v>
      </c>
      <c r="G827" s="12" t="str">
        <f t="shared" si="3"/>
        <v>Withdrawal</v>
      </c>
      <c r="H827" s="12" t="str">
        <f>TEXT(Raw_Data!A833,"hh:mm:ss")
</f>
        <v>10:47:53</v>
      </c>
      <c r="I827" s="20">
        <f t="shared" si="4"/>
        <v>550</v>
      </c>
    </row>
    <row r="828">
      <c r="A828" s="12" t="str">
        <f>Raw_Data!A834</f>
        <v>28 Apr 2025 16:53:59</v>
      </c>
      <c r="B828" s="12" t="str">
        <f t="shared" si="1"/>
        <v>April</v>
      </c>
      <c r="C828" s="12">
        <f t="shared" si="2"/>
        <v>4</v>
      </c>
      <c r="D828" s="12" t="str">
        <f>IFERROR(__xludf.DUMMYFUNCTION("IFERROR(IF(REGEXMATCH(LOWER(Raw_Data!C834),""fixed deposit|owealth|savings|target""),""Fixed Deposit"",IF(REGEXMATCH(LOWER(Raw_Data!C834),""airtime""),""Airtime"",IF(REGEXMATCH(LOWER(Raw_Data!C834),""electronic money transfer levy""),""Electronic Money Tr"&amp;"ansfer Levy"",IF(REGEXMATCH(LOWER(Raw_Data!C834),""transfer|trf|send""),""Transfer"",""Other"")))),""Other"")"),"Transfer")</f>
        <v>Transfer</v>
      </c>
      <c r="E828" s="20">
        <v>200.0</v>
      </c>
      <c r="F828" s="20">
        <v>0.0</v>
      </c>
      <c r="G828" s="12" t="str">
        <f t="shared" si="3"/>
        <v>Withdrawal</v>
      </c>
      <c r="H828" s="12" t="str">
        <f>TEXT(Raw_Data!A834,"hh:mm:ss")
</f>
        <v>16:53:59</v>
      </c>
      <c r="I828" s="20">
        <f t="shared" si="4"/>
        <v>200</v>
      </c>
    </row>
    <row r="829">
      <c r="A829" s="12" t="str">
        <f>Raw_Data!A835</f>
        <v>28 Apr 2025 17:00:55</v>
      </c>
      <c r="B829" s="12" t="str">
        <f t="shared" si="1"/>
        <v>April</v>
      </c>
      <c r="C829" s="12">
        <f t="shared" si="2"/>
        <v>4</v>
      </c>
      <c r="D829" s="12" t="str">
        <f>IFERROR(__xludf.DUMMYFUNCTION("IFERROR(IF(REGEXMATCH(LOWER(Raw_Data!C835),""fixed deposit|owealth|savings|target""),""Fixed Deposit"",IF(REGEXMATCH(LOWER(Raw_Data!C835),""airtime""),""Airtime"",IF(REGEXMATCH(LOWER(Raw_Data!C835),""electronic money transfer levy""),""Electronic Money Tr"&amp;"ansfer Levy"",IF(REGEXMATCH(LOWER(Raw_Data!C835),""transfer|trf|send""),""Transfer"",""Other"")))),""Other"")"),"Transfer")</f>
        <v>Transfer</v>
      </c>
      <c r="E829" s="20">
        <v>110.0</v>
      </c>
      <c r="F829" s="20">
        <v>0.0</v>
      </c>
      <c r="G829" s="12" t="str">
        <f t="shared" si="3"/>
        <v>Withdrawal</v>
      </c>
      <c r="H829" s="12" t="str">
        <f>TEXT(Raw_Data!A835,"hh:mm:ss")
</f>
        <v>17:00:55</v>
      </c>
      <c r="I829" s="20">
        <f t="shared" si="4"/>
        <v>110</v>
      </c>
    </row>
    <row r="830">
      <c r="A830" s="12" t="str">
        <f>Raw_Data!A836</f>
        <v>28 Apr 2025 17:52:10</v>
      </c>
      <c r="B830" s="12" t="str">
        <f t="shared" si="1"/>
        <v>April</v>
      </c>
      <c r="C830" s="12">
        <f t="shared" si="2"/>
        <v>4</v>
      </c>
      <c r="D830" s="12" t="str">
        <f>IFERROR(__xludf.DUMMYFUNCTION("IFERROR(IF(REGEXMATCH(LOWER(Raw_Data!C836),""fixed deposit|owealth|savings|target""),""Fixed Deposit"",IF(REGEXMATCH(LOWER(Raw_Data!C836),""airtime""),""Airtime"",IF(REGEXMATCH(LOWER(Raw_Data!C836),""electronic money transfer levy""),""Electronic Money Tr"&amp;"ansfer Levy"",IF(REGEXMATCH(LOWER(Raw_Data!C836),""transfer|trf|send""),""Transfer"",""Other"")))),""Other"")"),"Transfer")</f>
        <v>Transfer</v>
      </c>
      <c r="E830" s="20">
        <v>160.0</v>
      </c>
      <c r="F830" s="20">
        <v>0.0</v>
      </c>
      <c r="G830" s="12" t="str">
        <f t="shared" si="3"/>
        <v>Withdrawal</v>
      </c>
      <c r="H830" s="12" t="str">
        <f>TEXT(Raw_Data!A836,"hh:mm:ss")
</f>
        <v>17:52:10</v>
      </c>
      <c r="I830" s="20">
        <f t="shared" si="4"/>
        <v>160</v>
      </c>
    </row>
    <row r="831">
      <c r="A831" s="12" t="str">
        <f>Raw_Data!A837</f>
        <v>29 Apr 2025 07:57:16</v>
      </c>
      <c r="B831" s="12" t="str">
        <f t="shared" si="1"/>
        <v>April</v>
      </c>
      <c r="C831" s="12">
        <f t="shared" si="2"/>
        <v>4</v>
      </c>
      <c r="D831" s="12" t="str">
        <f>IFERROR(__xludf.DUMMYFUNCTION("IFERROR(IF(REGEXMATCH(LOWER(Raw_Data!C837),""fixed deposit|owealth|savings|target""),""Fixed Deposit"",IF(REGEXMATCH(LOWER(Raw_Data!C837),""airtime""),""Airtime"",IF(REGEXMATCH(LOWER(Raw_Data!C837),""electronic money transfer levy""),""Electronic Money Tr"&amp;"ansfer Levy"",IF(REGEXMATCH(LOWER(Raw_Data!C837),""transfer|trf|send""),""Transfer"",""Other"")))),""Other"")"),"Transfer")</f>
        <v>Transfer</v>
      </c>
      <c r="E831" s="20">
        <v>0.0</v>
      </c>
      <c r="F831" s="20">
        <v>2000.0</v>
      </c>
      <c r="G831" s="12" t="str">
        <f t="shared" si="3"/>
        <v>Deposit</v>
      </c>
      <c r="H831" s="12" t="str">
        <f>TEXT(Raw_Data!A837,"hh:mm:ss")
</f>
        <v>07:57:16</v>
      </c>
      <c r="I831" s="20">
        <f t="shared" si="4"/>
        <v>2000</v>
      </c>
    </row>
    <row r="832">
      <c r="A832" s="12" t="str">
        <f>Raw_Data!A838</f>
        <v>29 Apr 2025 08:01:29</v>
      </c>
      <c r="B832" s="12" t="str">
        <f t="shared" si="1"/>
        <v>April</v>
      </c>
      <c r="C832" s="12">
        <f t="shared" si="2"/>
        <v>4</v>
      </c>
      <c r="D832" s="12" t="str">
        <f>IFERROR(__xludf.DUMMYFUNCTION("IFERROR(IF(REGEXMATCH(LOWER(Raw_Data!C838),""fixed deposit|owealth|savings|target""),""Fixed Deposit"",IF(REGEXMATCH(LOWER(Raw_Data!C838),""airtime""),""Airtime"",IF(REGEXMATCH(LOWER(Raw_Data!C838),""electronic money transfer levy""),""Electronic Money Tr"&amp;"ansfer Levy"",IF(REGEXMATCH(LOWER(Raw_Data!C838),""transfer|trf|send""),""Transfer"",""Other"")))),""Other"")"),"Transfer")</f>
        <v>Transfer</v>
      </c>
      <c r="E832" s="20">
        <v>2100.0</v>
      </c>
      <c r="F832" s="20">
        <v>0.0</v>
      </c>
      <c r="G832" s="12" t="str">
        <f t="shared" si="3"/>
        <v>Withdrawal</v>
      </c>
      <c r="H832" s="12" t="str">
        <f>TEXT(Raw_Data!A838,"hh:mm:ss")
</f>
        <v>08:01:29</v>
      </c>
      <c r="I832" s="20">
        <f t="shared" si="4"/>
        <v>2100</v>
      </c>
    </row>
    <row r="833">
      <c r="A833" s="12" t="str">
        <f>Raw_Data!A839</f>
        <v>29 Apr 2025 09:51:23</v>
      </c>
      <c r="B833" s="12" t="str">
        <f t="shared" si="1"/>
        <v>April</v>
      </c>
      <c r="C833" s="12">
        <f t="shared" si="2"/>
        <v>4</v>
      </c>
      <c r="D833" s="12" t="str">
        <f>IFERROR(__xludf.DUMMYFUNCTION("IFERROR(IF(REGEXMATCH(LOWER(Raw_Data!C839),""fixed deposit|owealth|savings|target""),""Fixed Deposit"",IF(REGEXMATCH(LOWER(Raw_Data!C839),""airtime""),""Airtime"",IF(REGEXMATCH(LOWER(Raw_Data!C839),""electronic money transfer levy""),""Electronic Money Tr"&amp;"ansfer Levy"",IF(REGEXMATCH(LOWER(Raw_Data!C839),""transfer|trf|send""),""Transfer"",""Other"")))),""Other"")"),"Transfer")</f>
        <v>Transfer</v>
      </c>
      <c r="E833" s="20">
        <v>650.0</v>
      </c>
      <c r="F833" s="20">
        <v>0.0</v>
      </c>
      <c r="G833" s="12" t="str">
        <f t="shared" si="3"/>
        <v>Withdrawal</v>
      </c>
      <c r="H833" s="12" t="str">
        <f>TEXT(Raw_Data!A839,"hh:mm:ss")
</f>
        <v>09:51:23</v>
      </c>
      <c r="I833" s="20">
        <f t="shared" si="4"/>
        <v>650</v>
      </c>
    </row>
    <row r="834">
      <c r="A834" s="12" t="str">
        <f>Raw_Data!A840</f>
        <v>29 Apr 2025 09:51:30</v>
      </c>
      <c r="B834" s="12" t="str">
        <f t="shared" si="1"/>
        <v>April</v>
      </c>
      <c r="C834" s="12">
        <f t="shared" si="2"/>
        <v>4</v>
      </c>
      <c r="D834" s="12" t="str">
        <f>IFERROR(__xludf.DUMMYFUNCTION("IFERROR(IF(REGEXMATCH(LOWER(Raw_Data!C840),""fixed deposit|owealth|savings|target""),""Fixed Deposit"",IF(REGEXMATCH(LOWER(Raw_Data!C840),""airtime""),""Airtime"",IF(REGEXMATCH(LOWER(Raw_Data!C840),""electronic money transfer levy""),""Electronic Money Tr"&amp;"ansfer Levy"",IF(REGEXMATCH(LOWER(Raw_Data!C840),""transfer|trf|send""),""Transfer"",""Other"")))),""Other"")"),"Fixed Deposit")</f>
        <v>Fixed Deposit</v>
      </c>
      <c r="E834" s="20">
        <v>0.0</v>
      </c>
      <c r="F834" s="20">
        <v>650.0</v>
      </c>
      <c r="G834" s="12" t="str">
        <f t="shared" si="3"/>
        <v>Deposit</v>
      </c>
      <c r="H834" s="12" t="str">
        <f>TEXT(Raw_Data!A840,"hh:mm:ss")
</f>
        <v>09:51:30</v>
      </c>
      <c r="I834" s="20">
        <f t="shared" si="4"/>
        <v>650</v>
      </c>
    </row>
    <row r="835">
      <c r="A835" s="12" t="str">
        <f>Raw_Data!A841</f>
        <v>29 Apr 2025 11:31:52</v>
      </c>
      <c r="B835" s="12" t="str">
        <f t="shared" si="1"/>
        <v>April</v>
      </c>
      <c r="C835" s="12">
        <f t="shared" si="2"/>
        <v>4</v>
      </c>
      <c r="D835" s="12" t="str">
        <f>IFERROR(__xludf.DUMMYFUNCTION("IFERROR(IF(REGEXMATCH(LOWER(Raw_Data!C841),""fixed deposit|owealth|savings|target""),""Fixed Deposit"",IF(REGEXMATCH(LOWER(Raw_Data!C841),""airtime""),""Airtime"",IF(REGEXMATCH(LOWER(Raw_Data!C841),""electronic money transfer levy""),""Electronic Money Tr"&amp;"ansfer Levy"",IF(REGEXMATCH(LOWER(Raw_Data!C841),""transfer|trf|send""),""Transfer"",""Other"")))),""Other"")"),"Transfer")</f>
        <v>Transfer</v>
      </c>
      <c r="E835" s="20">
        <v>400.0</v>
      </c>
      <c r="F835" s="20">
        <v>0.0</v>
      </c>
      <c r="G835" s="12" t="str">
        <f t="shared" si="3"/>
        <v>Withdrawal</v>
      </c>
      <c r="H835" s="12" t="str">
        <f>TEXT(Raw_Data!A841,"hh:mm:ss")
</f>
        <v>11:31:52</v>
      </c>
      <c r="I835" s="20">
        <f t="shared" si="4"/>
        <v>400</v>
      </c>
    </row>
    <row r="836">
      <c r="A836" s="12" t="str">
        <f>Raw_Data!A842</f>
        <v>29 Apr 2025 13:13:29</v>
      </c>
      <c r="B836" s="12" t="str">
        <f t="shared" si="1"/>
        <v>April</v>
      </c>
      <c r="C836" s="12">
        <f t="shared" si="2"/>
        <v>4</v>
      </c>
      <c r="D836" s="12" t="str">
        <f>IFERROR(__xludf.DUMMYFUNCTION("IFERROR(IF(REGEXMATCH(LOWER(Raw_Data!C842),""fixed deposit|owealth|savings|target""),""Fixed Deposit"",IF(REGEXMATCH(LOWER(Raw_Data!C842),""airtime""),""Airtime"",IF(REGEXMATCH(LOWER(Raw_Data!C842),""electronic money transfer levy""),""Electronic Money Tr"&amp;"ansfer Levy"",IF(REGEXMATCH(LOWER(Raw_Data!C842),""transfer|trf|send""),""Transfer"",""Other"")))),""Other"")"),"Transfer")</f>
        <v>Transfer</v>
      </c>
      <c r="E836" s="20">
        <v>800.0</v>
      </c>
      <c r="F836" s="20">
        <v>0.0</v>
      </c>
      <c r="G836" s="12" t="str">
        <f t="shared" si="3"/>
        <v>Withdrawal</v>
      </c>
      <c r="H836" s="12" t="str">
        <f>TEXT(Raw_Data!A842,"hh:mm:ss")
</f>
        <v>13:13:29</v>
      </c>
      <c r="I836" s="20">
        <f t="shared" si="4"/>
        <v>800</v>
      </c>
    </row>
    <row r="837">
      <c r="A837" s="12" t="str">
        <f>Raw_Data!A843</f>
        <v>29 Apr 2025 13:13:33</v>
      </c>
      <c r="B837" s="12" t="str">
        <f t="shared" si="1"/>
        <v>April</v>
      </c>
      <c r="C837" s="12">
        <f t="shared" si="2"/>
        <v>4</v>
      </c>
      <c r="D837" s="12" t="str">
        <f>IFERROR(__xludf.DUMMYFUNCTION("IFERROR(IF(REGEXMATCH(LOWER(Raw_Data!C843),""fixed deposit|owealth|savings|target""),""Fixed Deposit"",IF(REGEXMATCH(LOWER(Raw_Data!C843),""airtime""),""Airtime"",IF(REGEXMATCH(LOWER(Raw_Data!C843),""electronic money transfer levy""),""Electronic Money Tr"&amp;"ansfer Levy"",IF(REGEXMATCH(LOWER(Raw_Data!C843),""transfer|trf|send""),""Transfer"",""Other"")))),""Other"")"),"Fixed Deposit")</f>
        <v>Fixed Deposit</v>
      </c>
      <c r="E837" s="20">
        <v>0.0</v>
      </c>
      <c r="F837" s="20">
        <v>800.0</v>
      </c>
      <c r="G837" s="12" t="str">
        <f t="shared" si="3"/>
        <v>Deposit</v>
      </c>
      <c r="H837" s="12" t="str">
        <f>TEXT(Raw_Data!A843,"hh:mm:ss")
</f>
        <v>13:13:33</v>
      </c>
      <c r="I837" s="20">
        <f t="shared" si="4"/>
        <v>800</v>
      </c>
    </row>
    <row r="838">
      <c r="A838" s="12" t="str">
        <f>Raw_Data!A844</f>
        <v>29 Apr 2025 14:58:58</v>
      </c>
      <c r="B838" s="12" t="str">
        <f t="shared" si="1"/>
        <v>April</v>
      </c>
      <c r="C838" s="12">
        <f t="shared" si="2"/>
        <v>4</v>
      </c>
      <c r="D838" s="12" t="str">
        <f>IFERROR(__xludf.DUMMYFUNCTION("IFERROR(IF(REGEXMATCH(LOWER(Raw_Data!C844),""fixed deposit|owealth|savings|target""),""Fixed Deposit"",IF(REGEXMATCH(LOWER(Raw_Data!C844),""airtime""),""Airtime"",IF(REGEXMATCH(LOWER(Raw_Data!C844),""electronic money transfer levy""),""Electronic Money Tr"&amp;"ansfer Levy"",IF(REGEXMATCH(LOWER(Raw_Data!C844),""transfer|trf|send""),""Transfer"",""Other"")))),""Other"")"),"Transfer")</f>
        <v>Transfer</v>
      </c>
      <c r="E838" s="20">
        <v>500.0</v>
      </c>
      <c r="F838" s="20">
        <v>0.0</v>
      </c>
      <c r="G838" s="12" t="str">
        <f t="shared" si="3"/>
        <v>Withdrawal</v>
      </c>
      <c r="H838" s="12" t="str">
        <f>TEXT(Raw_Data!A844,"hh:mm:ss")
</f>
        <v>14:58:58</v>
      </c>
      <c r="I838" s="20">
        <f t="shared" si="4"/>
        <v>500</v>
      </c>
    </row>
    <row r="839">
      <c r="A839" s="12" t="str">
        <f>Raw_Data!A845</f>
        <v>29 Apr 2025 14:59:05</v>
      </c>
      <c r="B839" s="12" t="str">
        <f t="shared" si="1"/>
        <v>April</v>
      </c>
      <c r="C839" s="12">
        <f t="shared" si="2"/>
        <v>4</v>
      </c>
      <c r="D839" s="12" t="str">
        <f>IFERROR(__xludf.DUMMYFUNCTION("IFERROR(IF(REGEXMATCH(LOWER(Raw_Data!C845),""fixed deposit|owealth|savings|target""),""Fixed Deposit"",IF(REGEXMATCH(LOWER(Raw_Data!C845),""airtime""),""Airtime"",IF(REGEXMATCH(LOWER(Raw_Data!C845),""electronic money transfer levy""),""Electronic Money Tr"&amp;"ansfer Levy"",IF(REGEXMATCH(LOWER(Raw_Data!C845),""transfer|trf|send""),""Transfer"",""Other"")))),""Other"")"),"Fixed Deposit")</f>
        <v>Fixed Deposit</v>
      </c>
      <c r="E839" s="20">
        <v>0.0</v>
      </c>
      <c r="F839" s="20">
        <v>500.0</v>
      </c>
      <c r="G839" s="12" t="str">
        <f t="shared" si="3"/>
        <v>Deposit</v>
      </c>
      <c r="H839" s="12" t="str">
        <f>TEXT(Raw_Data!A845,"hh:mm:ss")
</f>
        <v>14:59:05</v>
      </c>
      <c r="I839" s="20">
        <f t="shared" si="4"/>
        <v>500</v>
      </c>
    </row>
    <row r="840">
      <c r="A840" s="12" t="str">
        <f>Raw_Data!A846</f>
        <v>29 Apr 2025 19:52:22</v>
      </c>
      <c r="B840" s="12" t="str">
        <f t="shared" si="1"/>
        <v>April</v>
      </c>
      <c r="C840" s="12">
        <f t="shared" si="2"/>
        <v>4</v>
      </c>
      <c r="D840" s="12" t="str">
        <f>IFERROR(__xludf.DUMMYFUNCTION("IFERROR(IF(REGEXMATCH(LOWER(Raw_Data!C846),""fixed deposit|owealth|savings|target""),""Fixed Deposit"",IF(REGEXMATCH(LOWER(Raw_Data!C846),""airtime""),""Airtime"",IF(REGEXMATCH(LOWER(Raw_Data!C846),""electronic money transfer levy""),""Electronic Money Tr"&amp;"ansfer Levy"",IF(REGEXMATCH(LOWER(Raw_Data!C846),""transfer|trf|send""),""Transfer"",""Other"")))),""Other"")"),"Transfer")</f>
        <v>Transfer</v>
      </c>
      <c r="E840" s="20">
        <v>2000.0</v>
      </c>
      <c r="F840" s="20">
        <v>0.0</v>
      </c>
      <c r="G840" s="12" t="str">
        <f t="shared" si="3"/>
        <v>Withdrawal</v>
      </c>
      <c r="H840" s="12" t="str">
        <f>TEXT(Raw_Data!A846,"hh:mm:ss")
</f>
        <v>19:52:22</v>
      </c>
      <c r="I840" s="20">
        <f t="shared" si="4"/>
        <v>2000</v>
      </c>
    </row>
    <row r="841">
      <c r="A841" s="12" t="str">
        <f>Raw_Data!A847</f>
        <v>29 Apr 2025 19:52:28</v>
      </c>
      <c r="B841" s="12" t="str">
        <f t="shared" si="1"/>
        <v>April</v>
      </c>
      <c r="C841" s="12">
        <f t="shared" si="2"/>
        <v>4</v>
      </c>
      <c r="D841" s="12" t="str">
        <f>IFERROR(__xludf.DUMMYFUNCTION("IFERROR(IF(REGEXMATCH(LOWER(Raw_Data!C847),""fixed deposit|owealth|savings|target""),""Fixed Deposit"",IF(REGEXMATCH(LOWER(Raw_Data!C847),""airtime""),""Airtime"",IF(REGEXMATCH(LOWER(Raw_Data!C847),""electronic money transfer levy""),""Electronic Money Tr"&amp;"ansfer Levy"",IF(REGEXMATCH(LOWER(Raw_Data!C847),""transfer|trf|send""),""Transfer"",""Other"")))),""Other"")"),"Fixed Deposit")</f>
        <v>Fixed Deposit</v>
      </c>
      <c r="E841" s="20">
        <v>0.0</v>
      </c>
      <c r="F841" s="20">
        <v>2000.0</v>
      </c>
      <c r="G841" s="12" t="str">
        <f t="shared" si="3"/>
        <v>Deposit</v>
      </c>
      <c r="H841" s="12" t="str">
        <f>TEXT(Raw_Data!A847,"hh:mm:ss")
</f>
        <v>19:52:28</v>
      </c>
      <c r="I841" s="20">
        <f t="shared" si="4"/>
        <v>2000</v>
      </c>
    </row>
    <row r="842">
      <c r="A842" s="12" t="str">
        <f>Raw_Data!A848</f>
        <v>30 Apr 2025 08:45:59</v>
      </c>
      <c r="B842" s="12" t="str">
        <f t="shared" si="1"/>
        <v>April</v>
      </c>
      <c r="C842" s="12">
        <f t="shared" si="2"/>
        <v>4</v>
      </c>
      <c r="D842" s="12" t="str">
        <f>IFERROR(__xludf.DUMMYFUNCTION("IFERROR(IF(REGEXMATCH(LOWER(Raw_Data!C848),""fixed deposit|owealth|savings|target""),""Fixed Deposit"",IF(REGEXMATCH(LOWER(Raw_Data!C848),""airtime""),""Airtime"",IF(REGEXMATCH(LOWER(Raw_Data!C848),""electronic money transfer levy""),""Electronic Money Tr"&amp;"ansfer Levy"",IF(REGEXMATCH(LOWER(Raw_Data!C848),""transfer|trf|send""),""Transfer"",""Other"")))),""Other"")"),"Transfer")</f>
        <v>Transfer</v>
      </c>
      <c r="E842" s="20">
        <v>0.0</v>
      </c>
      <c r="F842" s="20">
        <v>10000.0</v>
      </c>
      <c r="G842" s="12" t="str">
        <f t="shared" si="3"/>
        <v>Deposit</v>
      </c>
      <c r="H842" s="12" t="str">
        <f>TEXT(Raw_Data!A848,"hh:mm:ss")
</f>
        <v>08:45:59</v>
      </c>
      <c r="I842" s="20">
        <f t="shared" si="4"/>
        <v>10000</v>
      </c>
    </row>
    <row r="843">
      <c r="A843" s="12" t="str">
        <f>Raw_Data!A849</f>
        <v>30 Apr 2025 08:46:05</v>
      </c>
      <c r="B843" s="12" t="str">
        <f t="shared" si="1"/>
        <v>April</v>
      </c>
      <c r="C843" s="12">
        <f t="shared" si="2"/>
        <v>4</v>
      </c>
      <c r="D843" s="12" t="str">
        <f>IFERROR(__xludf.DUMMYFUNCTION("IFERROR(IF(REGEXMATCH(LOWER(Raw_Data!C849),""fixed deposit|owealth|savings|target""),""Fixed Deposit"",IF(REGEXMATCH(LOWER(Raw_Data!C849),""airtime""),""Airtime"",IF(REGEXMATCH(LOWER(Raw_Data!C849),""electronic money transfer levy""),""Electronic Money Tr"&amp;"ansfer Levy"",IF(REGEXMATCH(LOWER(Raw_Data!C849),""transfer|trf|send""),""Transfer"",""Other"")))),""Other"")"),"Electronic Money Transfer Levy")</f>
        <v>Electronic Money Transfer Levy</v>
      </c>
      <c r="E843" s="20">
        <v>50.0</v>
      </c>
      <c r="F843" s="20">
        <v>0.0</v>
      </c>
      <c r="G843" s="12" t="str">
        <f t="shared" si="3"/>
        <v>Withdrawal</v>
      </c>
      <c r="H843" s="12" t="str">
        <f>TEXT(Raw_Data!A849,"hh:mm:ss")
</f>
        <v>08:46:05</v>
      </c>
      <c r="I843" s="20">
        <f t="shared" si="4"/>
        <v>50</v>
      </c>
    </row>
    <row r="844">
      <c r="A844" s="12" t="str">
        <f>Raw_Data!A850</f>
        <v>30 Apr 2025 09:15:41</v>
      </c>
      <c r="B844" s="12" t="str">
        <f t="shared" si="1"/>
        <v>April</v>
      </c>
      <c r="C844" s="12">
        <f t="shared" si="2"/>
        <v>4</v>
      </c>
      <c r="D844" s="12" t="str">
        <f>IFERROR(__xludf.DUMMYFUNCTION("IFERROR(IF(REGEXMATCH(LOWER(Raw_Data!C850),""fixed deposit|owealth|savings|target""),""Fixed Deposit"",IF(REGEXMATCH(LOWER(Raw_Data!C850),""airtime""),""Airtime"",IF(REGEXMATCH(LOWER(Raw_Data!C850),""electronic money transfer levy""),""Electronic Money Tr"&amp;"ansfer Levy"",IF(REGEXMATCH(LOWER(Raw_Data!C850),""transfer|trf|send""),""Transfer"",""Other"")))),""Other"")"),"Transfer")</f>
        <v>Transfer</v>
      </c>
      <c r="E844" s="20">
        <v>700.0</v>
      </c>
      <c r="F844" s="20">
        <v>0.0</v>
      </c>
      <c r="G844" s="12" t="str">
        <f t="shared" si="3"/>
        <v>Withdrawal</v>
      </c>
      <c r="H844" s="12" t="str">
        <f>TEXT(Raw_Data!A850,"hh:mm:ss")
</f>
        <v>09:15:41</v>
      </c>
      <c r="I844" s="20">
        <f t="shared" si="4"/>
        <v>700</v>
      </c>
    </row>
    <row r="845">
      <c r="A845" s="12" t="str">
        <f>Raw_Data!A851</f>
        <v>30 Apr 2025 09:18:18</v>
      </c>
      <c r="B845" s="12" t="str">
        <f t="shared" si="1"/>
        <v>April</v>
      </c>
      <c r="C845" s="12">
        <f t="shared" si="2"/>
        <v>4</v>
      </c>
      <c r="D845" s="12" t="str">
        <f>IFERROR(__xludf.DUMMYFUNCTION("IFERROR(IF(REGEXMATCH(LOWER(Raw_Data!C851),""fixed deposit|owealth|savings|target""),""Fixed Deposit"",IF(REGEXMATCH(LOWER(Raw_Data!C851),""airtime""),""Airtime"",IF(REGEXMATCH(LOWER(Raw_Data!C851),""electronic money transfer levy""),""Electronic Money Tr"&amp;"ansfer Levy"",IF(REGEXMATCH(LOWER(Raw_Data!C851),""transfer|trf|send""),""Transfer"",""Other"")))),""Other"")"),"Transfer")</f>
        <v>Transfer</v>
      </c>
      <c r="E845" s="20">
        <v>1200.0</v>
      </c>
      <c r="F845" s="20">
        <v>0.0</v>
      </c>
      <c r="G845" s="12" t="str">
        <f t="shared" si="3"/>
        <v>Withdrawal</v>
      </c>
      <c r="H845" s="12" t="str">
        <f>TEXT(Raw_Data!A851,"hh:mm:ss")
</f>
        <v>09:18:18</v>
      </c>
      <c r="I845" s="20">
        <f t="shared" si="4"/>
        <v>1200</v>
      </c>
    </row>
    <row r="846">
      <c r="A846" s="12" t="str">
        <f>Raw_Data!A852</f>
        <v>30 Apr 2025 11:12:42</v>
      </c>
      <c r="B846" s="12" t="str">
        <f t="shared" si="1"/>
        <v>April</v>
      </c>
      <c r="C846" s="12">
        <f t="shared" si="2"/>
        <v>4</v>
      </c>
      <c r="D846" s="12" t="str">
        <f>IFERROR(__xludf.DUMMYFUNCTION("IFERROR(IF(REGEXMATCH(LOWER(Raw_Data!C852),""fixed deposit|owealth|savings|target""),""Fixed Deposit"",IF(REGEXMATCH(LOWER(Raw_Data!C852),""airtime""),""Airtime"",IF(REGEXMATCH(LOWER(Raw_Data!C852),""electronic money transfer levy""),""Electronic Money Tr"&amp;"ansfer Levy"",IF(REGEXMATCH(LOWER(Raw_Data!C852),""transfer|trf|send""),""Transfer"",""Other"")))),""Other"")"),"Transfer")</f>
        <v>Transfer</v>
      </c>
      <c r="E846" s="20">
        <v>0.0</v>
      </c>
      <c r="F846" s="20">
        <v>500.0</v>
      </c>
      <c r="G846" s="12" t="str">
        <f t="shared" si="3"/>
        <v>Deposit</v>
      </c>
      <c r="H846" s="12" t="str">
        <f>TEXT(Raw_Data!A852,"hh:mm:ss")
</f>
        <v>11:12:42</v>
      </c>
      <c r="I846" s="20">
        <f t="shared" si="4"/>
        <v>500</v>
      </c>
    </row>
    <row r="847">
      <c r="A847" s="12" t="str">
        <f>Raw_Data!A853</f>
        <v>30 Apr 2025 11:15:35</v>
      </c>
      <c r="B847" s="12" t="str">
        <f t="shared" si="1"/>
        <v>April</v>
      </c>
      <c r="C847" s="12">
        <f t="shared" si="2"/>
        <v>4</v>
      </c>
      <c r="D847" s="12" t="str">
        <f>IFERROR(__xludf.DUMMYFUNCTION("IFERROR(IF(REGEXMATCH(LOWER(Raw_Data!C853),""fixed deposit|owealth|savings|target""),""Fixed Deposit"",IF(REGEXMATCH(LOWER(Raw_Data!C853),""airtime""),""Airtime"",IF(REGEXMATCH(LOWER(Raw_Data!C853),""electronic money transfer levy""),""Electronic Money Tr"&amp;"ansfer Levy"",IF(REGEXMATCH(LOWER(Raw_Data!C853),""transfer|trf|send""),""Transfer"",""Other"")))),""Other"")"),"Transfer")</f>
        <v>Transfer</v>
      </c>
      <c r="E847" s="20">
        <v>0.0</v>
      </c>
      <c r="F847" s="20">
        <v>500.0</v>
      </c>
      <c r="G847" s="12" t="str">
        <f t="shared" si="3"/>
        <v>Deposit</v>
      </c>
      <c r="H847" s="12" t="str">
        <f>TEXT(Raw_Data!A853,"hh:mm:ss")
</f>
        <v>11:15:35</v>
      </c>
      <c r="I847" s="20">
        <f t="shared" si="4"/>
        <v>500</v>
      </c>
    </row>
    <row r="848">
      <c r="A848" s="12" t="str">
        <f>Raw_Data!A854</f>
        <v>30 Apr 2025 11:16:06</v>
      </c>
      <c r="B848" s="12" t="str">
        <f t="shared" si="1"/>
        <v>April</v>
      </c>
      <c r="C848" s="12">
        <f t="shared" si="2"/>
        <v>4</v>
      </c>
      <c r="D848" s="12" t="str">
        <f>IFERROR(__xludf.DUMMYFUNCTION("IFERROR(IF(REGEXMATCH(LOWER(Raw_Data!C854),""fixed deposit|owealth|savings|target""),""Fixed Deposit"",IF(REGEXMATCH(LOWER(Raw_Data!C854),""airtime""),""Airtime"",IF(REGEXMATCH(LOWER(Raw_Data!C854),""electronic money transfer levy""),""Electronic Money Tr"&amp;"ansfer Levy"",IF(REGEXMATCH(LOWER(Raw_Data!C854),""transfer|trf|send""),""Transfer"",""Other"")))),""Other"")"),"Transfer")</f>
        <v>Transfer</v>
      </c>
      <c r="E848" s="20">
        <v>2180.0</v>
      </c>
      <c r="F848" s="20">
        <v>0.0</v>
      </c>
      <c r="G848" s="12" t="str">
        <f t="shared" si="3"/>
        <v>Withdrawal</v>
      </c>
      <c r="H848" s="12" t="str">
        <f>TEXT(Raw_Data!A854,"hh:mm:ss")
</f>
        <v>11:16:06</v>
      </c>
      <c r="I848" s="20">
        <f t="shared" si="4"/>
        <v>2180</v>
      </c>
    </row>
    <row r="849">
      <c r="A849" s="12" t="str">
        <f>Raw_Data!A855</f>
        <v>30 Apr 2025 11:35:29</v>
      </c>
      <c r="B849" s="12" t="str">
        <f t="shared" si="1"/>
        <v>April</v>
      </c>
      <c r="C849" s="12">
        <f t="shared" si="2"/>
        <v>4</v>
      </c>
      <c r="D849" s="12" t="str">
        <f>IFERROR(__xludf.DUMMYFUNCTION("IFERROR(IF(REGEXMATCH(LOWER(Raw_Data!C855),""fixed deposit|owealth|savings|target""),""Fixed Deposit"",IF(REGEXMATCH(LOWER(Raw_Data!C855),""airtime""),""Airtime"",IF(REGEXMATCH(LOWER(Raw_Data!C855),""electronic money transfer levy""),""Electronic Money Tr"&amp;"ansfer Levy"",IF(REGEXMATCH(LOWER(Raw_Data!C855),""transfer|trf|send""),""Transfer"",""Other"")))),""Other"")"),"Airtime")</f>
        <v>Airtime</v>
      </c>
      <c r="E849" s="20">
        <v>500.0</v>
      </c>
      <c r="F849" s="20">
        <v>0.0</v>
      </c>
      <c r="G849" s="12" t="str">
        <f t="shared" si="3"/>
        <v>Withdrawal</v>
      </c>
      <c r="H849" s="12" t="str">
        <f>TEXT(Raw_Data!A855,"hh:mm:ss")
</f>
        <v>11:35:29</v>
      </c>
      <c r="I849" s="20">
        <f t="shared" si="4"/>
        <v>500</v>
      </c>
    </row>
    <row r="850">
      <c r="A850" s="12" t="str">
        <f>Raw_Data!A856</f>
        <v>30 Apr 2025 12:48:23</v>
      </c>
      <c r="B850" s="12" t="str">
        <f t="shared" si="1"/>
        <v>April</v>
      </c>
      <c r="C850" s="12">
        <f t="shared" si="2"/>
        <v>4</v>
      </c>
      <c r="D850" s="12" t="str">
        <f>IFERROR(__xludf.DUMMYFUNCTION("IFERROR(IF(REGEXMATCH(LOWER(Raw_Data!C856),""fixed deposit|owealth|savings|target""),""Fixed Deposit"",IF(REGEXMATCH(LOWER(Raw_Data!C856),""airtime""),""Airtime"",IF(REGEXMATCH(LOWER(Raw_Data!C856),""electronic money transfer levy""),""Electronic Money Tr"&amp;"ansfer Levy"",IF(REGEXMATCH(LOWER(Raw_Data!C856),""transfer|trf|send""),""Transfer"",""Other"")))),""Other"")"),"Transfer")</f>
        <v>Transfer</v>
      </c>
      <c r="E850" s="20">
        <v>2100.0</v>
      </c>
      <c r="F850" s="20">
        <v>0.0</v>
      </c>
      <c r="G850" s="12" t="str">
        <f t="shared" si="3"/>
        <v>Withdrawal</v>
      </c>
      <c r="H850" s="12" t="str">
        <f>TEXT(Raw_Data!A856,"hh:mm:ss")
</f>
        <v>12:48:23</v>
      </c>
      <c r="I850" s="20">
        <f t="shared" si="4"/>
        <v>2100</v>
      </c>
    </row>
    <row r="851">
      <c r="A851" s="12" t="str">
        <f>Raw_Data!A857</f>
        <v>30 Apr 2025 17:59:22</v>
      </c>
      <c r="B851" s="12" t="str">
        <f t="shared" si="1"/>
        <v>April</v>
      </c>
      <c r="C851" s="12">
        <f t="shared" si="2"/>
        <v>4</v>
      </c>
      <c r="D851" s="12" t="str">
        <f>IFERROR(__xludf.DUMMYFUNCTION("IFERROR(IF(REGEXMATCH(LOWER(Raw_Data!C857),""fixed deposit|owealth|savings|target""),""Fixed Deposit"",IF(REGEXMATCH(LOWER(Raw_Data!C857),""airtime""),""Airtime"",IF(REGEXMATCH(LOWER(Raw_Data!C857),""electronic money transfer levy""),""Electronic Money Tr"&amp;"ansfer Levy"",IF(REGEXMATCH(LOWER(Raw_Data!C857),""transfer|trf|send""),""Transfer"",""Other"")))),""Other"")"),"Transfer")</f>
        <v>Transfer</v>
      </c>
      <c r="E851" s="20">
        <v>200.0</v>
      </c>
      <c r="F851" s="20">
        <v>0.0</v>
      </c>
      <c r="G851" s="12" t="str">
        <f t="shared" si="3"/>
        <v>Withdrawal</v>
      </c>
      <c r="H851" s="12" t="str">
        <f>TEXT(Raw_Data!A857,"hh:mm:ss")
</f>
        <v>17:59:22</v>
      </c>
      <c r="I851" s="20">
        <f t="shared" si="4"/>
        <v>200</v>
      </c>
    </row>
    <row r="852">
      <c r="A852" s="12" t="str">
        <f>Raw_Data!A858</f>
        <v>30 Apr 2025 19:56:55</v>
      </c>
      <c r="B852" s="12" t="str">
        <f t="shared" si="1"/>
        <v>April</v>
      </c>
      <c r="C852" s="12">
        <f t="shared" si="2"/>
        <v>4</v>
      </c>
      <c r="D852" s="12" t="str">
        <f>IFERROR(__xludf.DUMMYFUNCTION("IFERROR(IF(REGEXMATCH(LOWER(Raw_Data!C858),""fixed deposit|owealth|savings|target""),""Fixed Deposit"",IF(REGEXMATCH(LOWER(Raw_Data!C858),""airtime""),""Airtime"",IF(REGEXMATCH(LOWER(Raw_Data!C858),""electronic money transfer levy""),""Electronic Money Tr"&amp;"ansfer Levy"",IF(REGEXMATCH(LOWER(Raw_Data!C858),""transfer|trf|send""),""Transfer"",""Other"")))),""Other"")"),"Transfer")</f>
        <v>Transfer</v>
      </c>
      <c r="E852" s="20">
        <v>1500.0</v>
      </c>
      <c r="F852" s="20">
        <v>0.0</v>
      </c>
      <c r="G852" s="12" t="str">
        <f t="shared" si="3"/>
        <v>Withdrawal</v>
      </c>
      <c r="H852" s="12" t="str">
        <f>TEXT(Raw_Data!A858,"hh:mm:ss")
</f>
        <v>19:56:55</v>
      </c>
      <c r="I852" s="20">
        <f t="shared" si="4"/>
        <v>1500</v>
      </c>
    </row>
    <row r="853">
      <c r="A853" s="12" t="str">
        <f>Raw_Data!A859</f>
        <v>30 Apr 2025 21:07:13</v>
      </c>
      <c r="B853" s="12" t="str">
        <f t="shared" si="1"/>
        <v>April</v>
      </c>
      <c r="C853" s="12">
        <f t="shared" si="2"/>
        <v>4</v>
      </c>
      <c r="D853" s="12" t="str">
        <f>IFERROR(__xludf.DUMMYFUNCTION("IFERROR(IF(REGEXMATCH(LOWER(Raw_Data!C859),""fixed deposit|owealth|savings|target""),""Fixed Deposit"",IF(REGEXMATCH(LOWER(Raw_Data!C859),""airtime""),""Airtime"",IF(REGEXMATCH(LOWER(Raw_Data!C859),""electronic money transfer levy""),""Electronic Money Tr"&amp;"ansfer Levy"",IF(REGEXMATCH(LOWER(Raw_Data!C859),""transfer|trf|send""),""Transfer"",""Other"")))),""Other"")"),"Transfer")</f>
        <v>Transfer</v>
      </c>
      <c r="E853" s="20">
        <v>410.0</v>
      </c>
      <c r="F853" s="20">
        <v>0.0</v>
      </c>
      <c r="G853" s="12" t="str">
        <f t="shared" si="3"/>
        <v>Withdrawal</v>
      </c>
      <c r="H853" s="12" t="str">
        <f>TEXT(Raw_Data!A859,"hh:mm:ss")
</f>
        <v>21:07:13</v>
      </c>
      <c r="I853" s="20">
        <f t="shared" si="4"/>
        <v>410</v>
      </c>
    </row>
    <row r="854">
      <c r="A854" s="12" t="str">
        <f>Raw_Data!A860</f>
        <v>01 May 2025 09:24:55</v>
      </c>
      <c r="B854" s="12" t="str">
        <f t="shared" si="1"/>
        <v>May</v>
      </c>
      <c r="C854" s="12">
        <f t="shared" si="2"/>
        <v>5</v>
      </c>
      <c r="D854" s="12" t="str">
        <f>IFERROR(__xludf.DUMMYFUNCTION("IFERROR(IF(REGEXMATCH(LOWER(Raw_Data!C860),""fixed deposit|owealth|savings|target""),""Fixed Deposit"",IF(REGEXMATCH(LOWER(Raw_Data!C860),""airtime""),""Airtime"",IF(REGEXMATCH(LOWER(Raw_Data!C860),""electronic money transfer levy""),""Electronic Money Tr"&amp;"ansfer Levy"",IF(REGEXMATCH(LOWER(Raw_Data!C860),""transfer|trf|send""),""Transfer"",""Other"")))),""Other"")"),"Transfer")</f>
        <v>Transfer</v>
      </c>
      <c r="E854" s="20">
        <v>150.0</v>
      </c>
      <c r="F854" s="20">
        <v>0.0</v>
      </c>
      <c r="G854" s="12" t="str">
        <f t="shared" si="3"/>
        <v>Withdrawal</v>
      </c>
      <c r="H854" s="12" t="str">
        <f>TEXT(Raw_Data!A860,"hh:mm:ss")
</f>
        <v>09:24:55</v>
      </c>
      <c r="I854" s="20">
        <f t="shared" si="4"/>
        <v>150</v>
      </c>
    </row>
    <row r="855">
      <c r="A855" s="12" t="str">
        <f>Raw_Data!A861</f>
        <v>01 May 2025 10:25:36</v>
      </c>
      <c r="B855" s="12" t="str">
        <f t="shared" si="1"/>
        <v>May</v>
      </c>
      <c r="C855" s="12">
        <f t="shared" si="2"/>
        <v>5</v>
      </c>
      <c r="D855" s="12" t="str">
        <f>IFERROR(__xludf.DUMMYFUNCTION("IFERROR(IF(REGEXMATCH(LOWER(Raw_Data!C861),""fixed deposit|owealth|savings|target""),""Fixed Deposit"",IF(REGEXMATCH(LOWER(Raw_Data!C861),""airtime""),""Airtime"",IF(REGEXMATCH(LOWER(Raw_Data!C861),""electronic money transfer levy""),""Electronic Money Tr"&amp;"ansfer Levy"",IF(REGEXMATCH(LOWER(Raw_Data!C861),""transfer|trf|send""),""Transfer"",""Other"")))),""Other"")"),"Other")</f>
        <v>Other</v>
      </c>
      <c r="E855" s="20">
        <v>750.0</v>
      </c>
      <c r="F855" s="20">
        <v>0.0</v>
      </c>
      <c r="G855" s="12" t="str">
        <f t="shared" si="3"/>
        <v>Withdrawal</v>
      </c>
      <c r="H855" s="12" t="str">
        <f>TEXT(Raw_Data!A861,"hh:mm:ss")
</f>
        <v>10:25:36</v>
      </c>
      <c r="I855" s="20">
        <f t="shared" si="4"/>
        <v>750</v>
      </c>
    </row>
    <row r="856">
      <c r="A856" s="12" t="str">
        <f>Raw_Data!A862</f>
        <v>01 May 2025 11:46:38</v>
      </c>
      <c r="B856" s="12" t="str">
        <f t="shared" si="1"/>
        <v>May</v>
      </c>
      <c r="C856" s="12">
        <f t="shared" si="2"/>
        <v>5</v>
      </c>
      <c r="D856" s="12" t="str">
        <f>IFERROR(__xludf.DUMMYFUNCTION("IFERROR(IF(REGEXMATCH(LOWER(Raw_Data!C862),""fixed deposit|owealth|savings|target""),""Fixed Deposit"",IF(REGEXMATCH(LOWER(Raw_Data!C862),""airtime""),""Airtime"",IF(REGEXMATCH(LOWER(Raw_Data!C862),""electronic money transfer levy""),""Electronic Money Tr"&amp;"ansfer Levy"",IF(REGEXMATCH(LOWER(Raw_Data!C862),""transfer|trf|send""),""Transfer"",""Other"")))),""Other"")"),"Transfer")</f>
        <v>Transfer</v>
      </c>
      <c r="E856" s="20">
        <v>5000.0</v>
      </c>
      <c r="F856" s="20">
        <v>0.0</v>
      </c>
      <c r="G856" s="12" t="str">
        <f t="shared" si="3"/>
        <v>Withdrawal</v>
      </c>
      <c r="H856" s="12" t="str">
        <f>TEXT(Raw_Data!A862,"hh:mm:ss")
</f>
        <v>11:46:38</v>
      </c>
      <c r="I856" s="20">
        <f t="shared" si="4"/>
        <v>5000</v>
      </c>
    </row>
    <row r="857">
      <c r="A857" s="12" t="str">
        <f>Raw_Data!A863</f>
        <v>01 May 2025 11:46:44</v>
      </c>
      <c r="B857" s="12" t="str">
        <f t="shared" si="1"/>
        <v>May</v>
      </c>
      <c r="C857" s="12">
        <f t="shared" si="2"/>
        <v>5</v>
      </c>
      <c r="D857" s="12" t="str">
        <f>IFERROR(__xludf.DUMMYFUNCTION("IFERROR(IF(REGEXMATCH(LOWER(Raw_Data!C863),""fixed deposit|owealth|savings|target""),""Fixed Deposit"",IF(REGEXMATCH(LOWER(Raw_Data!C863),""airtime""),""Airtime"",IF(REGEXMATCH(LOWER(Raw_Data!C863),""electronic money transfer levy""),""Electronic Money Tr"&amp;"ansfer Levy"",IF(REGEXMATCH(LOWER(Raw_Data!C863),""transfer|trf|send""),""Transfer"",""Other"")))),""Other"")"),"Fixed Deposit")</f>
        <v>Fixed Deposit</v>
      </c>
      <c r="E857" s="20">
        <v>0.0</v>
      </c>
      <c r="F857" s="20">
        <v>5000.0</v>
      </c>
      <c r="G857" s="12" t="str">
        <f t="shared" si="3"/>
        <v>Deposit</v>
      </c>
      <c r="H857" s="12" t="str">
        <f>TEXT(Raw_Data!A863,"hh:mm:ss")
</f>
        <v>11:46:44</v>
      </c>
      <c r="I857" s="20">
        <f t="shared" si="4"/>
        <v>5000</v>
      </c>
    </row>
    <row r="858">
      <c r="A858" s="12" t="str">
        <f>Raw_Data!A864</f>
        <v>01 May 2025 13:52:07</v>
      </c>
      <c r="B858" s="12" t="str">
        <f t="shared" si="1"/>
        <v>May</v>
      </c>
      <c r="C858" s="12">
        <f t="shared" si="2"/>
        <v>5</v>
      </c>
      <c r="D858" s="12" t="str">
        <f>IFERROR(__xludf.DUMMYFUNCTION("IFERROR(IF(REGEXMATCH(LOWER(Raw_Data!C864),""fixed deposit|owealth|savings|target""),""Fixed Deposit"",IF(REGEXMATCH(LOWER(Raw_Data!C864),""airtime""),""Airtime"",IF(REGEXMATCH(LOWER(Raw_Data!C864),""electronic money transfer levy""),""Electronic Money Tr"&amp;"ansfer Levy"",IF(REGEXMATCH(LOWER(Raw_Data!C864),""transfer|trf|send""),""Transfer"",""Other"")))),""Other"")"),"Transfer")</f>
        <v>Transfer</v>
      </c>
      <c r="E858" s="20">
        <v>0.0</v>
      </c>
      <c r="F858" s="20">
        <v>7000.0</v>
      </c>
      <c r="G858" s="12" t="str">
        <f t="shared" si="3"/>
        <v>Deposit</v>
      </c>
      <c r="H858" s="12" t="str">
        <f>TEXT(Raw_Data!A864,"hh:mm:ss")
</f>
        <v>13:52:07</v>
      </c>
      <c r="I858" s="20">
        <f t="shared" si="4"/>
        <v>7000</v>
      </c>
    </row>
    <row r="859">
      <c r="A859" s="12" t="str">
        <f>Raw_Data!A865</f>
        <v>01 May 2025 16:36:18</v>
      </c>
      <c r="B859" s="12" t="str">
        <f t="shared" si="1"/>
        <v>May</v>
      </c>
      <c r="C859" s="12">
        <f t="shared" si="2"/>
        <v>5</v>
      </c>
      <c r="D859" s="12" t="str">
        <f>IFERROR(__xludf.DUMMYFUNCTION("IFERROR(IF(REGEXMATCH(LOWER(Raw_Data!C865),""fixed deposit|owealth|savings|target""),""Fixed Deposit"",IF(REGEXMATCH(LOWER(Raw_Data!C865),""airtime""),""Airtime"",IF(REGEXMATCH(LOWER(Raw_Data!C865),""electronic money transfer levy""),""Electronic Money Tr"&amp;"ansfer Levy"",IF(REGEXMATCH(LOWER(Raw_Data!C865),""transfer|trf|send""),""Transfer"",""Other"")))),""Other"")"),"Transfer")</f>
        <v>Transfer</v>
      </c>
      <c r="E859" s="20">
        <v>550.0</v>
      </c>
      <c r="F859" s="20">
        <v>0.0</v>
      </c>
      <c r="G859" s="12" t="str">
        <f t="shared" si="3"/>
        <v>Withdrawal</v>
      </c>
      <c r="H859" s="12" t="str">
        <f>TEXT(Raw_Data!A865,"hh:mm:ss")
</f>
        <v>16:36:18</v>
      </c>
      <c r="I859" s="20">
        <f t="shared" si="4"/>
        <v>550</v>
      </c>
    </row>
    <row r="860">
      <c r="A860" s="12" t="str">
        <f>Raw_Data!A866</f>
        <v>01 May 2025 20:15:35</v>
      </c>
      <c r="B860" s="12" t="str">
        <f t="shared" si="1"/>
        <v>May</v>
      </c>
      <c r="C860" s="12">
        <f t="shared" si="2"/>
        <v>5</v>
      </c>
      <c r="D860" s="12" t="str">
        <f>IFERROR(__xludf.DUMMYFUNCTION("IFERROR(IF(REGEXMATCH(LOWER(Raw_Data!C866),""fixed deposit|owealth|savings|target""),""Fixed Deposit"",IF(REGEXMATCH(LOWER(Raw_Data!C866),""airtime""),""Airtime"",IF(REGEXMATCH(LOWER(Raw_Data!C866),""electronic money transfer levy""),""Electronic Money Tr"&amp;"ansfer Levy"",IF(REGEXMATCH(LOWER(Raw_Data!C866),""transfer|trf|send""),""Transfer"",""Other"")))),""Other"")"),"Transfer")</f>
        <v>Transfer</v>
      </c>
      <c r="E860" s="20">
        <v>700.0</v>
      </c>
      <c r="F860" s="20">
        <v>0.0</v>
      </c>
      <c r="G860" s="12" t="str">
        <f t="shared" si="3"/>
        <v>Withdrawal</v>
      </c>
      <c r="H860" s="12" t="str">
        <f>TEXT(Raw_Data!A866,"hh:mm:ss")
</f>
        <v>20:15:35</v>
      </c>
      <c r="I860" s="20">
        <f t="shared" si="4"/>
        <v>700</v>
      </c>
    </row>
    <row r="861">
      <c r="A861" s="12" t="str">
        <f>Raw_Data!A867</f>
        <v>02 May 2025 08:41:16</v>
      </c>
      <c r="B861" s="12" t="str">
        <f t="shared" si="1"/>
        <v>May</v>
      </c>
      <c r="C861" s="12">
        <f t="shared" si="2"/>
        <v>5</v>
      </c>
      <c r="D861" s="12" t="str">
        <f>IFERROR(__xludf.DUMMYFUNCTION("IFERROR(IF(REGEXMATCH(LOWER(Raw_Data!C867),""fixed deposit|owealth|savings|target""),""Fixed Deposit"",IF(REGEXMATCH(LOWER(Raw_Data!C867),""airtime""),""Airtime"",IF(REGEXMATCH(LOWER(Raw_Data!C867),""electronic money transfer levy""),""Electronic Money Tr"&amp;"ansfer Levy"",IF(REGEXMATCH(LOWER(Raw_Data!C867),""transfer|trf|send""),""Transfer"",""Other"")))),""Other"")"),"Transfer")</f>
        <v>Transfer</v>
      </c>
      <c r="E861" s="20">
        <v>1000.0</v>
      </c>
      <c r="F861" s="20">
        <v>0.0</v>
      </c>
      <c r="G861" s="12" t="str">
        <f t="shared" si="3"/>
        <v>Withdrawal</v>
      </c>
      <c r="H861" s="12" t="str">
        <f>TEXT(Raw_Data!A867,"hh:mm:ss")
</f>
        <v>08:41:16</v>
      </c>
      <c r="I861" s="20">
        <f t="shared" si="4"/>
        <v>1000</v>
      </c>
    </row>
    <row r="862">
      <c r="A862" s="12" t="str">
        <f>Raw_Data!A868</f>
        <v>02 May 2025 08:41:35</v>
      </c>
      <c r="B862" s="12" t="str">
        <f t="shared" si="1"/>
        <v>May</v>
      </c>
      <c r="C862" s="12">
        <f t="shared" si="2"/>
        <v>5</v>
      </c>
      <c r="D862" s="12" t="str">
        <f>IFERROR(__xludf.DUMMYFUNCTION("IFERROR(IF(REGEXMATCH(LOWER(Raw_Data!C868),""fixed deposit|owealth|savings|target""),""Fixed Deposit"",IF(REGEXMATCH(LOWER(Raw_Data!C868),""airtime""),""Airtime"",IF(REGEXMATCH(LOWER(Raw_Data!C868),""electronic money transfer levy""),""Electronic Money Tr"&amp;"ansfer Levy"",IF(REGEXMATCH(LOWER(Raw_Data!C868),""transfer|trf|send""),""Transfer"",""Other"")))),""Other"")"),"Airtime")</f>
        <v>Airtime</v>
      </c>
      <c r="E862" s="20">
        <v>500.0</v>
      </c>
      <c r="F862" s="20">
        <v>0.0</v>
      </c>
      <c r="G862" s="12" t="str">
        <f t="shared" si="3"/>
        <v>Withdrawal</v>
      </c>
      <c r="H862" s="12" t="str">
        <f>TEXT(Raw_Data!A868,"hh:mm:ss")
</f>
        <v>08:41:35</v>
      </c>
      <c r="I862" s="20">
        <f t="shared" si="4"/>
        <v>500</v>
      </c>
    </row>
    <row r="863">
      <c r="A863" s="12" t="str">
        <f>Raw_Data!A869</f>
        <v>02 May 2025 08:51:43</v>
      </c>
      <c r="B863" s="12" t="str">
        <f t="shared" si="1"/>
        <v>May</v>
      </c>
      <c r="C863" s="12">
        <f t="shared" si="2"/>
        <v>5</v>
      </c>
      <c r="D863" s="12" t="str">
        <f>IFERROR(__xludf.DUMMYFUNCTION("IFERROR(IF(REGEXMATCH(LOWER(Raw_Data!C869),""fixed deposit|owealth|savings|target""),""Fixed Deposit"",IF(REGEXMATCH(LOWER(Raw_Data!C869),""airtime""),""Airtime"",IF(REGEXMATCH(LOWER(Raw_Data!C869),""electronic money transfer levy""),""Electronic Money Tr"&amp;"ansfer Levy"",IF(REGEXMATCH(LOWER(Raw_Data!C869),""transfer|trf|send""),""Transfer"",""Other"")))),""Other"")"),"Transfer")</f>
        <v>Transfer</v>
      </c>
      <c r="E863" s="20">
        <v>100.0</v>
      </c>
      <c r="F863" s="20">
        <v>0.0</v>
      </c>
      <c r="G863" s="12" t="str">
        <f t="shared" si="3"/>
        <v>Withdrawal</v>
      </c>
      <c r="H863" s="12" t="str">
        <f>TEXT(Raw_Data!A869,"hh:mm:ss")
</f>
        <v>08:51:43</v>
      </c>
      <c r="I863" s="20">
        <f t="shared" si="4"/>
        <v>100</v>
      </c>
    </row>
    <row r="864">
      <c r="A864" s="12" t="str">
        <f>Raw_Data!A870</f>
        <v>02 May 2025 09:53:24</v>
      </c>
      <c r="B864" s="12" t="str">
        <f t="shared" si="1"/>
        <v>May</v>
      </c>
      <c r="C864" s="12">
        <f t="shared" si="2"/>
        <v>5</v>
      </c>
      <c r="D864" s="12" t="str">
        <f>IFERROR(__xludf.DUMMYFUNCTION("IFERROR(IF(REGEXMATCH(LOWER(Raw_Data!C870),""fixed deposit|owealth|savings|target""),""Fixed Deposit"",IF(REGEXMATCH(LOWER(Raw_Data!C870),""airtime""),""Airtime"",IF(REGEXMATCH(LOWER(Raw_Data!C870),""electronic money transfer levy""),""Electronic Money Tr"&amp;"ansfer Levy"",IF(REGEXMATCH(LOWER(Raw_Data!C870),""transfer|trf|send""),""Transfer"",""Other"")))),""Other"")"),"Transfer")</f>
        <v>Transfer</v>
      </c>
      <c r="E864" s="20">
        <v>300.0</v>
      </c>
      <c r="F864" s="20">
        <v>0.0</v>
      </c>
      <c r="G864" s="12" t="str">
        <f t="shared" si="3"/>
        <v>Withdrawal</v>
      </c>
      <c r="H864" s="12" t="str">
        <f>TEXT(Raw_Data!A870,"hh:mm:ss")
</f>
        <v>09:53:24</v>
      </c>
      <c r="I864" s="20">
        <f t="shared" si="4"/>
        <v>300</v>
      </c>
    </row>
    <row r="865">
      <c r="A865" s="12" t="str">
        <f>Raw_Data!A871</f>
        <v>02 May 2025 16:08:51</v>
      </c>
      <c r="B865" s="12" t="str">
        <f t="shared" si="1"/>
        <v>May</v>
      </c>
      <c r="C865" s="12">
        <f t="shared" si="2"/>
        <v>5</v>
      </c>
      <c r="D865" s="12" t="str">
        <f>IFERROR(__xludf.DUMMYFUNCTION("IFERROR(IF(REGEXMATCH(LOWER(Raw_Data!C871),""fixed deposit|owealth|savings|target""),""Fixed Deposit"",IF(REGEXMATCH(LOWER(Raw_Data!C871),""airtime""),""Airtime"",IF(REGEXMATCH(LOWER(Raw_Data!C871),""electronic money transfer levy""),""Electronic Money Tr"&amp;"ansfer Levy"",IF(REGEXMATCH(LOWER(Raw_Data!C871),""transfer|trf|send""),""Transfer"",""Other"")))),""Other"")"),"Transfer")</f>
        <v>Transfer</v>
      </c>
      <c r="E865" s="20">
        <v>550.0</v>
      </c>
      <c r="F865" s="20">
        <v>0.0</v>
      </c>
      <c r="G865" s="12" t="str">
        <f t="shared" si="3"/>
        <v>Withdrawal</v>
      </c>
      <c r="H865" s="12" t="str">
        <f>TEXT(Raw_Data!A871,"hh:mm:ss")
</f>
        <v>16:08:51</v>
      </c>
      <c r="I865" s="20">
        <f t="shared" si="4"/>
        <v>550</v>
      </c>
    </row>
    <row r="866">
      <c r="A866" s="12" t="str">
        <f>Raw_Data!A872</f>
        <v>02 May 2025 18:02:49</v>
      </c>
      <c r="B866" s="12" t="str">
        <f t="shared" si="1"/>
        <v>May</v>
      </c>
      <c r="C866" s="12">
        <f t="shared" si="2"/>
        <v>5</v>
      </c>
      <c r="D866" s="12" t="str">
        <f>IFERROR(__xludf.DUMMYFUNCTION("IFERROR(IF(REGEXMATCH(LOWER(Raw_Data!C872),""fixed deposit|owealth|savings|target""),""Fixed Deposit"",IF(REGEXMATCH(LOWER(Raw_Data!C872),""airtime""),""Airtime"",IF(REGEXMATCH(LOWER(Raw_Data!C872),""electronic money transfer levy""),""Electronic Money Tr"&amp;"ansfer Levy"",IF(REGEXMATCH(LOWER(Raw_Data!C872),""transfer|trf|send""),""Transfer"",""Other"")))),""Other"")"),"Transfer")</f>
        <v>Transfer</v>
      </c>
      <c r="E866" s="20">
        <v>600.0</v>
      </c>
      <c r="F866" s="20">
        <v>0.0</v>
      </c>
      <c r="G866" s="12" t="str">
        <f t="shared" si="3"/>
        <v>Withdrawal</v>
      </c>
      <c r="H866" s="12" t="str">
        <f>TEXT(Raw_Data!A872,"hh:mm:ss")
</f>
        <v>18:02:49</v>
      </c>
      <c r="I866" s="20">
        <f t="shared" si="4"/>
        <v>600</v>
      </c>
    </row>
    <row r="867">
      <c r="A867" s="12" t="str">
        <f>Raw_Data!A873</f>
        <v>02 May 2025 19:38:42</v>
      </c>
      <c r="B867" s="12" t="str">
        <f t="shared" si="1"/>
        <v>May</v>
      </c>
      <c r="C867" s="12">
        <f t="shared" si="2"/>
        <v>5</v>
      </c>
      <c r="D867" s="12" t="str">
        <f>IFERROR(__xludf.DUMMYFUNCTION("IFERROR(IF(REGEXMATCH(LOWER(Raw_Data!C873),""fixed deposit|owealth|savings|target""),""Fixed Deposit"",IF(REGEXMATCH(LOWER(Raw_Data!C873),""airtime""),""Airtime"",IF(REGEXMATCH(LOWER(Raw_Data!C873),""electronic money transfer levy""),""Electronic Money Tr"&amp;"ansfer Levy"",IF(REGEXMATCH(LOWER(Raw_Data!C873),""transfer|trf|send""),""Transfer"",""Other"")))),""Other"")"),"Transfer")</f>
        <v>Transfer</v>
      </c>
      <c r="E867" s="20">
        <v>150.0</v>
      </c>
      <c r="F867" s="20">
        <v>0.0</v>
      </c>
      <c r="G867" s="12" t="str">
        <f t="shared" si="3"/>
        <v>Withdrawal</v>
      </c>
      <c r="H867" s="12" t="str">
        <f>TEXT(Raw_Data!A873,"hh:mm:ss")
</f>
        <v>19:38:42</v>
      </c>
      <c r="I867" s="20">
        <f t="shared" si="4"/>
        <v>150</v>
      </c>
    </row>
    <row r="868">
      <c r="A868" s="12" t="str">
        <f>Raw_Data!A874</f>
        <v>03 May 2025 09:05:38</v>
      </c>
      <c r="B868" s="12" t="str">
        <f t="shared" si="1"/>
        <v>May</v>
      </c>
      <c r="C868" s="12">
        <f t="shared" si="2"/>
        <v>5</v>
      </c>
      <c r="D868" s="12" t="str">
        <f>IFERROR(__xludf.DUMMYFUNCTION("IFERROR(IF(REGEXMATCH(LOWER(Raw_Data!C874),""fixed deposit|owealth|savings|target""),""Fixed Deposit"",IF(REGEXMATCH(LOWER(Raw_Data!C874),""airtime""),""Airtime"",IF(REGEXMATCH(LOWER(Raw_Data!C874),""electronic money transfer levy""),""Electronic Money Tr"&amp;"ansfer Levy"",IF(REGEXMATCH(LOWER(Raw_Data!C874),""transfer|trf|send""),""Transfer"",""Other"")))),""Other"")"),"Transfer")</f>
        <v>Transfer</v>
      </c>
      <c r="E868" s="20">
        <v>400.0</v>
      </c>
      <c r="F868" s="20">
        <v>0.0</v>
      </c>
      <c r="G868" s="12" t="str">
        <f t="shared" si="3"/>
        <v>Withdrawal</v>
      </c>
      <c r="H868" s="12" t="str">
        <f>TEXT(Raw_Data!A874,"hh:mm:ss")
</f>
        <v>09:05:38</v>
      </c>
      <c r="I868" s="20">
        <f t="shared" si="4"/>
        <v>400</v>
      </c>
    </row>
    <row r="869">
      <c r="A869" s="12" t="str">
        <f>Raw_Data!A875</f>
        <v>03 May 2025 09:58:08</v>
      </c>
      <c r="B869" s="12" t="str">
        <f t="shared" si="1"/>
        <v>May</v>
      </c>
      <c r="C869" s="12">
        <f t="shared" si="2"/>
        <v>5</v>
      </c>
      <c r="D869" s="12" t="str">
        <f>IFERROR(__xludf.DUMMYFUNCTION("IFERROR(IF(REGEXMATCH(LOWER(Raw_Data!C875),""fixed deposit|owealth|savings|target""),""Fixed Deposit"",IF(REGEXMATCH(LOWER(Raw_Data!C875),""airtime""),""Airtime"",IF(REGEXMATCH(LOWER(Raw_Data!C875),""electronic money transfer levy""),""Electronic Money Tr"&amp;"ansfer Levy"",IF(REGEXMATCH(LOWER(Raw_Data!C875),""transfer|trf|send""),""Transfer"",""Other"")))),""Other"")"),"Transfer")</f>
        <v>Transfer</v>
      </c>
      <c r="E869" s="20">
        <v>150.0</v>
      </c>
      <c r="F869" s="20">
        <v>0.0</v>
      </c>
      <c r="G869" s="12" t="str">
        <f t="shared" si="3"/>
        <v>Withdrawal</v>
      </c>
      <c r="H869" s="12" t="str">
        <f>TEXT(Raw_Data!A875,"hh:mm:ss")
</f>
        <v>09:58:08</v>
      </c>
      <c r="I869" s="20">
        <f t="shared" si="4"/>
        <v>150</v>
      </c>
    </row>
    <row r="870">
      <c r="A870" s="12" t="str">
        <f>Raw_Data!A876</f>
        <v>03 May 2025 10:35:25</v>
      </c>
      <c r="B870" s="12" t="str">
        <f t="shared" si="1"/>
        <v>May</v>
      </c>
      <c r="C870" s="12">
        <f t="shared" si="2"/>
        <v>5</v>
      </c>
      <c r="D870" s="12" t="str">
        <f>IFERROR(__xludf.DUMMYFUNCTION("IFERROR(IF(REGEXMATCH(LOWER(Raw_Data!C876),""fixed deposit|owealth|savings|target""),""Fixed Deposit"",IF(REGEXMATCH(LOWER(Raw_Data!C876),""airtime""),""Airtime"",IF(REGEXMATCH(LOWER(Raw_Data!C876),""electronic money transfer levy""),""Electronic Money Tr"&amp;"ansfer Levy"",IF(REGEXMATCH(LOWER(Raw_Data!C876),""transfer|trf|send""),""Transfer"",""Other"")))),""Other"")"),"Transfer")</f>
        <v>Transfer</v>
      </c>
      <c r="E870" s="20">
        <v>3100.0</v>
      </c>
      <c r="F870" s="20">
        <v>0.0</v>
      </c>
      <c r="G870" s="12" t="str">
        <f t="shared" si="3"/>
        <v>Withdrawal</v>
      </c>
      <c r="H870" s="12" t="str">
        <f>TEXT(Raw_Data!A876,"hh:mm:ss")
</f>
        <v>10:35:25</v>
      </c>
      <c r="I870" s="20">
        <f t="shared" si="4"/>
        <v>3100</v>
      </c>
    </row>
    <row r="871">
      <c r="A871" s="12" t="str">
        <f>Raw_Data!A877</f>
        <v>03 May 2025 10:35:30</v>
      </c>
      <c r="B871" s="12" t="str">
        <f t="shared" si="1"/>
        <v>May</v>
      </c>
      <c r="C871" s="12">
        <f t="shared" si="2"/>
        <v>5</v>
      </c>
      <c r="D871" s="12" t="str">
        <f>IFERROR(__xludf.DUMMYFUNCTION("IFERROR(IF(REGEXMATCH(LOWER(Raw_Data!C877),""fixed deposit|owealth|savings|target""),""Fixed Deposit"",IF(REGEXMATCH(LOWER(Raw_Data!C877),""airtime""),""Airtime"",IF(REGEXMATCH(LOWER(Raw_Data!C877),""electronic money transfer levy""),""Electronic Money Tr"&amp;"ansfer Levy"",IF(REGEXMATCH(LOWER(Raw_Data!C877),""transfer|trf|send""),""Transfer"",""Other"")))),""Other"")"),"Fixed Deposit")</f>
        <v>Fixed Deposit</v>
      </c>
      <c r="E871" s="20">
        <v>0.0</v>
      </c>
      <c r="F871" s="20">
        <v>3100.0</v>
      </c>
      <c r="G871" s="12" t="str">
        <f t="shared" si="3"/>
        <v>Deposit</v>
      </c>
      <c r="H871" s="12" t="str">
        <f>TEXT(Raw_Data!A877,"hh:mm:ss")
</f>
        <v>10:35:30</v>
      </c>
      <c r="I871" s="20">
        <f t="shared" si="4"/>
        <v>3100</v>
      </c>
    </row>
    <row r="872">
      <c r="A872" s="12" t="str">
        <f>Raw_Data!A878</f>
        <v>03 May 2025 11:34:20</v>
      </c>
      <c r="B872" s="12" t="str">
        <f t="shared" si="1"/>
        <v>May</v>
      </c>
      <c r="C872" s="12">
        <f t="shared" si="2"/>
        <v>5</v>
      </c>
      <c r="D872" s="12" t="str">
        <f>IFERROR(__xludf.DUMMYFUNCTION("IFERROR(IF(REGEXMATCH(LOWER(Raw_Data!C878),""fixed deposit|owealth|savings|target""),""Fixed Deposit"",IF(REGEXMATCH(LOWER(Raw_Data!C878),""airtime""),""Airtime"",IF(REGEXMATCH(LOWER(Raw_Data!C878),""electronic money transfer levy""),""Electronic Money Tr"&amp;"ansfer Levy"",IF(REGEXMATCH(LOWER(Raw_Data!C878),""transfer|trf|send""),""Transfer"",""Other"")))),""Other"")"),"Transfer")</f>
        <v>Transfer</v>
      </c>
      <c r="E872" s="20">
        <v>3000.0</v>
      </c>
      <c r="F872" s="20">
        <v>0.0</v>
      </c>
      <c r="G872" s="12" t="str">
        <f t="shared" si="3"/>
        <v>Withdrawal</v>
      </c>
      <c r="H872" s="12" t="str">
        <f>TEXT(Raw_Data!A878,"hh:mm:ss")
</f>
        <v>11:34:20</v>
      </c>
      <c r="I872" s="20">
        <f t="shared" si="4"/>
        <v>3000</v>
      </c>
    </row>
    <row r="873">
      <c r="A873" s="12" t="str">
        <f>Raw_Data!A879</f>
        <v>03 May 2025 16:06:26</v>
      </c>
      <c r="B873" s="12" t="str">
        <f t="shared" si="1"/>
        <v>May</v>
      </c>
      <c r="C873" s="12">
        <f t="shared" si="2"/>
        <v>5</v>
      </c>
      <c r="D873" s="12" t="str">
        <f>IFERROR(__xludf.DUMMYFUNCTION("IFERROR(IF(REGEXMATCH(LOWER(Raw_Data!C879),""fixed deposit|owealth|savings|target""),""Fixed Deposit"",IF(REGEXMATCH(LOWER(Raw_Data!C879),""airtime""),""Airtime"",IF(REGEXMATCH(LOWER(Raw_Data!C879),""electronic money transfer levy""),""Electronic Money Tr"&amp;"ansfer Levy"",IF(REGEXMATCH(LOWER(Raw_Data!C879),""transfer|trf|send""),""Transfer"",""Other"")))),""Other"")"),"Transfer")</f>
        <v>Transfer</v>
      </c>
      <c r="E873" s="20">
        <v>0.0</v>
      </c>
      <c r="F873" s="20">
        <v>5000.0</v>
      </c>
      <c r="G873" s="12" t="str">
        <f t="shared" si="3"/>
        <v>Deposit</v>
      </c>
      <c r="H873" s="12" t="str">
        <f>TEXT(Raw_Data!A879,"hh:mm:ss")
</f>
        <v>16:06:26</v>
      </c>
      <c r="I873" s="20">
        <f t="shared" si="4"/>
        <v>5000</v>
      </c>
    </row>
    <row r="874">
      <c r="A874" s="12" t="str">
        <f>Raw_Data!A880</f>
        <v>03 May 2025 18:40:54</v>
      </c>
      <c r="B874" s="12" t="str">
        <f t="shared" si="1"/>
        <v>May</v>
      </c>
      <c r="C874" s="12">
        <f t="shared" si="2"/>
        <v>5</v>
      </c>
      <c r="D874" s="12" t="str">
        <f>IFERROR(__xludf.DUMMYFUNCTION("IFERROR(IF(REGEXMATCH(LOWER(Raw_Data!C880),""fixed deposit|owealth|savings|target""),""Fixed Deposit"",IF(REGEXMATCH(LOWER(Raw_Data!C880),""airtime""),""Airtime"",IF(REGEXMATCH(LOWER(Raw_Data!C880),""electronic money transfer levy""),""Electronic Money Tr"&amp;"ansfer Levy"",IF(REGEXMATCH(LOWER(Raw_Data!C880),""transfer|trf|send""),""Transfer"",""Other"")))),""Other"")"),"Transfer")</f>
        <v>Transfer</v>
      </c>
      <c r="E874" s="20">
        <v>650.0</v>
      </c>
      <c r="F874" s="20">
        <v>0.0</v>
      </c>
      <c r="G874" s="12" t="str">
        <f t="shared" si="3"/>
        <v>Withdrawal</v>
      </c>
      <c r="H874" s="12" t="str">
        <f>TEXT(Raw_Data!A880,"hh:mm:ss")
</f>
        <v>18:40:54</v>
      </c>
      <c r="I874" s="20">
        <f t="shared" si="4"/>
        <v>650</v>
      </c>
    </row>
    <row r="875">
      <c r="A875" s="12" t="str">
        <f>Raw_Data!A881</f>
        <v>03 May 2025 19:49:20</v>
      </c>
      <c r="B875" s="12" t="str">
        <f t="shared" si="1"/>
        <v>May</v>
      </c>
      <c r="C875" s="12">
        <f t="shared" si="2"/>
        <v>5</v>
      </c>
      <c r="D875" s="12" t="str">
        <f>IFERROR(__xludf.DUMMYFUNCTION("IFERROR(IF(REGEXMATCH(LOWER(Raw_Data!C881),""fixed deposit|owealth|savings|target""),""Fixed Deposit"",IF(REGEXMATCH(LOWER(Raw_Data!C881),""airtime""),""Airtime"",IF(REGEXMATCH(LOWER(Raw_Data!C881),""electronic money transfer levy""),""Electronic Money Tr"&amp;"ansfer Levy"",IF(REGEXMATCH(LOWER(Raw_Data!C881),""transfer|trf|send""),""Transfer"",""Other"")))),""Other"")"),"Transfer")</f>
        <v>Transfer</v>
      </c>
      <c r="E875" s="20">
        <v>210.0</v>
      </c>
      <c r="F875" s="20">
        <v>0.0</v>
      </c>
      <c r="G875" s="12" t="str">
        <f t="shared" si="3"/>
        <v>Withdrawal</v>
      </c>
      <c r="H875" s="12" t="str">
        <f>TEXT(Raw_Data!A881,"hh:mm:ss")
</f>
        <v>19:49:20</v>
      </c>
      <c r="I875" s="20">
        <f t="shared" si="4"/>
        <v>210</v>
      </c>
    </row>
    <row r="876">
      <c r="A876" s="12" t="str">
        <f>Raw_Data!A882</f>
        <v>03 May 2025 20:22:28</v>
      </c>
      <c r="B876" s="12" t="str">
        <f t="shared" si="1"/>
        <v>May</v>
      </c>
      <c r="C876" s="12">
        <f t="shared" si="2"/>
        <v>5</v>
      </c>
      <c r="D876" s="12" t="str">
        <f>IFERROR(__xludf.DUMMYFUNCTION("IFERROR(IF(REGEXMATCH(LOWER(Raw_Data!C882),""fixed deposit|owealth|savings|target""),""Fixed Deposit"",IF(REGEXMATCH(LOWER(Raw_Data!C882),""airtime""),""Airtime"",IF(REGEXMATCH(LOWER(Raw_Data!C882),""electronic money transfer levy""),""Electronic Money Tr"&amp;"ansfer Levy"",IF(REGEXMATCH(LOWER(Raw_Data!C882),""transfer|trf|send""),""Transfer"",""Other"")))),""Other"")"),"Airtime")</f>
        <v>Airtime</v>
      </c>
      <c r="E876" s="20">
        <v>500.0</v>
      </c>
      <c r="F876" s="20">
        <v>0.0</v>
      </c>
      <c r="G876" s="12" t="str">
        <f t="shared" si="3"/>
        <v>Withdrawal</v>
      </c>
      <c r="H876" s="12" t="str">
        <f>TEXT(Raw_Data!A882,"hh:mm:ss")
</f>
        <v>20:22:28</v>
      </c>
      <c r="I876" s="20">
        <f t="shared" si="4"/>
        <v>500</v>
      </c>
    </row>
    <row r="877">
      <c r="A877" s="12" t="str">
        <f>Raw_Data!A883</f>
        <v>04 May 2025 05:12:44</v>
      </c>
      <c r="B877" s="12" t="str">
        <f t="shared" si="1"/>
        <v>May</v>
      </c>
      <c r="C877" s="12">
        <f t="shared" si="2"/>
        <v>5</v>
      </c>
      <c r="D877" s="12" t="str">
        <f>IFERROR(__xludf.DUMMYFUNCTION("IFERROR(IF(REGEXMATCH(LOWER(Raw_Data!C883),""fixed deposit|owealth|savings|target""),""Fixed Deposit"",IF(REGEXMATCH(LOWER(Raw_Data!C883),""airtime""),""Airtime"",IF(REGEXMATCH(LOWER(Raw_Data!C883),""electronic money transfer levy""),""Electronic Money Tr"&amp;"ansfer Levy"",IF(REGEXMATCH(LOWER(Raw_Data!C883),""transfer|trf|send""),""Transfer"",""Other"")))),""Other"")"),"Airtime")</f>
        <v>Airtime</v>
      </c>
      <c r="E877" s="20">
        <v>5000.0</v>
      </c>
      <c r="F877" s="20">
        <v>0.0</v>
      </c>
      <c r="G877" s="12" t="str">
        <f t="shared" si="3"/>
        <v>Withdrawal</v>
      </c>
      <c r="H877" s="12" t="str">
        <f>TEXT(Raw_Data!A883,"hh:mm:ss")
</f>
        <v>05:12:44</v>
      </c>
      <c r="I877" s="20">
        <f t="shared" si="4"/>
        <v>5000</v>
      </c>
    </row>
    <row r="878">
      <c r="A878" s="12" t="str">
        <f>Raw_Data!A884</f>
        <v>04 May 2025 05:12:49</v>
      </c>
      <c r="B878" s="12" t="str">
        <f t="shared" si="1"/>
        <v>May</v>
      </c>
      <c r="C878" s="12">
        <f t="shared" si="2"/>
        <v>5</v>
      </c>
      <c r="D878" s="12" t="str">
        <f>IFERROR(__xludf.DUMMYFUNCTION("IFERROR(IF(REGEXMATCH(LOWER(Raw_Data!C884),""fixed deposit|owealth|savings|target""),""Fixed Deposit"",IF(REGEXMATCH(LOWER(Raw_Data!C884),""airtime""),""Airtime"",IF(REGEXMATCH(LOWER(Raw_Data!C884),""electronic money transfer levy""),""Electronic Money Tr"&amp;"ansfer Levy"",IF(REGEXMATCH(LOWER(Raw_Data!C884),""transfer|trf|send""),""Transfer"",""Other"")))),""Other"")"),"Fixed Deposit")</f>
        <v>Fixed Deposit</v>
      </c>
      <c r="E878" s="20">
        <v>0.0</v>
      </c>
      <c r="F878" s="20">
        <v>5000.0</v>
      </c>
      <c r="G878" s="12" t="str">
        <f t="shared" si="3"/>
        <v>Deposit</v>
      </c>
      <c r="H878" s="12" t="str">
        <f>TEXT(Raw_Data!A884,"hh:mm:ss")
</f>
        <v>05:12:49</v>
      </c>
      <c r="I878" s="20">
        <f t="shared" si="4"/>
        <v>5000</v>
      </c>
    </row>
    <row r="879">
      <c r="A879" s="12" t="str">
        <f>Raw_Data!A885</f>
        <v>04 May 2025 08:22:40</v>
      </c>
      <c r="B879" s="12" t="str">
        <f t="shared" si="1"/>
        <v>May</v>
      </c>
      <c r="C879" s="12">
        <f t="shared" si="2"/>
        <v>5</v>
      </c>
      <c r="D879" s="12" t="str">
        <f>IFERROR(__xludf.DUMMYFUNCTION("IFERROR(IF(REGEXMATCH(LOWER(Raw_Data!C885),""fixed deposit|owealth|savings|target""),""Fixed Deposit"",IF(REGEXMATCH(LOWER(Raw_Data!C885),""airtime""),""Airtime"",IF(REGEXMATCH(LOWER(Raw_Data!C885),""electronic money transfer levy""),""Electronic Money Tr"&amp;"ansfer Levy"",IF(REGEXMATCH(LOWER(Raw_Data!C885),""transfer|trf|send""),""Transfer"",""Other"")))),""Other"")"),"Transfer")</f>
        <v>Transfer</v>
      </c>
      <c r="E879" s="20">
        <v>0.0</v>
      </c>
      <c r="F879" s="20">
        <v>170000.0</v>
      </c>
      <c r="G879" s="12" t="str">
        <f t="shared" si="3"/>
        <v>Deposit</v>
      </c>
      <c r="H879" s="12" t="str">
        <f>TEXT(Raw_Data!A885,"hh:mm:ss")
</f>
        <v>08:22:40</v>
      </c>
      <c r="I879" s="20">
        <f t="shared" si="4"/>
        <v>170000</v>
      </c>
    </row>
    <row r="880">
      <c r="A880" s="12" t="str">
        <f>Raw_Data!A886</f>
        <v>04 May 2025 08:22:45</v>
      </c>
      <c r="B880" s="12" t="str">
        <f t="shared" si="1"/>
        <v>May</v>
      </c>
      <c r="C880" s="12">
        <f t="shared" si="2"/>
        <v>5</v>
      </c>
      <c r="D880" s="12" t="str">
        <f>IFERROR(__xludf.DUMMYFUNCTION("IFERROR(IF(REGEXMATCH(LOWER(Raw_Data!C886),""fixed deposit|owealth|savings|target""),""Fixed Deposit"",IF(REGEXMATCH(LOWER(Raw_Data!C886),""airtime""),""Airtime"",IF(REGEXMATCH(LOWER(Raw_Data!C886),""electronic money transfer levy""),""Electronic Money Tr"&amp;"ansfer Levy"",IF(REGEXMATCH(LOWER(Raw_Data!C886),""transfer|trf|send""),""Transfer"",""Other"")))),""Other"")"),"Electronic Money Transfer Levy")</f>
        <v>Electronic Money Transfer Levy</v>
      </c>
      <c r="E880" s="20">
        <v>50.0</v>
      </c>
      <c r="F880" s="20">
        <v>0.0</v>
      </c>
      <c r="G880" s="12" t="str">
        <f t="shared" si="3"/>
        <v>Withdrawal</v>
      </c>
      <c r="H880" s="12" t="str">
        <f>TEXT(Raw_Data!A886,"hh:mm:ss")
</f>
        <v>08:22:45</v>
      </c>
      <c r="I880" s="20">
        <f t="shared" si="4"/>
        <v>50</v>
      </c>
    </row>
    <row r="881">
      <c r="A881" s="12" t="str">
        <f>Raw_Data!A887</f>
        <v>04 May 2025 08:53:09</v>
      </c>
      <c r="B881" s="12" t="str">
        <f t="shared" si="1"/>
        <v>May</v>
      </c>
      <c r="C881" s="12">
        <f t="shared" si="2"/>
        <v>5</v>
      </c>
      <c r="D881" s="12" t="str">
        <f>IFERROR(__xludf.DUMMYFUNCTION("IFERROR(IF(REGEXMATCH(LOWER(Raw_Data!C887),""fixed deposit|owealth|savings|target""),""Fixed Deposit"",IF(REGEXMATCH(LOWER(Raw_Data!C887),""airtime""),""Airtime"",IF(REGEXMATCH(LOWER(Raw_Data!C887),""electronic money transfer levy""),""Electronic Money Tr"&amp;"ansfer Levy"",IF(REGEXMATCH(LOWER(Raw_Data!C887),""transfer|trf|send""),""Transfer"",""Other"")))),""Other"")"),"Transfer")</f>
        <v>Transfer</v>
      </c>
      <c r="E881" s="20">
        <v>800.0</v>
      </c>
      <c r="F881" s="20">
        <v>0.0</v>
      </c>
      <c r="G881" s="12" t="str">
        <f t="shared" si="3"/>
        <v>Withdrawal</v>
      </c>
      <c r="H881" s="12" t="str">
        <f>TEXT(Raw_Data!A887,"hh:mm:ss")
</f>
        <v>08:53:09</v>
      </c>
      <c r="I881" s="20">
        <f t="shared" si="4"/>
        <v>800</v>
      </c>
    </row>
    <row r="882">
      <c r="A882" s="12" t="str">
        <f>Raw_Data!A888</f>
        <v>04 May 2025 09:18:49</v>
      </c>
      <c r="B882" s="12" t="str">
        <f t="shared" si="1"/>
        <v>May</v>
      </c>
      <c r="C882" s="12">
        <f t="shared" si="2"/>
        <v>5</v>
      </c>
      <c r="D882" s="12" t="str">
        <f>IFERROR(__xludf.DUMMYFUNCTION("IFERROR(IF(REGEXMATCH(LOWER(Raw_Data!C888),""fixed deposit|owealth|savings|target""),""Fixed Deposit"",IF(REGEXMATCH(LOWER(Raw_Data!C888),""airtime""),""Airtime"",IF(REGEXMATCH(LOWER(Raw_Data!C888),""electronic money transfer levy""),""Electronic Money Tr"&amp;"ansfer Levy"",IF(REGEXMATCH(LOWER(Raw_Data!C888),""transfer|trf|send""),""Transfer"",""Other"")))),""Other"")"),"Transfer")</f>
        <v>Transfer</v>
      </c>
      <c r="E882" s="20">
        <v>150.0</v>
      </c>
      <c r="F882" s="20">
        <v>0.0</v>
      </c>
      <c r="G882" s="12" t="str">
        <f t="shared" si="3"/>
        <v>Withdrawal</v>
      </c>
      <c r="H882" s="12" t="str">
        <f>TEXT(Raw_Data!A888,"hh:mm:ss")
</f>
        <v>09:18:49</v>
      </c>
      <c r="I882" s="20">
        <f t="shared" si="4"/>
        <v>150</v>
      </c>
    </row>
    <row r="883">
      <c r="A883" s="12" t="str">
        <f>Raw_Data!A889</f>
        <v>04 May 2025 12:45:24</v>
      </c>
      <c r="B883" s="12" t="str">
        <f t="shared" si="1"/>
        <v>May</v>
      </c>
      <c r="C883" s="12">
        <f t="shared" si="2"/>
        <v>5</v>
      </c>
      <c r="D883" s="12" t="str">
        <f>IFERROR(__xludf.DUMMYFUNCTION("IFERROR(IF(REGEXMATCH(LOWER(Raw_Data!C889),""fixed deposit|owealth|savings|target""),""Fixed Deposit"",IF(REGEXMATCH(LOWER(Raw_Data!C889),""airtime""),""Airtime"",IF(REGEXMATCH(LOWER(Raw_Data!C889),""electronic money transfer levy""),""Electronic Money Tr"&amp;"ansfer Levy"",IF(REGEXMATCH(LOWER(Raw_Data!C889),""transfer|trf|send""),""Transfer"",""Other"")))),""Other"")"),"Transfer")</f>
        <v>Transfer</v>
      </c>
      <c r="E883" s="20">
        <v>400.0</v>
      </c>
      <c r="F883" s="20">
        <v>0.0</v>
      </c>
      <c r="G883" s="12" t="str">
        <f t="shared" si="3"/>
        <v>Withdrawal</v>
      </c>
      <c r="H883" s="12" t="str">
        <f>TEXT(Raw_Data!A889,"hh:mm:ss")
</f>
        <v>12:45:24</v>
      </c>
      <c r="I883" s="20">
        <f t="shared" si="4"/>
        <v>400</v>
      </c>
    </row>
    <row r="884">
      <c r="A884" s="12" t="str">
        <f>Raw_Data!A890</f>
        <v>04 May 2025 15:16:56</v>
      </c>
      <c r="B884" s="12" t="str">
        <f t="shared" si="1"/>
        <v>May</v>
      </c>
      <c r="C884" s="12">
        <f t="shared" si="2"/>
        <v>5</v>
      </c>
      <c r="D884" s="12" t="str">
        <f>IFERROR(__xludf.DUMMYFUNCTION("IFERROR(IF(REGEXMATCH(LOWER(Raw_Data!C890),""fixed deposit|owealth|savings|target""),""Fixed Deposit"",IF(REGEXMATCH(LOWER(Raw_Data!C890),""airtime""),""Airtime"",IF(REGEXMATCH(LOWER(Raw_Data!C890),""electronic money transfer levy""),""Electronic Money Tr"&amp;"ansfer Levy"",IF(REGEXMATCH(LOWER(Raw_Data!C890),""transfer|trf|send""),""Transfer"",""Other"")))),""Other"")"),"Transfer")</f>
        <v>Transfer</v>
      </c>
      <c r="E884" s="20">
        <v>1000.0</v>
      </c>
      <c r="F884" s="20">
        <v>0.0</v>
      </c>
      <c r="G884" s="12" t="str">
        <f t="shared" si="3"/>
        <v>Withdrawal</v>
      </c>
      <c r="H884" s="12" t="str">
        <f>TEXT(Raw_Data!A890,"hh:mm:ss")
</f>
        <v>15:16:56</v>
      </c>
      <c r="I884" s="20">
        <f t="shared" si="4"/>
        <v>1000</v>
      </c>
    </row>
    <row r="885">
      <c r="A885" s="12" t="str">
        <f>Raw_Data!A891</f>
        <v>04 May 2025 18:08:20</v>
      </c>
      <c r="B885" s="12" t="str">
        <f t="shared" si="1"/>
        <v>May</v>
      </c>
      <c r="C885" s="12">
        <f t="shared" si="2"/>
        <v>5</v>
      </c>
      <c r="D885" s="12" t="str">
        <f>IFERROR(__xludf.DUMMYFUNCTION("IFERROR(IF(REGEXMATCH(LOWER(Raw_Data!C891),""fixed deposit|owealth|savings|target""),""Fixed Deposit"",IF(REGEXMATCH(LOWER(Raw_Data!C891),""airtime""),""Airtime"",IF(REGEXMATCH(LOWER(Raw_Data!C891),""electronic money transfer levy""),""Electronic Money Tr"&amp;"ansfer Levy"",IF(REGEXMATCH(LOWER(Raw_Data!C891),""transfer|trf|send""),""Transfer"",""Other"")))),""Other"")"),"Transfer")</f>
        <v>Transfer</v>
      </c>
      <c r="E885" s="20">
        <v>700.0</v>
      </c>
      <c r="F885" s="20">
        <v>0.0</v>
      </c>
      <c r="G885" s="12" t="str">
        <f t="shared" si="3"/>
        <v>Withdrawal</v>
      </c>
      <c r="H885" s="12" t="str">
        <f>TEXT(Raw_Data!A891,"hh:mm:ss")
</f>
        <v>18:08:20</v>
      </c>
      <c r="I885" s="20">
        <f t="shared" si="4"/>
        <v>700</v>
      </c>
    </row>
    <row r="886">
      <c r="A886" s="12" t="str">
        <f>Raw_Data!A892</f>
        <v>04 May 2025 18:44:04</v>
      </c>
      <c r="B886" s="12" t="str">
        <f t="shared" si="1"/>
        <v>May</v>
      </c>
      <c r="C886" s="12">
        <f t="shared" si="2"/>
        <v>5</v>
      </c>
      <c r="D886" s="12" t="str">
        <f>IFERROR(__xludf.DUMMYFUNCTION("IFERROR(IF(REGEXMATCH(LOWER(Raw_Data!C892),""fixed deposit|owealth|savings|target""),""Fixed Deposit"",IF(REGEXMATCH(LOWER(Raw_Data!C892),""airtime""),""Airtime"",IF(REGEXMATCH(LOWER(Raw_Data!C892),""electronic money transfer levy""),""Electronic Money Tr"&amp;"ansfer Levy"",IF(REGEXMATCH(LOWER(Raw_Data!C892),""transfer|trf|send""),""Transfer"",""Other"")))),""Other"")"),"Transfer")</f>
        <v>Transfer</v>
      </c>
      <c r="E886" s="20">
        <v>500.0</v>
      </c>
      <c r="F886" s="20">
        <v>0.0</v>
      </c>
      <c r="G886" s="12" t="str">
        <f t="shared" si="3"/>
        <v>Withdrawal</v>
      </c>
      <c r="H886" s="12" t="str">
        <f>TEXT(Raw_Data!A892,"hh:mm:ss")
</f>
        <v>18:44:04</v>
      </c>
      <c r="I886" s="20">
        <f t="shared" si="4"/>
        <v>500</v>
      </c>
    </row>
    <row r="887">
      <c r="A887" s="12" t="str">
        <f>Raw_Data!A893</f>
        <v>04 May 2025 18:56:58</v>
      </c>
      <c r="B887" s="12" t="str">
        <f t="shared" si="1"/>
        <v>May</v>
      </c>
      <c r="C887" s="12">
        <f t="shared" si="2"/>
        <v>5</v>
      </c>
      <c r="D887" s="12" t="str">
        <f>IFERROR(__xludf.DUMMYFUNCTION("IFERROR(IF(REGEXMATCH(LOWER(Raw_Data!C893),""fixed deposit|owealth|savings|target""),""Fixed Deposit"",IF(REGEXMATCH(LOWER(Raw_Data!C893),""airtime""),""Airtime"",IF(REGEXMATCH(LOWER(Raw_Data!C893),""electronic money transfer levy""),""Electronic Money Tr"&amp;"ansfer Levy"",IF(REGEXMATCH(LOWER(Raw_Data!C893),""transfer|trf|send""),""Transfer"",""Other"")))),""Other"")"),"Transfer")</f>
        <v>Transfer</v>
      </c>
      <c r="E887" s="20">
        <v>160.0</v>
      </c>
      <c r="F887" s="20">
        <v>0.0</v>
      </c>
      <c r="G887" s="12" t="str">
        <f t="shared" si="3"/>
        <v>Withdrawal</v>
      </c>
      <c r="H887" s="12" t="str">
        <f>TEXT(Raw_Data!A893,"hh:mm:ss")
</f>
        <v>18:56:58</v>
      </c>
      <c r="I887" s="20">
        <f t="shared" si="4"/>
        <v>160</v>
      </c>
    </row>
    <row r="888">
      <c r="A888" s="12" t="str">
        <f>Raw_Data!A894</f>
        <v>05 May 2025 07:10:28</v>
      </c>
      <c r="B888" s="12" t="str">
        <f t="shared" si="1"/>
        <v>May</v>
      </c>
      <c r="C888" s="12">
        <f t="shared" si="2"/>
        <v>5</v>
      </c>
      <c r="D888" s="12" t="str">
        <f>IFERROR(__xludf.DUMMYFUNCTION("IFERROR(IF(REGEXMATCH(LOWER(Raw_Data!C894),""fixed deposit|owealth|savings|target""),""Fixed Deposit"",IF(REGEXMATCH(LOWER(Raw_Data!C894),""airtime""),""Airtime"",IF(REGEXMATCH(LOWER(Raw_Data!C894),""electronic money transfer levy""),""Electronic Money Tr"&amp;"ansfer Levy"",IF(REGEXMATCH(LOWER(Raw_Data!C894),""transfer|trf|send""),""Transfer"",""Other"")))),""Other"")"),"Transfer")</f>
        <v>Transfer</v>
      </c>
      <c r="E888" s="20">
        <v>3100.0</v>
      </c>
      <c r="F888" s="20">
        <v>0.0</v>
      </c>
      <c r="G888" s="12" t="str">
        <f t="shared" si="3"/>
        <v>Withdrawal</v>
      </c>
      <c r="H888" s="12" t="str">
        <f>TEXT(Raw_Data!A894,"hh:mm:ss")
</f>
        <v>07:10:28</v>
      </c>
      <c r="I888" s="20">
        <f t="shared" si="4"/>
        <v>3100</v>
      </c>
    </row>
    <row r="889">
      <c r="A889" s="12" t="str">
        <f>Raw_Data!A895</f>
        <v>05 May 2025 07:10:34</v>
      </c>
      <c r="B889" s="12" t="str">
        <f t="shared" si="1"/>
        <v>May</v>
      </c>
      <c r="C889" s="12">
        <f t="shared" si="2"/>
        <v>5</v>
      </c>
      <c r="D889" s="12" t="str">
        <f>IFERROR(__xludf.DUMMYFUNCTION("IFERROR(IF(REGEXMATCH(LOWER(Raw_Data!C895),""fixed deposit|owealth|savings|target""),""Fixed Deposit"",IF(REGEXMATCH(LOWER(Raw_Data!C895),""airtime""),""Airtime"",IF(REGEXMATCH(LOWER(Raw_Data!C895),""electronic money transfer levy""),""Electronic Money Tr"&amp;"ansfer Levy"",IF(REGEXMATCH(LOWER(Raw_Data!C895),""transfer|trf|send""),""Transfer"",""Other"")))),""Other"")"),"Fixed Deposit")</f>
        <v>Fixed Deposit</v>
      </c>
      <c r="E889" s="20">
        <v>0.0</v>
      </c>
      <c r="F889" s="20">
        <v>3100.0</v>
      </c>
      <c r="G889" s="12" t="str">
        <f t="shared" si="3"/>
        <v>Deposit</v>
      </c>
      <c r="H889" s="12" t="str">
        <f>TEXT(Raw_Data!A895,"hh:mm:ss")
</f>
        <v>07:10:34</v>
      </c>
      <c r="I889" s="20">
        <f t="shared" si="4"/>
        <v>3100</v>
      </c>
    </row>
    <row r="890">
      <c r="A890" s="12" t="str">
        <f>Raw_Data!A896</f>
        <v>05 May 2025 10:06:53</v>
      </c>
      <c r="B890" s="12" t="str">
        <f t="shared" si="1"/>
        <v>May</v>
      </c>
      <c r="C890" s="12">
        <f t="shared" si="2"/>
        <v>5</v>
      </c>
      <c r="D890" s="12" t="str">
        <f>IFERROR(__xludf.DUMMYFUNCTION("IFERROR(IF(REGEXMATCH(LOWER(Raw_Data!C896),""fixed deposit|owealth|savings|target""),""Fixed Deposit"",IF(REGEXMATCH(LOWER(Raw_Data!C896),""airtime""),""Airtime"",IF(REGEXMATCH(LOWER(Raw_Data!C896),""electronic money transfer levy""),""Electronic Money Tr"&amp;"ansfer Levy"",IF(REGEXMATCH(LOWER(Raw_Data!C896),""transfer|trf|send""),""Transfer"",""Other"")))),""Other"")"),"Transfer")</f>
        <v>Transfer</v>
      </c>
      <c r="E890" s="20">
        <v>10000.0</v>
      </c>
      <c r="F890" s="20">
        <v>0.0</v>
      </c>
      <c r="G890" s="12" t="str">
        <f t="shared" si="3"/>
        <v>Withdrawal</v>
      </c>
      <c r="H890" s="12" t="str">
        <f>TEXT(Raw_Data!A896,"hh:mm:ss")
</f>
        <v>10:06:53</v>
      </c>
      <c r="I890" s="20">
        <f t="shared" si="4"/>
        <v>10000</v>
      </c>
    </row>
    <row r="891">
      <c r="A891" s="12" t="str">
        <f>Raw_Data!A897</f>
        <v>05 May 2025 10:07:00</v>
      </c>
      <c r="B891" s="12" t="str">
        <f t="shared" si="1"/>
        <v>May</v>
      </c>
      <c r="C891" s="12">
        <f t="shared" si="2"/>
        <v>5</v>
      </c>
      <c r="D891" s="12" t="str">
        <f>IFERROR(__xludf.DUMMYFUNCTION("IFERROR(IF(REGEXMATCH(LOWER(Raw_Data!C897),""fixed deposit|owealth|savings|target""),""Fixed Deposit"",IF(REGEXMATCH(LOWER(Raw_Data!C897),""airtime""),""Airtime"",IF(REGEXMATCH(LOWER(Raw_Data!C897),""electronic money transfer levy""),""Electronic Money Tr"&amp;"ansfer Levy"",IF(REGEXMATCH(LOWER(Raw_Data!C897),""transfer|trf|send""),""Transfer"",""Other"")))),""Other"")"),"Fixed Deposit")</f>
        <v>Fixed Deposit</v>
      </c>
      <c r="E891" s="20">
        <v>0.0</v>
      </c>
      <c r="F891" s="20">
        <v>10000.0</v>
      </c>
      <c r="G891" s="12" t="str">
        <f t="shared" si="3"/>
        <v>Deposit</v>
      </c>
      <c r="H891" s="12" t="str">
        <f>TEXT(Raw_Data!A897,"hh:mm:ss")
</f>
        <v>10:07:00</v>
      </c>
      <c r="I891" s="20">
        <f t="shared" si="4"/>
        <v>10000</v>
      </c>
    </row>
    <row r="892">
      <c r="A892" s="12" t="str">
        <f>Raw_Data!A898</f>
        <v>05 May 2025 14:11:27</v>
      </c>
      <c r="B892" s="12" t="str">
        <f t="shared" si="1"/>
        <v>May</v>
      </c>
      <c r="C892" s="12">
        <f t="shared" si="2"/>
        <v>5</v>
      </c>
      <c r="D892" s="12" t="str">
        <f>IFERROR(__xludf.DUMMYFUNCTION("IFERROR(IF(REGEXMATCH(LOWER(Raw_Data!C898),""fixed deposit|owealth|savings|target""),""Fixed Deposit"",IF(REGEXMATCH(LOWER(Raw_Data!C898),""airtime""),""Airtime"",IF(REGEXMATCH(LOWER(Raw_Data!C898),""electronic money transfer levy""),""Electronic Money Tr"&amp;"ansfer Levy"",IF(REGEXMATCH(LOWER(Raw_Data!C898),""transfer|trf|send""),""Transfer"",""Other"")))),""Other"")"),"Transfer")</f>
        <v>Transfer</v>
      </c>
      <c r="E892" s="20">
        <v>0.0</v>
      </c>
      <c r="F892" s="20">
        <v>10000.0</v>
      </c>
      <c r="G892" s="12" t="str">
        <f t="shared" si="3"/>
        <v>Deposit</v>
      </c>
      <c r="H892" s="12" t="str">
        <f>TEXT(Raw_Data!A898,"hh:mm:ss")
</f>
        <v>14:11:27</v>
      </c>
      <c r="I892" s="20">
        <f t="shared" si="4"/>
        <v>10000</v>
      </c>
    </row>
    <row r="893">
      <c r="A893" s="12" t="str">
        <f>Raw_Data!A899</f>
        <v>05 May 2025 14:11:32</v>
      </c>
      <c r="B893" s="12" t="str">
        <f t="shared" si="1"/>
        <v>May</v>
      </c>
      <c r="C893" s="12">
        <f t="shared" si="2"/>
        <v>5</v>
      </c>
      <c r="D893" s="12" t="str">
        <f>IFERROR(__xludf.DUMMYFUNCTION("IFERROR(IF(REGEXMATCH(LOWER(Raw_Data!C899),""fixed deposit|owealth|savings|target""),""Fixed Deposit"",IF(REGEXMATCH(LOWER(Raw_Data!C899),""airtime""),""Airtime"",IF(REGEXMATCH(LOWER(Raw_Data!C899),""electronic money transfer levy""),""Electronic Money Tr"&amp;"ansfer Levy"",IF(REGEXMATCH(LOWER(Raw_Data!C899),""transfer|trf|send""),""Transfer"",""Other"")))),""Other"")"),"Electronic Money Transfer Levy")</f>
        <v>Electronic Money Transfer Levy</v>
      </c>
      <c r="E893" s="20">
        <v>50.0</v>
      </c>
      <c r="F893" s="20">
        <v>0.0</v>
      </c>
      <c r="G893" s="12" t="str">
        <f t="shared" si="3"/>
        <v>Withdrawal</v>
      </c>
      <c r="H893" s="12" t="str">
        <f>TEXT(Raw_Data!A899,"hh:mm:ss")
</f>
        <v>14:11:32</v>
      </c>
      <c r="I893" s="20">
        <f t="shared" si="4"/>
        <v>50</v>
      </c>
    </row>
    <row r="894">
      <c r="A894" s="12" t="str">
        <f>Raw_Data!A900</f>
        <v>05 May 2025 17:32:33</v>
      </c>
      <c r="B894" s="12" t="str">
        <f t="shared" si="1"/>
        <v>May</v>
      </c>
      <c r="C894" s="12">
        <f t="shared" si="2"/>
        <v>5</v>
      </c>
      <c r="D894" s="12" t="str">
        <f>IFERROR(__xludf.DUMMYFUNCTION("IFERROR(IF(REGEXMATCH(LOWER(Raw_Data!C900),""fixed deposit|owealth|savings|target""),""Fixed Deposit"",IF(REGEXMATCH(LOWER(Raw_Data!C900),""airtime""),""Airtime"",IF(REGEXMATCH(LOWER(Raw_Data!C900),""electronic money transfer levy""),""Electronic Money Tr"&amp;"ansfer Levy"",IF(REGEXMATCH(LOWER(Raw_Data!C900),""transfer|trf|send""),""Transfer"",""Other"")))),""Other"")"),"Transfer")</f>
        <v>Transfer</v>
      </c>
      <c r="E894" s="20">
        <v>0.0</v>
      </c>
      <c r="F894" s="20">
        <v>2000.0</v>
      </c>
      <c r="G894" s="12" t="str">
        <f t="shared" si="3"/>
        <v>Deposit</v>
      </c>
      <c r="H894" s="12" t="str">
        <f>TEXT(Raw_Data!A900,"hh:mm:ss")
</f>
        <v>17:32:33</v>
      </c>
      <c r="I894" s="20">
        <f t="shared" si="4"/>
        <v>2000</v>
      </c>
    </row>
    <row r="895">
      <c r="A895" s="12" t="str">
        <f>Raw_Data!A901</f>
        <v>05 May 2025 17:37:29</v>
      </c>
      <c r="B895" s="12" t="str">
        <f t="shared" si="1"/>
        <v>May</v>
      </c>
      <c r="C895" s="12">
        <f t="shared" si="2"/>
        <v>5</v>
      </c>
      <c r="D895" s="12" t="str">
        <f>IFERROR(__xludf.DUMMYFUNCTION("IFERROR(IF(REGEXMATCH(LOWER(Raw_Data!C901),""fixed deposit|owealth|savings|target""),""Fixed Deposit"",IF(REGEXMATCH(LOWER(Raw_Data!C901),""airtime""),""Airtime"",IF(REGEXMATCH(LOWER(Raw_Data!C901),""electronic money transfer levy""),""Electronic Money Tr"&amp;"ansfer Levy"",IF(REGEXMATCH(LOWER(Raw_Data!C901),""transfer|trf|send""),""Transfer"",""Other"")))),""Other"")"),"Transfer")</f>
        <v>Transfer</v>
      </c>
      <c r="E895" s="20">
        <v>2000.0</v>
      </c>
      <c r="F895" s="20">
        <v>0.0</v>
      </c>
      <c r="G895" s="12" t="str">
        <f t="shared" si="3"/>
        <v>Withdrawal</v>
      </c>
      <c r="H895" s="12" t="str">
        <f>TEXT(Raw_Data!A901,"hh:mm:ss")
</f>
        <v>17:37:29</v>
      </c>
      <c r="I895" s="20">
        <f t="shared" si="4"/>
        <v>2000</v>
      </c>
    </row>
    <row r="896">
      <c r="A896" s="12" t="str">
        <f>Raw_Data!A902</f>
        <v>06 May 2025 07:22:25</v>
      </c>
      <c r="B896" s="12" t="str">
        <f t="shared" si="1"/>
        <v>May</v>
      </c>
      <c r="C896" s="12">
        <f t="shared" si="2"/>
        <v>5</v>
      </c>
      <c r="D896" s="12" t="str">
        <f>IFERROR(__xludf.DUMMYFUNCTION("IFERROR(IF(REGEXMATCH(LOWER(Raw_Data!C902),""fixed deposit|owealth|savings|target""),""Fixed Deposit"",IF(REGEXMATCH(LOWER(Raw_Data!C902),""airtime""),""Airtime"",IF(REGEXMATCH(LOWER(Raw_Data!C902),""electronic money transfer levy""),""Electronic Money Tr"&amp;"ansfer Levy"",IF(REGEXMATCH(LOWER(Raw_Data!C902),""transfer|trf|send""),""Transfer"",""Other"")))),""Other"")"),"Transfer")</f>
        <v>Transfer</v>
      </c>
      <c r="E896" s="20">
        <v>400.0</v>
      </c>
      <c r="F896" s="20">
        <v>0.0</v>
      </c>
      <c r="G896" s="12" t="str">
        <f t="shared" si="3"/>
        <v>Withdrawal</v>
      </c>
      <c r="H896" s="12" t="str">
        <f>TEXT(Raw_Data!A902,"hh:mm:ss")
</f>
        <v>07:22:25</v>
      </c>
      <c r="I896" s="20">
        <f t="shared" si="4"/>
        <v>400</v>
      </c>
    </row>
    <row r="897">
      <c r="A897" s="12" t="str">
        <f>Raw_Data!A903</f>
        <v>06 May 2025 07:38:23</v>
      </c>
      <c r="B897" s="12" t="str">
        <f t="shared" si="1"/>
        <v>May</v>
      </c>
      <c r="C897" s="12">
        <f t="shared" si="2"/>
        <v>5</v>
      </c>
      <c r="D897" s="12" t="str">
        <f>IFERROR(__xludf.DUMMYFUNCTION("IFERROR(IF(REGEXMATCH(LOWER(Raw_Data!C903),""fixed deposit|owealth|savings|target""),""Fixed Deposit"",IF(REGEXMATCH(LOWER(Raw_Data!C903),""airtime""),""Airtime"",IF(REGEXMATCH(LOWER(Raw_Data!C903),""electronic money transfer levy""),""Electronic Money Tr"&amp;"ansfer Levy"",IF(REGEXMATCH(LOWER(Raw_Data!C903),""transfer|trf|send""),""Transfer"",""Other"")))),""Other"")"),"Transfer")</f>
        <v>Transfer</v>
      </c>
      <c r="E897" s="20">
        <v>3100.0</v>
      </c>
      <c r="F897" s="20">
        <v>0.0</v>
      </c>
      <c r="G897" s="12" t="str">
        <f t="shared" si="3"/>
        <v>Withdrawal</v>
      </c>
      <c r="H897" s="12" t="str">
        <f>TEXT(Raw_Data!A903,"hh:mm:ss")
</f>
        <v>07:38:23</v>
      </c>
      <c r="I897" s="20">
        <f t="shared" si="4"/>
        <v>3100</v>
      </c>
    </row>
    <row r="898">
      <c r="A898" s="12" t="str">
        <f>Raw_Data!A904</f>
        <v>06 May 2025 08:44:27</v>
      </c>
      <c r="B898" s="12" t="str">
        <f t="shared" si="1"/>
        <v>May</v>
      </c>
      <c r="C898" s="12">
        <f t="shared" si="2"/>
        <v>5</v>
      </c>
      <c r="D898" s="12" t="str">
        <f>IFERROR(__xludf.DUMMYFUNCTION("IFERROR(IF(REGEXMATCH(LOWER(Raw_Data!C904),""fixed deposit|owealth|savings|target""),""Fixed Deposit"",IF(REGEXMATCH(LOWER(Raw_Data!C904),""airtime""),""Airtime"",IF(REGEXMATCH(LOWER(Raw_Data!C904),""electronic money transfer levy""),""Electronic Money Tr"&amp;"ansfer Levy"",IF(REGEXMATCH(LOWER(Raw_Data!C904),""transfer|trf|send""),""Transfer"",""Other"")))),""Other"")"),"Transfer")</f>
        <v>Transfer</v>
      </c>
      <c r="E898" s="20">
        <v>2100.0</v>
      </c>
      <c r="F898" s="20">
        <v>0.0</v>
      </c>
      <c r="G898" s="12" t="str">
        <f t="shared" si="3"/>
        <v>Withdrawal</v>
      </c>
      <c r="H898" s="12" t="str">
        <f>TEXT(Raw_Data!A904,"hh:mm:ss")
</f>
        <v>08:44:27</v>
      </c>
      <c r="I898" s="20">
        <f t="shared" si="4"/>
        <v>2100</v>
      </c>
    </row>
    <row r="899">
      <c r="A899" s="12" t="str">
        <f>Raw_Data!A905</f>
        <v>06 May 2025 17:23:12</v>
      </c>
      <c r="B899" s="12" t="str">
        <f t="shared" si="1"/>
        <v>May</v>
      </c>
      <c r="C899" s="12">
        <f t="shared" si="2"/>
        <v>5</v>
      </c>
      <c r="D899" s="12" t="str">
        <f>IFERROR(__xludf.DUMMYFUNCTION("IFERROR(IF(REGEXMATCH(LOWER(Raw_Data!C905),""fixed deposit|owealth|savings|target""),""Fixed Deposit"",IF(REGEXMATCH(LOWER(Raw_Data!C905),""airtime""),""Airtime"",IF(REGEXMATCH(LOWER(Raw_Data!C905),""electronic money transfer levy""),""Electronic Money Tr"&amp;"ansfer Levy"",IF(REGEXMATCH(LOWER(Raw_Data!C905),""transfer|trf|send""),""Transfer"",""Other"")))),""Other"")"),"Transfer")</f>
        <v>Transfer</v>
      </c>
      <c r="E899" s="20">
        <v>2110.0</v>
      </c>
      <c r="F899" s="20">
        <v>0.0</v>
      </c>
      <c r="G899" s="12" t="str">
        <f t="shared" si="3"/>
        <v>Withdrawal</v>
      </c>
      <c r="H899" s="12" t="str">
        <f>TEXT(Raw_Data!A905,"hh:mm:ss")
</f>
        <v>17:23:12</v>
      </c>
      <c r="I899" s="20">
        <f t="shared" si="4"/>
        <v>2110</v>
      </c>
    </row>
    <row r="900">
      <c r="A900" s="12" t="str">
        <f>Raw_Data!A906</f>
        <v>07 May 2025 05:24:02</v>
      </c>
      <c r="B900" s="12" t="str">
        <f t="shared" si="1"/>
        <v>May</v>
      </c>
      <c r="C900" s="12">
        <f t="shared" si="2"/>
        <v>5</v>
      </c>
      <c r="D900" s="12" t="str">
        <f>IFERROR(__xludf.DUMMYFUNCTION("IFERROR(IF(REGEXMATCH(LOWER(Raw_Data!C906),""fixed deposit|owealth|savings|target""),""Fixed Deposit"",IF(REGEXMATCH(LOWER(Raw_Data!C906),""airtime""),""Airtime"",IF(REGEXMATCH(LOWER(Raw_Data!C906),""electronic money transfer levy""),""Electronic Money Tr"&amp;"ansfer Levy"",IF(REGEXMATCH(LOWER(Raw_Data!C906),""transfer|trf|send""),""Transfer"",""Other"")))),""Other"")"),"Airtime")</f>
        <v>Airtime</v>
      </c>
      <c r="E900" s="20">
        <v>500.0</v>
      </c>
      <c r="F900" s="20">
        <v>0.0</v>
      </c>
      <c r="G900" s="12" t="str">
        <f t="shared" si="3"/>
        <v>Withdrawal</v>
      </c>
      <c r="H900" s="12" t="str">
        <f>TEXT(Raw_Data!A906,"hh:mm:ss")
</f>
        <v>05:24:02</v>
      </c>
      <c r="I900" s="20">
        <f t="shared" si="4"/>
        <v>500</v>
      </c>
    </row>
    <row r="901">
      <c r="A901" s="12" t="str">
        <f>Raw_Data!A907</f>
        <v>07 May 2025 05:54:53</v>
      </c>
      <c r="B901" s="12" t="str">
        <f t="shared" si="1"/>
        <v>May</v>
      </c>
      <c r="C901" s="12">
        <f t="shared" si="2"/>
        <v>5</v>
      </c>
      <c r="D901" s="12" t="str">
        <f>IFERROR(__xludf.DUMMYFUNCTION("IFERROR(IF(REGEXMATCH(LOWER(Raw_Data!C907),""fixed deposit|owealth|savings|target""),""Fixed Deposit"",IF(REGEXMATCH(LOWER(Raw_Data!C907),""airtime""),""Airtime"",IF(REGEXMATCH(LOWER(Raw_Data!C907),""electronic money transfer levy""),""Electronic Money Tr"&amp;"ansfer Levy"",IF(REGEXMATCH(LOWER(Raw_Data!C907),""transfer|trf|send""),""Transfer"",""Other"")))),""Other"")"),"Transfer")</f>
        <v>Transfer</v>
      </c>
      <c r="E901" s="20">
        <v>200.0</v>
      </c>
      <c r="F901" s="20">
        <v>0.0</v>
      </c>
      <c r="G901" s="12" t="str">
        <f t="shared" si="3"/>
        <v>Withdrawal</v>
      </c>
      <c r="H901" s="12" t="str">
        <f>TEXT(Raw_Data!A907,"hh:mm:ss")
</f>
        <v>05:54:53</v>
      </c>
      <c r="I901" s="20">
        <f t="shared" si="4"/>
        <v>200</v>
      </c>
    </row>
    <row r="902">
      <c r="A902" s="12" t="str">
        <f>Raw_Data!A908</f>
        <v>07 May 2025 07:17:35</v>
      </c>
      <c r="B902" s="12" t="str">
        <f t="shared" si="1"/>
        <v>May</v>
      </c>
      <c r="C902" s="12">
        <f t="shared" si="2"/>
        <v>5</v>
      </c>
      <c r="D902" s="12" t="str">
        <f>IFERROR(__xludf.DUMMYFUNCTION("IFERROR(IF(REGEXMATCH(LOWER(Raw_Data!C908),""fixed deposit|owealth|savings|target""),""Fixed Deposit"",IF(REGEXMATCH(LOWER(Raw_Data!C908),""airtime""),""Airtime"",IF(REGEXMATCH(LOWER(Raw_Data!C908),""electronic money transfer levy""),""Electronic Money Tr"&amp;"ansfer Levy"",IF(REGEXMATCH(LOWER(Raw_Data!C908),""transfer|trf|send""),""Transfer"",""Other"")))),""Other"")"),"Transfer")</f>
        <v>Transfer</v>
      </c>
      <c r="E902" s="20">
        <v>650.0</v>
      </c>
      <c r="F902" s="20">
        <v>0.0</v>
      </c>
      <c r="G902" s="12" t="str">
        <f t="shared" si="3"/>
        <v>Withdrawal</v>
      </c>
      <c r="H902" s="12" t="str">
        <f>TEXT(Raw_Data!A908,"hh:mm:ss")
</f>
        <v>07:17:35</v>
      </c>
      <c r="I902" s="20">
        <f t="shared" si="4"/>
        <v>650</v>
      </c>
    </row>
    <row r="903">
      <c r="A903" s="12" t="str">
        <f>Raw_Data!A909</f>
        <v>07 May 2025 09:30:40</v>
      </c>
      <c r="B903" s="12" t="str">
        <f t="shared" si="1"/>
        <v>May</v>
      </c>
      <c r="C903" s="12">
        <f t="shared" si="2"/>
        <v>5</v>
      </c>
      <c r="D903" s="12" t="str">
        <f>IFERROR(__xludf.DUMMYFUNCTION("IFERROR(IF(REGEXMATCH(LOWER(Raw_Data!C909),""fixed deposit|owealth|savings|target""),""Fixed Deposit"",IF(REGEXMATCH(LOWER(Raw_Data!C909),""airtime""),""Airtime"",IF(REGEXMATCH(LOWER(Raw_Data!C909),""electronic money transfer levy""),""Electronic Money Tr"&amp;"ansfer Levy"",IF(REGEXMATCH(LOWER(Raw_Data!C909),""transfer|trf|send""),""Transfer"",""Other"")))),""Other"")"),"Transfer")</f>
        <v>Transfer</v>
      </c>
      <c r="E903" s="20">
        <v>0.0</v>
      </c>
      <c r="F903" s="20">
        <v>1000.0</v>
      </c>
      <c r="G903" s="12" t="str">
        <f t="shared" si="3"/>
        <v>Deposit</v>
      </c>
      <c r="H903" s="12" t="str">
        <f>TEXT(Raw_Data!A909,"hh:mm:ss")
</f>
        <v>09:30:40</v>
      </c>
      <c r="I903" s="20">
        <f t="shared" si="4"/>
        <v>1000</v>
      </c>
    </row>
    <row r="904">
      <c r="A904" s="12" t="str">
        <f>Raw_Data!A910</f>
        <v>07 May 2025 11:40:48</v>
      </c>
      <c r="B904" s="12" t="str">
        <f t="shared" si="1"/>
        <v>May</v>
      </c>
      <c r="C904" s="12">
        <f t="shared" si="2"/>
        <v>5</v>
      </c>
      <c r="D904" s="12" t="str">
        <f>IFERROR(__xludf.DUMMYFUNCTION("IFERROR(IF(REGEXMATCH(LOWER(Raw_Data!C910),""fixed deposit|owealth|savings|target""),""Fixed Deposit"",IF(REGEXMATCH(LOWER(Raw_Data!C910),""airtime""),""Airtime"",IF(REGEXMATCH(LOWER(Raw_Data!C910),""electronic money transfer levy""),""Electronic Money Tr"&amp;"ansfer Levy"",IF(REGEXMATCH(LOWER(Raw_Data!C910),""transfer|trf|send""),""Transfer"",""Other"")))),""Other"")"),"Transfer")</f>
        <v>Transfer</v>
      </c>
      <c r="E904" s="20">
        <v>160000.0</v>
      </c>
      <c r="F904" s="20">
        <v>0.0</v>
      </c>
      <c r="G904" s="12" t="str">
        <f t="shared" si="3"/>
        <v>Withdrawal</v>
      </c>
      <c r="H904" s="12" t="str">
        <f>TEXT(Raw_Data!A910,"hh:mm:ss")
</f>
        <v>11:40:48</v>
      </c>
      <c r="I904" s="20">
        <f t="shared" si="4"/>
        <v>160000</v>
      </c>
    </row>
    <row r="905">
      <c r="A905" s="12" t="str">
        <f>Raw_Data!A911</f>
        <v>07 May 2025 12:14:45</v>
      </c>
      <c r="B905" s="12" t="str">
        <f t="shared" si="1"/>
        <v>May</v>
      </c>
      <c r="C905" s="12">
        <f t="shared" si="2"/>
        <v>5</v>
      </c>
      <c r="D905" s="12" t="str">
        <f>IFERROR(__xludf.DUMMYFUNCTION("IFERROR(IF(REGEXMATCH(LOWER(Raw_Data!C911),""fixed deposit|owealth|savings|target""),""Fixed Deposit"",IF(REGEXMATCH(LOWER(Raw_Data!C911),""airtime""),""Airtime"",IF(REGEXMATCH(LOWER(Raw_Data!C911),""electronic money transfer levy""),""Electronic Money Tr"&amp;"ansfer Levy"",IF(REGEXMATCH(LOWER(Raw_Data!C911),""transfer|trf|send""),""Transfer"",""Other"")))),""Other"")"),"Transfer")</f>
        <v>Transfer</v>
      </c>
      <c r="E905" s="20">
        <v>4100.0</v>
      </c>
      <c r="F905" s="20">
        <v>0.0</v>
      </c>
      <c r="G905" s="12" t="str">
        <f t="shared" si="3"/>
        <v>Withdrawal</v>
      </c>
      <c r="H905" s="12" t="str">
        <f>TEXT(Raw_Data!A911,"hh:mm:ss")
</f>
        <v>12:14:45</v>
      </c>
      <c r="I905" s="20">
        <f t="shared" si="4"/>
        <v>4100</v>
      </c>
    </row>
    <row r="906">
      <c r="A906" s="12" t="str">
        <f>Raw_Data!A912</f>
        <v>07 May 2025 12:23:07</v>
      </c>
      <c r="B906" s="12" t="str">
        <f t="shared" si="1"/>
        <v>May</v>
      </c>
      <c r="C906" s="12">
        <f t="shared" si="2"/>
        <v>5</v>
      </c>
      <c r="D906" s="12" t="str">
        <f>IFERROR(__xludf.DUMMYFUNCTION("IFERROR(IF(REGEXMATCH(LOWER(Raw_Data!C912),""fixed deposit|owealth|savings|target""),""Fixed Deposit"",IF(REGEXMATCH(LOWER(Raw_Data!C912),""airtime""),""Airtime"",IF(REGEXMATCH(LOWER(Raw_Data!C912),""electronic money transfer levy""),""Electronic Money Tr"&amp;"ansfer Levy"",IF(REGEXMATCH(LOWER(Raw_Data!C912),""transfer|trf|send""),""Transfer"",""Other"")))),""Other"")"),"Transfer")</f>
        <v>Transfer</v>
      </c>
      <c r="E906" s="20">
        <v>1050.0</v>
      </c>
      <c r="F906" s="20">
        <v>0.0</v>
      </c>
      <c r="G906" s="12" t="str">
        <f t="shared" si="3"/>
        <v>Withdrawal</v>
      </c>
      <c r="H906" s="12" t="str">
        <f>TEXT(Raw_Data!A912,"hh:mm:ss")
</f>
        <v>12:23:07</v>
      </c>
      <c r="I906" s="20">
        <f t="shared" si="4"/>
        <v>1050</v>
      </c>
    </row>
    <row r="907">
      <c r="A907" s="12" t="str">
        <f>Raw_Data!A913</f>
        <v>07 May 2025 12:53:17</v>
      </c>
      <c r="B907" s="12" t="str">
        <f t="shared" si="1"/>
        <v>May</v>
      </c>
      <c r="C907" s="12">
        <f t="shared" si="2"/>
        <v>5</v>
      </c>
      <c r="D907" s="12" t="str">
        <f>IFERROR(__xludf.DUMMYFUNCTION("IFERROR(IF(REGEXMATCH(LOWER(Raw_Data!C913),""fixed deposit|owealth|savings|target""),""Fixed Deposit"",IF(REGEXMATCH(LOWER(Raw_Data!C913),""airtime""),""Airtime"",IF(REGEXMATCH(LOWER(Raw_Data!C913),""electronic money transfer levy""),""Electronic Money Tr"&amp;"ansfer Levy"",IF(REGEXMATCH(LOWER(Raw_Data!C913),""transfer|trf|send""),""Transfer"",""Other"")))),""Other"")"),"Transfer")</f>
        <v>Transfer</v>
      </c>
      <c r="E907" s="20">
        <v>0.0</v>
      </c>
      <c r="F907" s="20">
        <v>10000.0</v>
      </c>
      <c r="G907" s="12" t="str">
        <f t="shared" si="3"/>
        <v>Deposit</v>
      </c>
      <c r="H907" s="12" t="str">
        <f>TEXT(Raw_Data!A913,"hh:mm:ss")
</f>
        <v>12:53:17</v>
      </c>
      <c r="I907" s="20">
        <f t="shared" si="4"/>
        <v>10000</v>
      </c>
    </row>
    <row r="908">
      <c r="A908" s="12" t="str">
        <f>Raw_Data!A914</f>
        <v>07 May 2025 12:53:19</v>
      </c>
      <c r="B908" s="12" t="str">
        <f t="shared" si="1"/>
        <v>May</v>
      </c>
      <c r="C908" s="12">
        <f t="shared" si="2"/>
        <v>5</v>
      </c>
      <c r="D908" s="12" t="str">
        <f>IFERROR(__xludf.DUMMYFUNCTION("IFERROR(IF(REGEXMATCH(LOWER(Raw_Data!C914),""fixed deposit|owealth|savings|target""),""Fixed Deposit"",IF(REGEXMATCH(LOWER(Raw_Data!C914),""airtime""),""Airtime"",IF(REGEXMATCH(LOWER(Raw_Data!C914),""electronic money transfer levy""),""Electronic Money Tr"&amp;"ansfer Levy"",IF(REGEXMATCH(LOWER(Raw_Data!C914),""transfer|trf|send""),""Transfer"",""Other"")))),""Other"")"),"Electronic Money Transfer Levy")</f>
        <v>Electronic Money Transfer Levy</v>
      </c>
      <c r="E908" s="20">
        <v>50.0</v>
      </c>
      <c r="F908" s="20">
        <v>0.0</v>
      </c>
      <c r="G908" s="12" t="str">
        <f t="shared" si="3"/>
        <v>Withdrawal</v>
      </c>
      <c r="H908" s="12" t="str">
        <f>TEXT(Raw_Data!A914,"hh:mm:ss")
</f>
        <v>12:53:19</v>
      </c>
      <c r="I908" s="20">
        <f t="shared" si="4"/>
        <v>50</v>
      </c>
    </row>
    <row r="909">
      <c r="A909" s="12" t="str">
        <f>Raw_Data!A915</f>
        <v>07 May 2025 12:54:39</v>
      </c>
      <c r="B909" s="12" t="str">
        <f t="shared" si="1"/>
        <v>May</v>
      </c>
      <c r="C909" s="12">
        <f t="shared" si="2"/>
        <v>5</v>
      </c>
      <c r="D909" s="12" t="str">
        <f>IFERROR(__xludf.DUMMYFUNCTION("IFERROR(IF(REGEXMATCH(LOWER(Raw_Data!C915),""fixed deposit|owealth|savings|target""),""Fixed Deposit"",IF(REGEXMATCH(LOWER(Raw_Data!C915),""airtime""),""Airtime"",IF(REGEXMATCH(LOWER(Raw_Data!C915),""electronic money transfer levy""),""Electronic Money Tr"&amp;"ansfer Levy"",IF(REGEXMATCH(LOWER(Raw_Data!C915),""transfer|trf|send""),""Transfer"",""Other"")))),""Other"")"),"Transfer")</f>
        <v>Transfer</v>
      </c>
      <c r="E909" s="20">
        <v>8500.0</v>
      </c>
      <c r="F909" s="20">
        <v>0.0</v>
      </c>
      <c r="G909" s="12" t="str">
        <f t="shared" si="3"/>
        <v>Withdrawal</v>
      </c>
      <c r="H909" s="12" t="str">
        <f>TEXT(Raw_Data!A915,"hh:mm:ss")
</f>
        <v>12:54:39</v>
      </c>
      <c r="I909" s="20">
        <f t="shared" si="4"/>
        <v>8500</v>
      </c>
    </row>
    <row r="910">
      <c r="A910" s="12" t="str">
        <f>Raw_Data!A916</f>
        <v>07 May 2025 13:44:14</v>
      </c>
      <c r="B910" s="12" t="str">
        <f t="shared" si="1"/>
        <v>May</v>
      </c>
      <c r="C910" s="12">
        <f t="shared" si="2"/>
        <v>5</v>
      </c>
      <c r="D910" s="12" t="str">
        <f>IFERROR(__xludf.DUMMYFUNCTION("IFERROR(IF(REGEXMATCH(LOWER(Raw_Data!C916),""fixed deposit|owealth|savings|target""),""Fixed Deposit"",IF(REGEXMATCH(LOWER(Raw_Data!C916),""airtime""),""Airtime"",IF(REGEXMATCH(LOWER(Raw_Data!C916),""electronic money transfer levy""),""Electronic Money Tr"&amp;"ansfer Levy"",IF(REGEXMATCH(LOWER(Raw_Data!C916),""transfer|trf|send""),""Transfer"",""Other"")))),""Other"")"),"Transfer")</f>
        <v>Transfer</v>
      </c>
      <c r="E910" s="20">
        <v>5500.0</v>
      </c>
      <c r="F910" s="20">
        <v>0.0</v>
      </c>
      <c r="G910" s="12" t="str">
        <f t="shared" si="3"/>
        <v>Withdrawal</v>
      </c>
      <c r="H910" s="12" t="str">
        <f>TEXT(Raw_Data!A916,"hh:mm:ss")
</f>
        <v>13:44:14</v>
      </c>
      <c r="I910" s="20">
        <f t="shared" si="4"/>
        <v>5500</v>
      </c>
    </row>
    <row r="911">
      <c r="A911" s="12" t="str">
        <f>Raw_Data!A917</f>
        <v>07 May 2025 15:14:10</v>
      </c>
      <c r="B911" s="12" t="str">
        <f t="shared" si="1"/>
        <v>May</v>
      </c>
      <c r="C911" s="12">
        <f t="shared" si="2"/>
        <v>5</v>
      </c>
      <c r="D911" s="12" t="str">
        <f>IFERROR(__xludf.DUMMYFUNCTION("IFERROR(IF(REGEXMATCH(LOWER(Raw_Data!C917),""fixed deposit|owealth|savings|target""),""Fixed Deposit"",IF(REGEXMATCH(LOWER(Raw_Data!C917),""airtime""),""Airtime"",IF(REGEXMATCH(LOWER(Raw_Data!C917),""electronic money transfer levy""),""Electronic Money Tr"&amp;"ansfer Levy"",IF(REGEXMATCH(LOWER(Raw_Data!C917),""transfer|trf|send""),""Transfer"",""Other"")))),""Other"")"),"Transfer")</f>
        <v>Transfer</v>
      </c>
      <c r="E911" s="20">
        <v>3100.0</v>
      </c>
      <c r="F911" s="20">
        <v>0.0</v>
      </c>
      <c r="G911" s="12" t="str">
        <f t="shared" si="3"/>
        <v>Withdrawal</v>
      </c>
      <c r="H911" s="12" t="str">
        <f>TEXT(Raw_Data!A917,"hh:mm:ss")
</f>
        <v>15:14:10</v>
      </c>
      <c r="I911" s="20">
        <f t="shared" si="4"/>
        <v>3100</v>
      </c>
    </row>
    <row r="912">
      <c r="A912" s="12" t="str">
        <f>Raw_Data!A918</f>
        <v>07 May 2025 15:14:14</v>
      </c>
      <c r="B912" s="12" t="str">
        <f t="shared" si="1"/>
        <v>May</v>
      </c>
      <c r="C912" s="12">
        <f t="shared" si="2"/>
        <v>5</v>
      </c>
      <c r="D912" s="12" t="str">
        <f>IFERROR(__xludf.DUMMYFUNCTION("IFERROR(IF(REGEXMATCH(LOWER(Raw_Data!C918),""fixed deposit|owealth|savings|target""),""Fixed Deposit"",IF(REGEXMATCH(LOWER(Raw_Data!C918),""airtime""),""Airtime"",IF(REGEXMATCH(LOWER(Raw_Data!C918),""electronic money transfer levy""),""Electronic Money Tr"&amp;"ansfer Levy"",IF(REGEXMATCH(LOWER(Raw_Data!C918),""transfer|trf|send""),""Transfer"",""Other"")))),""Other"")"),"Fixed Deposit")</f>
        <v>Fixed Deposit</v>
      </c>
      <c r="E912" s="20">
        <v>0.0</v>
      </c>
      <c r="F912" s="20">
        <v>143.9</v>
      </c>
      <c r="G912" s="12" t="str">
        <f t="shared" si="3"/>
        <v>Deposit</v>
      </c>
      <c r="H912" s="12" t="str">
        <f>TEXT(Raw_Data!A918,"hh:mm:ss")
</f>
        <v>15:14:14</v>
      </c>
      <c r="I912" s="20">
        <f t="shared" si="4"/>
        <v>143.9</v>
      </c>
    </row>
    <row r="913">
      <c r="A913" s="12" t="str">
        <f>Raw_Data!A919</f>
        <v>07 May 2025 15:17:33</v>
      </c>
      <c r="B913" s="12" t="str">
        <f t="shared" si="1"/>
        <v>May</v>
      </c>
      <c r="C913" s="12">
        <f t="shared" si="2"/>
        <v>5</v>
      </c>
      <c r="D913" s="12" t="str">
        <f>IFERROR(__xludf.DUMMYFUNCTION("IFERROR(IF(REGEXMATCH(LOWER(Raw_Data!C919),""fixed deposit|owealth|savings|target""),""Fixed Deposit"",IF(REGEXMATCH(LOWER(Raw_Data!C919),""airtime""),""Airtime"",IF(REGEXMATCH(LOWER(Raw_Data!C919),""electronic money transfer levy""),""Electronic Money Tr"&amp;"ansfer Levy"",IF(REGEXMATCH(LOWER(Raw_Data!C919),""transfer|trf|send""),""Transfer"",""Other"")))),""Other"")"),"Transfer")</f>
        <v>Transfer</v>
      </c>
      <c r="E913" s="20">
        <v>2200.0</v>
      </c>
      <c r="F913" s="20">
        <v>0.0</v>
      </c>
      <c r="G913" s="12" t="str">
        <f t="shared" si="3"/>
        <v>Withdrawal</v>
      </c>
      <c r="H913" s="12" t="str">
        <f>TEXT(Raw_Data!A919,"hh:mm:ss")
</f>
        <v>15:17:33</v>
      </c>
      <c r="I913" s="20">
        <f t="shared" si="4"/>
        <v>2200</v>
      </c>
    </row>
    <row r="914">
      <c r="A914" s="12" t="str">
        <f>Raw_Data!A920</f>
        <v>07 May 2025 15:17:37</v>
      </c>
      <c r="B914" s="12" t="str">
        <f t="shared" si="1"/>
        <v>May</v>
      </c>
      <c r="C914" s="12">
        <f t="shared" si="2"/>
        <v>5</v>
      </c>
      <c r="D914" s="12" t="str">
        <f>IFERROR(__xludf.DUMMYFUNCTION("IFERROR(IF(REGEXMATCH(LOWER(Raw_Data!C920),""fixed deposit|owealth|savings|target""),""Fixed Deposit"",IF(REGEXMATCH(LOWER(Raw_Data!C920),""airtime""),""Airtime"",IF(REGEXMATCH(LOWER(Raw_Data!C920),""electronic money transfer levy""),""Electronic Money Tr"&amp;"ansfer Levy"",IF(REGEXMATCH(LOWER(Raw_Data!C920),""transfer|trf|send""),""Transfer"",""Other"")))),""Other"")"),"Fixed Deposit")</f>
        <v>Fixed Deposit</v>
      </c>
      <c r="E914" s="20">
        <v>0.0</v>
      </c>
      <c r="F914" s="20">
        <v>2200.0</v>
      </c>
      <c r="G914" s="12" t="str">
        <f t="shared" si="3"/>
        <v>Deposit</v>
      </c>
      <c r="H914" s="12" t="str">
        <f>TEXT(Raw_Data!A920,"hh:mm:ss")
</f>
        <v>15:17:37</v>
      </c>
      <c r="I914" s="20">
        <f t="shared" si="4"/>
        <v>2200</v>
      </c>
    </row>
    <row r="915">
      <c r="A915" s="12" t="str">
        <f>Raw_Data!A921</f>
        <v>07 May 2025 18:32:39</v>
      </c>
      <c r="B915" s="12" t="str">
        <f t="shared" si="1"/>
        <v>May</v>
      </c>
      <c r="C915" s="12">
        <f t="shared" si="2"/>
        <v>5</v>
      </c>
      <c r="D915" s="12" t="str">
        <f>IFERROR(__xludf.DUMMYFUNCTION("IFERROR(IF(REGEXMATCH(LOWER(Raw_Data!C921),""fixed deposit|owealth|savings|target""),""Fixed Deposit"",IF(REGEXMATCH(LOWER(Raw_Data!C921),""airtime""),""Airtime"",IF(REGEXMATCH(LOWER(Raw_Data!C921),""electronic money transfer levy""),""Electronic Money Tr"&amp;"ansfer Levy"",IF(REGEXMATCH(LOWER(Raw_Data!C921),""transfer|trf|send""),""Transfer"",""Other"")))),""Other"")"),"Transfer")</f>
        <v>Transfer</v>
      </c>
      <c r="E915" s="20">
        <v>2100.0</v>
      </c>
      <c r="F915" s="20">
        <v>0.0</v>
      </c>
      <c r="G915" s="12" t="str">
        <f t="shared" si="3"/>
        <v>Withdrawal</v>
      </c>
      <c r="H915" s="12" t="str">
        <f>TEXT(Raw_Data!A921,"hh:mm:ss")
</f>
        <v>18:32:39</v>
      </c>
      <c r="I915" s="20">
        <f t="shared" si="4"/>
        <v>2100</v>
      </c>
    </row>
    <row r="916">
      <c r="A916" s="12" t="str">
        <f>Raw_Data!A922</f>
        <v>07 May 2025 18:32:56</v>
      </c>
      <c r="B916" s="12" t="str">
        <f t="shared" si="1"/>
        <v>May</v>
      </c>
      <c r="C916" s="12">
        <f t="shared" si="2"/>
        <v>5</v>
      </c>
      <c r="D916" s="12" t="str">
        <f>IFERROR(__xludf.DUMMYFUNCTION("IFERROR(IF(REGEXMATCH(LOWER(Raw_Data!C922),""fixed deposit|owealth|savings|target""),""Fixed Deposit"",IF(REGEXMATCH(LOWER(Raw_Data!C922),""airtime""),""Airtime"",IF(REGEXMATCH(LOWER(Raw_Data!C922),""electronic money transfer levy""),""Electronic Money Tr"&amp;"ansfer Levy"",IF(REGEXMATCH(LOWER(Raw_Data!C922),""transfer|trf|send""),""Transfer"",""Other"")))),""Other"")"),"Fixed Deposit")</f>
        <v>Fixed Deposit</v>
      </c>
      <c r="E916" s="20">
        <v>0.0</v>
      </c>
      <c r="F916" s="20">
        <v>2100.0</v>
      </c>
      <c r="G916" s="12" t="str">
        <f t="shared" si="3"/>
        <v>Deposit</v>
      </c>
      <c r="H916" s="12" t="str">
        <f>TEXT(Raw_Data!A922,"hh:mm:ss")
</f>
        <v>18:32:56</v>
      </c>
      <c r="I916" s="20">
        <f t="shared" si="4"/>
        <v>2100</v>
      </c>
    </row>
    <row r="917">
      <c r="A917" s="12" t="str">
        <f>Raw_Data!A923</f>
        <v>07 May 2025 19:03:10</v>
      </c>
      <c r="B917" s="12" t="str">
        <f t="shared" si="1"/>
        <v>May</v>
      </c>
      <c r="C917" s="12">
        <f t="shared" si="2"/>
        <v>5</v>
      </c>
      <c r="D917" s="12" t="str">
        <f>IFERROR(__xludf.DUMMYFUNCTION("IFERROR(IF(REGEXMATCH(LOWER(Raw_Data!C923),""fixed deposit|owealth|savings|target""),""Fixed Deposit"",IF(REGEXMATCH(LOWER(Raw_Data!C923),""airtime""),""Airtime"",IF(REGEXMATCH(LOWER(Raw_Data!C923),""electronic money transfer levy""),""Electronic Money Tr"&amp;"ansfer Levy"",IF(REGEXMATCH(LOWER(Raw_Data!C923),""transfer|trf|send""),""Transfer"",""Other"")))),""Other"")"),"Transfer")</f>
        <v>Transfer</v>
      </c>
      <c r="E917" s="20">
        <v>2000.0</v>
      </c>
      <c r="F917" s="20">
        <v>0.0</v>
      </c>
      <c r="G917" s="12" t="str">
        <f t="shared" si="3"/>
        <v>Withdrawal</v>
      </c>
      <c r="H917" s="12" t="str">
        <f>TEXT(Raw_Data!A923,"hh:mm:ss")
</f>
        <v>19:03:10</v>
      </c>
      <c r="I917" s="20">
        <f t="shared" si="4"/>
        <v>2000</v>
      </c>
    </row>
    <row r="918">
      <c r="A918" s="12" t="str">
        <f>Raw_Data!A924</f>
        <v>07 May 2025 19:03:17</v>
      </c>
      <c r="B918" s="12" t="str">
        <f t="shared" si="1"/>
        <v>May</v>
      </c>
      <c r="C918" s="12">
        <f t="shared" si="2"/>
        <v>5</v>
      </c>
      <c r="D918" s="12" t="str">
        <f>IFERROR(__xludf.DUMMYFUNCTION("IFERROR(IF(REGEXMATCH(LOWER(Raw_Data!C924),""fixed deposit|owealth|savings|target""),""Fixed Deposit"",IF(REGEXMATCH(LOWER(Raw_Data!C924),""airtime""),""Airtime"",IF(REGEXMATCH(LOWER(Raw_Data!C924),""electronic money transfer levy""),""Electronic Money Tr"&amp;"ansfer Levy"",IF(REGEXMATCH(LOWER(Raw_Data!C924),""transfer|trf|send""),""Transfer"",""Other"")))),""Other"")"),"Fixed Deposit")</f>
        <v>Fixed Deposit</v>
      </c>
      <c r="E918" s="20">
        <v>0.0</v>
      </c>
      <c r="F918" s="20">
        <v>2000.0</v>
      </c>
      <c r="G918" s="12" t="str">
        <f t="shared" si="3"/>
        <v>Deposit</v>
      </c>
      <c r="H918" s="12" t="str">
        <f>TEXT(Raw_Data!A924,"hh:mm:ss")
</f>
        <v>19:03:17</v>
      </c>
      <c r="I918" s="20">
        <f t="shared" si="4"/>
        <v>2000</v>
      </c>
    </row>
    <row r="919">
      <c r="A919" s="12" t="str">
        <f>Raw_Data!A925</f>
        <v>07 May 2025 19:43:23</v>
      </c>
      <c r="B919" s="12" t="str">
        <f t="shared" si="1"/>
        <v>May</v>
      </c>
      <c r="C919" s="12">
        <f t="shared" si="2"/>
        <v>5</v>
      </c>
      <c r="D919" s="12" t="str">
        <f>IFERROR(__xludf.DUMMYFUNCTION("IFERROR(IF(REGEXMATCH(LOWER(Raw_Data!C925),""fixed deposit|owealth|savings|target""),""Fixed Deposit"",IF(REGEXMATCH(LOWER(Raw_Data!C925),""airtime""),""Airtime"",IF(REGEXMATCH(LOWER(Raw_Data!C925),""electronic money transfer levy""),""Electronic Money Tr"&amp;"ansfer Levy"",IF(REGEXMATCH(LOWER(Raw_Data!C925),""transfer|trf|send""),""Transfer"",""Other"")))),""Other"")"),"Airtime")</f>
        <v>Airtime</v>
      </c>
      <c r="E919" s="20">
        <v>500.0</v>
      </c>
      <c r="F919" s="20">
        <v>0.0</v>
      </c>
      <c r="G919" s="12" t="str">
        <f t="shared" si="3"/>
        <v>Withdrawal</v>
      </c>
      <c r="H919" s="12" t="str">
        <f>TEXT(Raw_Data!A925,"hh:mm:ss")
</f>
        <v>19:43:23</v>
      </c>
      <c r="I919" s="20">
        <f t="shared" si="4"/>
        <v>500</v>
      </c>
    </row>
    <row r="920">
      <c r="A920" s="12" t="str">
        <f>Raw_Data!A926</f>
        <v>07 May 2025 19:43:51</v>
      </c>
      <c r="B920" s="12" t="str">
        <f t="shared" si="1"/>
        <v>May</v>
      </c>
      <c r="C920" s="12">
        <f t="shared" si="2"/>
        <v>5</v>
      </c>
      <c r="D920" s="12" t="str">
        <f>IFERROR(__xludf.DUMMYFUNCTION("IFERROR(IF(REGEXMATCH(LOWER(Raw_Data!C926),""fixed deposit|owealth|savings|target""),""Fixed Deposit"",IF(REGEXMATCH(LOWER(Raw_Data!C926),""airtime""),""Airtime"",IF(REGEXMATCH(LOWER(Raw_Data!C926),""electronic money transfer levy""),""Electronic Money Tr"&amp;"ansfer Levy"",IF(REGEXMATCH(LOWER(Raw_Data!C926),""transfer|trf|send""),""Transfer"",""Other"")))),""Other"")"),"Fixed Deposit")</f>
        <v>Fixed Deposit</v>
      </c>
      <c r="E920" s="20">
        <v>0.0</v>
      </c>
      <c r="F920" s="20">
        <v>500.0</v>
      </c>
      <c r="G920" s="12" t="str">
        <f t="shared" si="3"/>
        <v>Deposit</v>
      </c>
      <c r="H920" s="12" t="str">
        <f>TEXT(Raw_Data!A926,"hh:mm:ss")
</f>
        <v>19:43:51</v>
      </c>
      <c r="I920" s="20">
        <f t="shared" si="4"/>
        <v>500</v>
      </c>
    </row>
    <row r="921">
      <c r="A921" s="12" t="str">
        <f>Raw_Data!A927</f>
        <v>08 May 2025 07:23:11</v>
      </c>
      <c r="B921" s="12" t="str">
        <f t="shared" si="1"/>
        <v>May</v>
      </c>
      <c r="C921" s="12">
        <f t="shared" si="2"/>
        <v>5</v>
      </c>
      <c r="D921" s="12" t="str">
        <f>IFERROR(__xludf.DUMMYFUNCTION("IFERROR(IF(REGEXMATCH(LOWER(Raw_Data!C927),""fixed deposit|owealth|savings|target""),""Fixed Deposit"",IF(REGEXMATCH(LOWER(Raw_Data!C927),""airtime""),""Airtime"",IF(REGEXMATCH(LOWER(Raw_Data!C927),""electronic money transfer levy""),""Electronic Money Tr"&amp;"ansfer Levy"",IF(REGEXMATCH(LOWER(Raw_Data!C927),""transfer|trf|send""),""Transfer"",""Other"")))),""Other"")"),"Transfer")</f>
        <v>Transfer</v>
      </c>
      <c r="E921" s="20">
        <v>0.0</v>
      </c>
      <c r="F921" s="20">
        <v>7000.0</v>
      </c>
      <c r="G921" s="12" t="str">
        <f t="shared" si="3"/>
        <v>Deposit</v>
      </c>
      <c r="H921" s="12" t="str">
        <f>TEXT(Raw_Data!A927,"hh:mm:ss")
</f>
        <v>07:23:11</v>
      </c>
      <c r="I921" s="20">
        <f t="shared" si="4"/>
        <v>7000</v>
      </c>
    </row>
    <row r="922">
      <c r="A922" s="12" t="str">
        <f>Raw_Data!A928</f>
        <v>08 May 2025 07:51:56</v>
      </c>
      <c r="B922" s="12" t="str">
        <f t="shared" si="1"/>
        <v>May</v>
      </c>
      <c r="C922" s="12">
        <f t="shared" si="2"/>
        <v>5</v>
      </c>
      <c r="D922" s="12" t="str">
        <f>IFERROR(__xludf.DUMMYFUNCTION("IFERROR(IF(REGEXMATCH(LOWER(Raw_Data!C928),""fixed deposit|owealth|savings|target""),""Fixed Deposit"",IF(REGEXMATCH(LOWER(Raw_Data!C928),""airtime""),""Airtime"",IF(REGEXMATCH(LOWER(Raw_Data!C928),""electronic money transfer levy""),""Electronic Money Tr"&amp;"ansfer Levy"",IF(REGEXMATCH(LOWER(Raw_Data!C928),""transfer|trf|send""),""Transfer"",""Other"")))),""Other"")"),"Transfer")</f>
        <v>Transfer</v>
      </c>
      <c r="E922" s="20">
        <v>2300.0</v>
      </c>
      <c r="F922" s="20">
        <v>0.0</v>
      </c>
      <c r="G922" s="12" t="str">
        <f t="shared" si="3"/>
        <v>Withdrawal</v>
      </c>
      <c r="H922" s="12" t="str">
        <f>TEXT(Raw_Data!A928,"hh:mm:ss")
</f>
        <v>07:51:56</v>
      </c>
      <c r="I922" s="20">
        <f t="shared" si="4"/>
        <v>2300</v>
      </c>
    </row>
    <row r="923">
      <c r="A923" s="12" t="str">
        <f>Raw_Data!A929</f>
        <v>08 May 2025 11:41:29</v>
      </c>
      <c r="B923" s="12" t="str">
        <f t="shared" si="1"/>
        <v>May</v>
      </c>
      <c r="C923" s="12">
        <f t="shared" si="2"/>
        <v>5</v>
      </c>
      <c r="D923" s="12" t="str">
        <f>IFERROR(__xludf.DUMMYFUNCTION("IFERROR(IF(REGEXMATCH(LOWER(Raw_Data!C929),""fixed deposit|owealth|savings|target""),""Fixed Deposit"",IF(REGEXMATCH(LOWER(Raw_Data!C929),""airtime""),""Airtime"",IF(REGEXMATCH(LOWER(Raw_Data!C929),""electronic money transfer levy""),""Electronic Money Tr"&amp;"ansfer Levy"",IF(REGEXMATCH(LOWER(Raw_Data!C929),""transfer|trf|send""),""Transfer"",""Other"")))),""Other"")"),"Transfer")</f>
        <v>Transfer</v>
      </c>
      <c r="E923" s="20">
        <v>2300.0</v>
      </c>
      <c r="F923" s="20">
        <v>0.0</v>
      </c>
      <c r="G923" s="12" t="str">
        <f t="shared" si="3"/>
        <v>Withdrawal</v>
      </c>
      <c r="H923" s="12" t="str">
        <f>TEXT(Raw_Data!A929,"hh:mm:ss")
</f>
        <v>11:41:29</v>
      </c>
      <c r="I923" s="20">
        <f t="shared" si="4"/>
        <v>2300</v>
      </c>
    </row>
    <row r="924">
      <c r="A924" s="12" t="str">
        <f>Raw_Data!A930</f>
        <v>08 May 2025 19:06:56</v>
      </c>
      <c r="B924" s="12" t="str">
        <f t="shared" si="1"/>
        <v>May</v>
      </c>
      <c r="C924" s="12">
        <f t="shared" si="2"/>
        <v>5</v>
      </c>
      <c r="D924" s="12" t="str">
        <f>IFERROR(__xludf.DUMMYFUNCTION("IFERROR(IF(REGEXMATCH(LOWER(Raw_Data!C930),""fixed deposit|owealth|savings|target""),""Fixed Deposit"",IF(REGEXMATCH(LOWER(Raw_Data!C930),""airtime""),""Airtime"",IF(REGEXMATCH(LOWER(Raw_Data!C930),""electronic money transfer levy""),""Electronic Money Tr"&amp;"ansfer Levy"",IF(REGEXMATCH(LOWER(Raw_Data!C930),""transfer|trf|send""),""Transfer"",""Other"")))),""Other"")"),"Transfer")</f>
        <v>Transfer</v>
      </c>
      <c r="E924" s="20">
        <v>2000.0</v>
      </c>
      <c r="F924" s="20">
        <v>0.0</v>
      </c>
      <c r="G924" s="12" t="str">
        <f t="shared" si="3"/>
        <v>Withdrawal</v>
      </c>
      <c r="H924" s="12" t="str">
        <f>TEXT(Raw_Data!A930,"hh:mm:ss")
</f>
        <v>19:06:56</v>
      </c>
      <c r="I924" s="20">
        <f t="shared" si="4"/>
        <v>2000</v>
      </c>
    </row>
    <row r="925">
      <c r="A925" s="12" t="str">
        <f>Raw_Data!A931</f>
        <v>09 May 2025 07:24:51</v>
      </c>
      <c r="B925" s="12" t="str">
        <f t="shared" si="1"/>
        <v>May</v>
      </c>
      <c r="C925" s="12">
        <f t="shared" si="2"/>
        <v>5</v>
      </c>
      <c r="D925" s="12" t="str">
        <f>IFERROR(__xludf.DUMMYFUNCTION("IFERROR(IF(REGEXMATCH(LOWER(Raw_Data!C931),""fixed deposit|owealth|savings|target""),""Fixed Deposit"",IF(REGEXMATCH(LOWER(Raw_Data!C931),""airtime""),""Airtime"",IF(REGEXMATCH(LOWER(Raw_Data!C931),""electronic money transfer levy""),""Electronic Money Tr"&amp;"ansfer Levy"",IF(REGEXMATCH(LOWER(Raw_Data!C931),""transfer|trf|send""),""Transfer"",""Other"")))),""Other"")"),"Transfer")</f>
        <v>Transfer</v>
      </c>
      <c r="E925" s="20">
        <v>1500.0</v>
      </c>
      <c r="F925" s="20">
        <v>0.0</v>
      </c>
      <c r="G925" s="12" t="str">
        <f t="shared" si="3"/>
        <v>Withdrawal</v>
      </c>
      <c r="H925" s="12" t="str">
        <f>TEXT(Raw_Data!A931,"hh:mm:ss")
</f>
        <v>07:24:51</v>
      </c>
      <c r="I925" s="20">
        <f t="shared" si="4"/>
        <v>1500</v>
      </c>
    </row>
    <row r="926">
      <c r="A926" s="12" t="str">
        <f>Raw_Data!A932</f>
        <v>09 May 2025 07:24:58</v>
      </c>
      <c r="B926" s="12" t="str">
        <f t="shared" si="1"/>
        <v>May</v>
      </c>
      <c r="C926" s="12">
        <f t="shared" si="2"/>
        <v>5</v>
      </c>
      <c r="D926" s="12" t="str">
        <f>IFERROR(__xludf.DUMMYFUNCTION("IFERROR(IF(REGEXMATCH(LOWER(Raw_Data!C932),""fixed deposit|owealth|savings|target""),""Fixed Deposit"",IF(REGEXMATCH(LOWER(Raw_Data!C932),""airtime""),""Airtime"",IF(REGEXMATCH(LOWER(Raw_Data!C932),""electronic money transfer levy""),""Electronic Money Tr"&amp;"ansfer Levy"",IF(REGEXMATCH(LOWER(Raw_Data!C932),""transfer|trf|send""),""Transfer"",""Other"")))),""Other"")"),"Fixed Deposit")</f>
        <v>Fixed Deposit</v>
      </c>
      <c r="E926" s="20">
        <v>0.0</v>
      </c>
      <c r="F926" s="20">
        <v>1100.0</v>
      </c>
      <c r="G926" s="12" t="str">
        <f t="shared" si="3"/>
        <v>Deposit</v>
      </c>
      <c r="H926" s="12" t="str">
        <f>TEXT(Raw_Data!A932,"hh:mm:ss")
</f>
        <v>07:24:58</v>
      </c>
      <c r="I926" s="20">
        <f t="shared" si="4"/>
        <v>1100</v>
      </c>
    </row>
    <row r="927">
      <c r="A927" s="12" t="str">
        <f>Raw_Data!A933</f>
        <v>09 May 2025 08:14:31</v>
      </c>
      <c r="B927" s="12" t="str">
        <f t="shared" si="1"/>
        <v>May</v>
      </c>
      <c r="C927" s="12">
        <f t="shared" si="2"/>
        <v>5</v>
      </c>
      <c r="D927" s="12" t="str">
        <f>IFERROR(__xludf.DUMMYFUNCTION("IFERROR(IF(REGEXMATCH(LOWER(Raw_Data!C933),""fixed deposit|owealth|savings|target""),""Fixed Deposit"",IF(REGEXMATCH(LOWER(Raw_Data!C933),""airtime""),""Airtime"",IF(REGEXMATCH(LOWER(Raw_Data!C933),""electronic money transfer levy""),""Electronic Money Tr"&amp;"ansfer Levy"",IF(REGEXMATCH(LOWER(Raw_Data!C933),""transfer|trf|send""),""Transfer"",""Other"")))),""Other"")"),"Transfer")</f>
        <v>Transfer</v>
      </c>
      <c r="E927" s="20">
        <v>0.0</v>
      </c>
      <c r="F927" s="20">
        <v>10000.0</v>
      </c>
      <c r="G927" s="12" t="str">
        <f t="shared" si="3"/>
        <v>Deposit</v>
      </c>
      <c r="H927" s="12" t="str">
        <f>TEXT(Raw_Data!A933,"hh:mm:ss")
</f>
        <v>08:14:31</v>
      </c>
      <c r="I927" s="20">
        <f t="shared" si="4"/>
        <v>10000</v>
      </c>
    </row>
    <row r="928">
      <c r="A928" s="12" t="str">
        <f>Raw_Data!A934</f>
        <v>09 May 2025 08:14:32</v>
      </c>
      <c r="B928" s="12" t="str">
        <f t="shared" si="1"/>
        <v>May</v>
      </c>
      <c r="C928" s="12">
        <f t="shared" si="2"/>
        <v>5</v>
      </c>
      <c r="D928" s="12" t="str">
        <f>IFERROR(__xludf.DUMMYFUNCTION("IFERROR(IF(REGEXMATCH(LOWER(Raw_Data!C934),""fixed deposit|owealth|savings|target""),""Fixed Deposit"",IF(REGEXMATCH(LOWER(Raw_Data!C934),""airtime""),""Airtime"",IF(REGEXMATCH(LOWER(Raw_Data!C934),""electronic money transfer levy""),""Electronic Money Tr"&amp;"ansfer Levy"",IF(REGEXMATCH(LOWER(Raw_Data!C934),""transfer|trf|send""),""Transfer"",""Other"")))),""Other"")"),"Electronic Money Transfer Levy")</f>
        <v>Electronic Money Transfer Levy</v>
      </c>
      <c r="E928" s="20">
        <v>50.0</v>
      </c>
      <c r="F928" s="20">
        <v>0.0</v>
      </c>
      <c r="G928" s="12" t="str">
        <f t="shared" si="3"/>
        <v>Withdrawal</v>
      </c>
      <c r="H928" s="12" t="str">
        <f>TEXT(Raw_Data!A934,"hh:mm:ss")
</f>
        <v>08:14:32</v>
      </c>
      <c r="I928" s="20">
        <f t="shared" si="4"/>
        <v>50</v>
      </c>
    </row>
    <row r="929">
      <c r="A929" s="12" t="str">
        <f>Raw_Data!A935</f>
        <v>09 May 2025 08:39:25</v>
      </c>
      <c r="B929" s="12" t="str">
        <f t="shared" si="1"/>
        <v>May</v>
      </c>
      <c r="C929" s="12">
        <f t="shared" si="2"/>
        <v>5</v>
      </c>
      <c r="D929" s="12" t="str">
        <f>IFERROR(__xludf.DUMMYFUNCTION("IFERROR(IF(REGEXMATCH(LOWER(Raw_Data!C935),""fixed deposit|owealth|savings|target""),""Fixed Deposit"",IF(REGEXMATCH(LOWER(Raw_Data!C935),""airtime""),""Airtime"",IF(REGEXMATCH(LOWER(Raw_Data!C935),""electronic money transfer levy""),""Electronic Money Tr"&amp;"ansfer Levy"",IF(REGEXMATCH(LOWER(Raw_Data!C935),""transfer|trf|send""),""Transfer"",""Other"")))),""Other"")"),"Other")</f>
        <v>Other</v>
      </c>
      <c r="E929" s="20">
        <v>900.0</v>
      </c>
      <c r="F929" s="20">
        <v>0.0</v>
      </c>
      <c r="G929" s="12" t="str">
        <f t="shared" si="3"/>
        <v>Withdrawal</v>
      </c>
      <c r="H929" s="12" t="str">
        <f>TEXT(Raw_Data!A935,"hh:mm:ss")
</f>
        <v>08:39:25</v>
      </c>
      <c r="I929" s="20">
        <f t="shared" si="4"/>
        <v>900</v>
      </c>
    </row>
    <row r="930">
      <c r="A930" s="12" t="str">
        <f>Raw_Data!A936</f>
        <v>09 May 2025 08:45:28</v>
      </c>
      <c r="B930" s="12" t="str">
        <f t="shared" si="1"/>
        <v>May</v>
      </c>
      <c r="C930" s="12">
        <f t="shared" si="2"/>
        <v>5</v>
      </c>
      <c r="D930" s="12" t="str">
        <f>IFERROR(__xludf.DUMMYFUNCTION("IFERROR(IF(REGEXMATCH(LOWER(Raw_Data!C936),""fixed deposit|owealth|savings|target""),""Fixed Deposit"",IF(REGEXMATCH(LOWER(Raw_Data!C936),""airtime""),""Airtime"",IF(REGEXMATCH(LOWER(Raw_Data!C936),""electronic money transfer levy""),""Electronic Money Tr"&amp;"ansfer Levy"",IF(REGEXMATCH(LOWER(Raw_Data!C936),""transfer|trf|send""),""Transfer"",""Other"")))),""Other"")"),"Transfer")</f>
        <v>Transfer</v>
      </c>
      <c r="E930" s="20">
        <v>700.0</v>
      </c>
      <c r="F930" s="20">
        <v>0.0</v>
      </c>
      <c r="G930" s="12" t="str">
        <f t="shared" si="3"/>
        <v>Withdrawal</v>
      </c>
      <c r="H930" s="12" t="str">
        <f>TEXT(Raw_Data!A936,"hh:mm:ss")
</f>
        <v>08:45:28</v>
      </c>
      <c r="I930" s="20">
        <f t="shared" si="4"/>
        <v>700</v>
      </c>
    </row>
    <row r="931">
      <c r="A931" s="12" t="str">
        <f>Raw_Data!A937</f>
        <v>09 May 2025 08:45:53</v>
      </c>
      <c r="B931" s="12" t="str">
        <f t="shared" si="1"/>
        <v>May</v>
      </c>
      <c r="C931" s="12">
        <f t="shared" si="2"/>
        <v>5</v>
      </c>
      <c r="D931" s="12" t="str">
        <f>IFERROR(__xludf.DUMMYFUNCTION("IFERROR(IF(REGEXMATCH(LOWER(Raw_Data!C937),""fixed deposit|owealth|savings|target""),""Fixed Deposit"",IF(REGEXMATCH(LOWER(Raw_Data!C937),""airtime""),""Airtime"",IF(REGEXMATCH(LOWER(Raw_Data!C937),""electronic money transfer levy""),""Electronic Money Tr"&amp;"ansfer Levy"",IF(REGEXMATCH(LOWER(Raw_Data!C937),""transfer|trf|send""),""Transfer"",""Other"")))),""Other"")"),"Transfer")</f>
        <v>Transfer</v>
      </c>
      <c r="E931" s="20">
        <v>400.0</v>
      </c>
      <c r="F931" s="20">
        <v>0.0</v>
      </c>
      <c r="G931" s="12" t="str">
        <f t="shared" si="3"/>
        <v>Withdrawal</v>
      </c>
      <c r="H931" s="12" t="str">
        <f>TEXT(Raw_Data!A937,"hh:mm:ss")
</f>
        <v>08:45:53</v>
      </c>
      <c r="I931" s="20">
        <f t="shared" si="4"/>
        <v>400</v>
      </c>
    </row>
    <row r="932">
      <c r="A932" s="12" t="str">
        <f>Raw_Data!A938</f>
        <v>09 May 2025 13:15:17</v>
      </c>
      <c r="B932" s="12" t="str">
        <f t="shared" si="1"/>
        <v>May</v>
      </c>
      <c r="C932" s="12">
        <f t="shared" si="2"/>
        <v>5</v>
      </c>
      <c r="D932" s="12" t="str">
        <f>IFERROR(__xludf.DUMMYFUNCTION("IFERROR(IF(REGEXMATCH(LOWER(Raw_Data!C938),""fixed deposit|owealth|savings|target""),""Fixed Deposit"",IF(REGEXMATCH(LOWER(Raw_Data!C938),""airtime""),""Airtime"",IF(REGEXMATCH(LOWER(Raw_Data!C938),""electronic money transfer levy""),""Electronic Money Tr"&amp;"ansfer Levy"",IF(REGEXMATCH(LOWER(Raw_Data!C938),""transfer|trf|send""),""Transfer"",""Other"")))),""Other"")"),"Transfer")</f>
        <v>Transfer</v>
      </c>
      <c r="E932" s="20">
        <v>1500.0</v>
      </c>
      <c r="F932" s="20">
        <v>0.0</v>
      </c>
      <c r="G932" s="12" t="str">
        <f t="shared" si="3"/>
        <v>Withdrawal</v>
      </c>
      <c r="H932" s="12" t="str">
        <f>TEXT(Raw_Data!A938,"hh:mm:ss")
</f>
        <v>13:15:17</v>
      </c>
      <c r="I932" s="20">
        <f t="shared" si="4"/>
        <v>1500</v>
      </c>
    </row>
    <row r="933">
      <c r="A933" s="12" t="str">
        <f>Raw_Data!A939</f>
        <v>09 May 2025 18:12:29</v>
      </c>
      <c r="B933" s="12" t="str">
        <f t="shared" si="1"/>
        <v>May</v>
      </c>
      <c r="C933" s="12">
        <f t="shared" si="2"/>
        <v>5</v>
      </c>
      <c r="D933" s="12" t="str">
        <f>IFERROR(__xludf.DUMMYFUNCTION("IFERROR(IF(REGEXMATCH(LOWER(Raw_Data!C939),""fixed deposit|owealth|savings|target""),""Fixed Deposit"",IF(REGEXMATCH(LOWER(Raw_Data!C939),""airtime""),""Airtime"",IF(REGEXMATCH(LOWER(Raw_Data!C939),""electronic money transfer levy""),""Electronic Money Tr"&amp;"ansfer Levy"",IF(REGEXMATCH(LOWER(Raw_Data!C939),""transfer|trf|send""),""Transfer"",""Other"")))),""Other"")"),"Transfer")</f>
        <v>Transfer</v>
      </c>
      <c r="E933" s="20">
        <v>2100.0</v>
      </c>
      <c r="F933" s="20">
        <v>0.0</v>
      </c>
      <c r="G933" s="12" t="str">
        <f t="shared" si="3"/>
        <v>Withdrawal</v>
      </c>
      <c r="H933" s="12" t="str">
        <f>TEXT(Raw_Data!A939,"hh:mm:ss")
</f>
        <v>18:12:29</v>
      </c>
      <c r="I933" s="20">
        <f t="shared" si="4"/>
        <v>2100</v>
      </c>
    </row>
    <row r="934">
      <c r="A934" s="12" t="str">
        <f>Raw_Data!A940</f>
        <v>10 May 2025 04:15:20</v>
      </c>
      <c r="B934" s="12" t="str">
        <f t="shared" si="1"/>
        <v>May</v>
      </c>
      <c r="C934" s="12">
        <f t="shared" si="2"/>
        <v>5</v>
      </c>
      <c r="D934" s="12" t="str">
        <f>IFERROR(__xludf.DUMMYFUNCTION("IFERROR(IF(REGEXMATCH(LOWER(Raw_Data!C940),""fixed deposit|owealth|savings|target""),""Fixed Deposit"",IF(REGEXMATCH(LOWER(Raw_Data!C940),""airtime""),""Airtime"",IF(REGEXMATCH(LOWER(Raw_Data!C940),""electronic money transfer levy""),""Electronic Money Tr"&amp;"ansfer Levy"",IF(REGEXMATCH(LOWER(Raw_Data!C940),""transfer|trf|send""),""Transfer"",""Other"")))),""Other"")"),"Fixed Deposit")</f>
        <v>Fixed Deposit</v>
      </c>
      <c r="E934" s="20">
        <v>0.0</v>
      </c>
      <c r="F934" s="20">
        <v>5868.29</v>
      </c>
      <c r="G934" s="12" t="str">
        <f t="shared" si="3"/>
        <v>Deposit</v>
      </c>
      <c r="H934" s="12" t="str">
        <f>TEXT(Raw_Data!A940,"hh:mm:ss")
</f>
        <v>04:15:20</v>
      </c>
      <c r="I934" s="20">
        <f t="shared" si="4"/>
        <v>5868.29</v>
      </c>
    </row>
    <row r="935">
      <c r="A935" s="12" t="str">
        <f>Raw_Data!A941</f>
        <v>10 May 2025 04:15:55</v>
      </c>
      <c r="B935" s="12" t="str">
        <f t="shared" si="1"/>
        <v>May</v>
      </c>
      <c r="C935" s="12">
        <f t="shared" si="2"/>
        <v>5</v>
      </c>
      <c r="D935" s="12" t="str">
        <f>IFERROR(__xludf.DUMMYFUNCTION("IFERROR(IF(REGEXMATCH(LOWER(Raw_Data!C941),""fixed deposit|owealth|savings|target""),""Fixed Deposit"",IF(REGEXMATCH(LOWER(Raw_Data!C941),""airtime""),""Airtime"",IF(REGEXMATCH(LOWER(Raw_Data!C941),""electronic money transfer levy""),""Electronic Money Tr"&amp;"ansfer Levy"",IF(REGEXMATCH(LOWER(Raw_Data!C941),""transfer|trf|send""),""Transfer"",""Other"")))),""Other"")"),"Airtime")</f>
        <v>Airtime</v>
      </c>
      <c r="E935" s="20">
        <v>1200.0</v>
      </c>
      <c r="F935" s="20">
        <v>0.0</v>
      </c>
      <c r="G935" s="12" t="str">
        <f t="shared" si="3"/>
        <v>Withdrawal</v>
      </c>
      <c r="H935" s="12" t="str">
        <f>TEXT(Raw_Data!A941,"hh:mm:ss")
</f>
        <v>04:15:55</v>
      </c>
      <c r="I935" s="20">
        <f t="shared" si="4"/>
        <v>1200</v>
      </c>
    </row>
    <row r="936">
      <c r="A936" s="12" t="str">
        <f>Raw_Data!A942</f>
        <v>10 May 2025 07:47:56</v>
      </c>
      <c r="B936" s="12" t="str">
        <f t="shared" si="1"/>
        <v>May</v>
      </c>
      <c r="C936" s="12">
        <f t="shared" si="2"/>
        <v>5</v>
      </c>
      <c r="D936" s="12" t="str">
        <f>IFERROR(__xludf.DUMMYFUNCTION("IFERROR(IF(REGEXMATCH(LOWER(Raw_Data!C942),""fixed deposit|owealth|savings|target""),""Fixed Deposit"",IF(REGEXMATCH(LOWER(Raw_Data!C942),""airtime""),""Airtime"",IF(REGEXMATCH(LOWER(Raw_Data!C942),""electronic money transfer levy""),""Electronic Money Tr"&amp;"ansfer Levy"",IF(REGEXMATCH(LOWER(Raw_Data!C942),""transfer|trf|send""),""Transfer"",""Other"")))),""Other"")"),"Transfer")</f>
        <v>Transfer</v>
      </c>
      <c r="E936" s="20">
        <v>1500.0</v>
      </c>
      <c r="F936" s="20">
        <v>0.0</v>
      </c>
      <c r="G936" s="12" t="str">
        <f t="shared" si="3"/>
        <v>Withdrawal</v>
      </c>
      <c r="H936" s="12" t="str">
        <f>TEXT(Raw_Data!A942,"hh:mm:ss")
</f>
        <v>07:47:56</v>
      </c>
      <c r="I936" s="20">
        <f t="shared" si="4"/>
        <v>1500</v>
      </c>
    </row>
    <row r="937">
      <c r="A937" s="12" t="str">
        <f>Raw_Data!A943</f>
        <v>10 May 2025 13:22:07</v>
      </c>
      <c r="B937" s="12" t="str">
        <f t="shared" si="1"/>
        <v>May</v>
      </c>
      <c r="C937" s="12">
        <f t="shared" si="2"/>
        <v>5</v>
      </c>
      <c r="D937" s="12" t="str">
        <f>IFERROR(__xludf.DUMMYFUNCTION("IFERROR(IF(REGEXMATCH(LOWER(Raw_Data!C943),""fixed deposit|owealth|savings|target""),""Fixed Deposit"",IF(REGEXMATCH(LOWER(Raw_Data!C943),""airtime""),""Airtime"",IF(REGEXMATCH(LOWER(Raw_Data!C943),""electronic money transfer levy""),""Electronic Money Tr"&amp;"ansfer Levy"",IF(REGEXMATCH(LOWER(Raw_Data!C943),""transfer|trf|send""),""Transfer"",""Other"")))),""Other"")"),"Transfer")</f>
        <v>Transfer</v>
      </c>
      <c r="E937" s="20">
        <v>750.0</v>
      </c>
      <c r="F937" s="20">
        <v>0.0</v>
      </c>
      <c r="G937" s="12" t="str">
        <f t="shared" si="3"/>
        <v>Withdrawal</v>
      </c>
      <c r="H937" s="12" t="str">
        <f>TEXT(Raw_Data!A943,"hh:mm:ss")
</f>
        <v>13:22:07</v>
      </c>
      <c r="I937" s="20">
        <f t="shared" si="4"/>
        <v>750</v>
      </c>
    </row>
    <row r="938">
      <c r="A938" s="12" t="str">
        <f>Raw_Data!A944</f>
        <v>10 May 2025 19:40:40</v>
      </c>
      <c r="B938" s="12" t="str">
        <f t="shared" si="1"/>
        <v>May</v>
      </c>
      <c r="C938" s="12">
        <f t="shared" si="2"/>
        <v>5</v>
      </c>
      <c r="D938" s="12" t="str">
        <f>IFERROR(__xludf.DUMMYFUNCTION("IFERROR(IF(REGEXMATCH(LOWER(Raw_Data!C944),""fixed deposit|owealth|savings|target""),""Fixed Deposit"",IF(REGEXMATCH(LOWER(Raw_Data!C944),""airtime""),""Airtime"",IF(REGEXMATCH(LOWER(Raw_Data!C944),""electronic money transfer levy""),""Electronic Money Tr"&amp;"ansfer Levy"",IF(REGEXMATCH(LOWER(Raw_Data!C944),""transfer|trf|send""),""Transfer"",""Other"")))),""Other"")"),"Transfer")</f>
        <v>Transfer</v>
      </c>
      <c r="E938" s="20">
        <v>2100.0</v>
      </c>
      <c r="F938" s="20">
        <v>0.0</v>
      </c>
      <c r="G938" s="12" t="str">
        <f t="shared" si="3"/>
        <v>Withdrawal</v>
      </c>
      <c r="H938" s="12" t="str">
        <f>TEXT(Raw_Data!A944,"hh:mm:ss")
</f>
        <v>19:40:40</v>
      </c>
      <c r="I938" s="20">
        <f t="shared" si="4"/>
        <v>2100</v>
      </c>
    </row>
    <row r="939">
      <c r="A939" s="12" t="str">
        <f>Raw_Data!A945</f>
        <v>10 May 2025 20:44:43</v>
      </c>
      <c r="B939" s="12" t="str">
        <f t="shared" si="1"/>
        <v>May</v>
      </c>
      <c r="C939" s="12">
        <f t="shared" si="2"/>
        <v>5</v>
      </c>
      <c r="D939" s="12" t="str">
        <f>IFERROR(__xludf.DUMMYFUNCTION("IFERROR(IF(REGEXMATCH(LOWER(Raw_Data!C945),""fixed deposit|owealth|savings|target""),""Fixed Deposit"",IF(REGEXMATCH(LOWER(Raw_Data!C945),""airtime""),""Airtime"",IF(REGEXMATCH(LOWER(Raw_Data!C945),""electronic money transfer levy""),""Electronic Money Tr"&amp;"ansfer Levy"",IF(REGEXMATCH(LOWER(Raw_Data!C945),""transfer|trf|send""),""Transfer"",""Other"")))),""Other"")"),"Transfer")</f>
        <v>Transfer</v>
      </c>
      <c r="E939" s="20">
        <v>860.0</v>
      </c>
      <c r="F939" s="20">
        <v>0.0</v>
      </c>
      <c r="G939" s="12" t="str">
        <f t="shared" si="3"/>
        <v>Withdrawal</v>
      </c>
      <c r="H939" s="12" t="str">
        <f>TEXT(Raw_Data!A945,"hh:mm:ss")
</f>
        <v>20:44:43</v>
      </c>
      <c r="I939" s="20">
        <f t="shared" si="4"/>
        <v>860</v>
      </c>
    </row>
    <row r="940">
      <c r="A940" s="12" t="str">
        <f>Raw_Data!A946</f>
        <v>11 May 2025 08:46:55</v>
      </c>
      <c r="B940" s="12" t="str">
        <f t="shared" si="1"/>
        <v>May</v>
      </c>
      <c r="C940" s="12">
        <f t="shared" si="2"/>
        <v>5</v>
      </c>
      <c r="D940" s="12" t="str">
        <f>IFERROR(__xludf.DUMMYFUNCTION("IFERROR(IF(REGEXMATCH(LOWER(Raw_Data!C946),""fixed deposit|owealth|savings|target""),""Fixed Deposit"",IF(REGEXMATCH(LOWER(Raw_Data!C946),""airtime""),""Airtime"",IF(REGEXMATCH(LOWER(Raw_Data!C946),""electronic money transfer levy""),""Electronic Money Tr"&amp;"ansfer Levy"",IF(REGEXMATCH(LOWER(Raw_Data!C946),""transfer|trf|send""),""Transfer"",""Other"")))),""Other"")"),"Transfer")</f>
        <v>Transfer</v>
      </c>
      <c r="E940" s="20">
        <v>0.0</v>
      </c>
      <c r="F940" s="20">
        <v>2000.0</v>
      </c>
      <c r="G940" s="12" t="str">
        <f t="shared" si="3"/>
        <v>Deposit</v>
      </c>
      <c r="H940" s="12" t="str">
        <f>TEXT(Raw_Data!A946,"hh:mm:ss")
</f>
        <v>08:46:55</v>
      </c>
      <c r="I940" s="20">
        <f t="shared" si="4"/>
        <v>2000</v>
      </c>
    </row>
    <row r="941">
      <c r="A941" s="12" t="str">
        <f>Raw_Data!A947</f>
        <v>11 May 2025 08:51:01</v>
      </c>
      <c r="B941" s="12" t="str">
        <f t="shared" si="1"/>
        <v>May</v>
      </c>
      <c r="C941" s="12">
        <f t="shared" si="2"/>
        <v>5</v>
      </c>
      <c r="D941" s="12" t="str">
        <f>IFERROR(__xludf.DUMMYFUNCTION("IFERROR(IF(REGEXMATCH(LOWER(Raw_Data!C947),""fixed deposit|owealth|savings|target""),""Fixed Deposit"",IF(REGEXMATCH(LOWER(Raw_Data!C947),""airtime""),""Airtime"",IF(REGEXMATCH(LOWER(Raw_Data!C947),""electronic money transfer levy""),""Electronic Money Tr"&amp;"ansfer Levy"",IF(REGEXMATCH(LOWER(Raw_Data!C947),""transfer|trf|send""),""Transfer"",""Other"")))),""Other"")"),"Transfer")</f>
        <v>Transfer</v>
      </c>
      <c r="E941" s="20">
        <v>0.0</v>
      </c>
      <c r="F941" s="20">
        <v>28000.0</v>
      </c>
      <c r="G941" s="12" t="str">
        <f t="shared" si="3"/>
        <v>Deposit</v>
      </c>
      <c r="H941" s="12" t="str">
        <f>TEXT(Raw_Data!A947,"hh:mm:ss")
</f>
        <v>08:51:01</v>
      </c>
      <c r="I941" s="20">
        <f t="shared" si="4"/>
        <v>28000</v>
      </c>
    </row>
    <row r="942">
      <c r="A942" s="12" t="str">
        <f>Raw_Data!A948</f>
        <v>11 May 2025 09:22:01</v>
      </c>
      <c r="B942" s="12" t="str">
        <f t="shared" si="1"/>
        <v>May</v>
      </c>
      <c r="C942" s="12">
        <f t="shared" si="2"/>
        <v>5</v>
      </c>
      <c r="D942" s="12" t="str">
        <f>IFERROR(__xludf.DUMMYFUNCTION("IFERROR(IF(REGEXMATCH(LOWER(Raw_Data!C948),""fixed deposit|owealth|savings|target""),""Fixed Deposit"",IF(REGEXMATCH(LOWER(Raw_Data!C948),""airtime""),""Airtime"",IF(REGEXMATCH(LOWER(Raw_Data!C948),""electronic money transfer levy""),""Electronic Money Tr"&amp;"ansfer Levy"",IF(REGEXMATCH(LOWER(Raw_Data!C948),""transfer|trf|send""),""Transfer"",""Other"")))),""Other"")"),"Transfer")</f>
        <v>Transfer</v>
      </c>
      <c r="E942" s="20">
        <v>20000.0</v>
      </c>
      <c r="F942" s="20">
        <v>0.0</v>
      </c>
      <c r="G942" s="12" t="str">
        <f t="shared" si="3"/>
        <v>Withdrawal</v>
      </c>
      <c r="H942" s="12" t="str">
        <f>TEXT(Raw_Data!A948,"hh:mm:ss")
</f>
        <v>09:22:01</v>
      </c>
      <c r="I942" s="20">
        <f t="shared" si="4"/>
        <v>20000</v>
      </c>
    </row>
    <row r="943">
      <c r="A943" s="12" t="str">
        <f>Raw_Data!A949</f>
        <v>11 May 2025 09:22:22</v>
      </c>
      <c r="B943" s="12" t="str">
        <f t="shared" si="1"/>
        <v>May</v>
      </c>
      <c r="C943" s="12">
        <f t="shared" si="2"/>
        <v>5</v>
      </c>
      <c r="D943" s="12" t="str">
        <f>IFERROR(__xludf.DUMMYFUNCTION("IFERROR(IF(REGEXMATCH(LOWER(Raw_Data!C949),""fixed deposit|owealth|savings|target""),""Fixed Deposit"",IF(REGEXMATCH(LOWER(Raw_Data!C949),""airtime""),""Airtime"",IF(REGEXMATCH(LOWER(Raw_Data!C949),""electronic money transfer levy""),""Electronic Money Tr"&amp;"ansfer Levy"",IF(REGEXMATCH(LOWER(Raw_Data!C949),""transfer|trf|send""),""Transfer"",""Other"")))),""Other"")"),"Airtime")</f>
        <v>Airtime</v>
      </c>
      <c r="E943" s="20">
        <v>500.0</v>
      </c>
      <c r="F943" s="20">
        <v>0.0</v>
      </c>
      <c r="G943" s="12" t="str">
        <f t="shared" si="3"/>
        <v>Withdrawal</v>
      </c>
      <c r="H943" s="12" t="str">
        <f>TEXT(Raw_Data!A949,"hh:mm:ss")
</f>
        <v>09:22:22</v>
      </c>
      <c r="I943" s="20">
        <f t="shared" si="4"/>
        <v>500</v>
      </c>
    </row>
    <row r="944">
      <c r="A944" s="12" t="str">
        <f>Raw_Data!A950</f>
        <v>11 May 2025 10:19:17</v>
      </c>
      <c r="B944" s="12" t="str">
        <f t="shared" si="1"/>
        <v>May</v>
      </c>
      <c r="C944" s="12">
        <f t="shared" si="2"/>
        <v>5</v>
      </c>
      <c r="D944" s="12" t="str">
        <f>IFERROR(__xludf.DUMMYFUNCTION("IFERROR(IF(REGEXMATCH(LOWER(Raw_Data!C950),""fixed deposit|owealth|savings|target""),""Fixed Deposit"",IF(REGEXMATCH(LOWER(Raw_Data!C950),""airtime""),""Airtime"",IF(REGEXMATCH(LOWER(Raw_Data!C950),""electronic money transfer levy""),""Electronic Money Tr"&amp;"ansfer Levy"",IF(REGEXMATCH(LOWER(Raw_Data!C950),""transfer|trf|send""),""Transfer"",""Other"")))),""Other"")"),"Transfer")</f>
        <v>Transfer</v>
      </c>
      <c r="E944" s="20">
        <v>400.0</v>
      </c>
      <c r="F944" s="20">
        <v>0.0</v>
      </c>
      <c r="G944" s="12" t="str">
        <f t="shared" si="3"/>
        <v>Withdrawal</v>
      </c>
      <c r="H944" s="12" t="str">
        <f>TEXT(Raw_Data!A950,"hh:mm:ss")
</f>
        <v>10:19:17</v>
      </c>
      <c r="I944" s="20">
        <f t="shared" si="4"/>
        <v>400</v>
      </c>
    </row>
    <row r="945">
      <c r="A945" s="12" t="str">
        <f>Raw_Data!A951</f>
        <v>11 May 2025 10:22:15</v>
      </c>
      <c r="B945" s="12" t="str">
        <f t="shared" si="1"/>
        <v>May</v>
      </c>
      <c r="C945" s="12">
        <f t="shared" si="2"/>
        <v>5</v>
      </c>
      <c r="D945" s="12" t="str">
        <f>IFERROR(__xludf.DUMMYFUNCTION("IFERROR(IF(REGEXMATCH(LOWER(Raw_Data!C951),""fixed deposit|owealth|savings|target""),""Fixed Deposit"",IF(REGEXMATCH(LOWER(Raw_Data!C951),""airtime""),""Airtime"",IF(REGEXMATCH(LOWER(Raw_Data!C951),""electronic money transfer levy""),""Electronic Money Tr"&amp;"ansfer Levy"",IF(REGEXMATCH(LOWER(Raw_Data!C951),""transfer|trf|send""),""Transfer"",""Other"")))),""Other"")"),"Transfer")</f>
        <v>Transfer</v>
      </c>
      <c r="E945" s="20">
        <v>1200.0</v>
      </c>
      <c r="F945" s="20">
        <v>0.0</v>
      </c>
      <c r="G945" s="12" t="str">
        <f t="shared" si="3"/>
        <v>Withdrawal</v>
      </c>
      <c r="H945" s="12" t="str">
        <f>TEXT(Raw_Data!A951,"hh:mm:ss")
</f>
        <v>10:22:15</v>
      </c>
      <c r="I945" s="20">
        <f t="shared" si="4"/>
        <v>1200</v>
      </c>
    </row>
    <row r="946">
      <c r="A946" s="12" t="str">
        <f>Raw_Data!A952</f>
        <v>11 May 2025 18:24:04</v>
      </c>
      <c r="B946" s="12" t="str">
        <f t="shared" si="1"/>
        <v>May</v>
      </c>
      <c r="C946" s="12">
        <f t="shared" si="2"/>
        <v>5</v>
      </c>
      <c r="D946" s="12" t="str">
        <f>IFERROR(__xludf.DUMMYFUNCTION("IFERROR(IF(REGEXMATCH(LOWER(Raw_Data!C952),""fixed deposit|owealth|savings|target""),""Fixed Deposit"",IF(REGEXMATCH(LOWER(Raw_Data!C952),""airtime""),""Airtime"",IF(REGEXMATCH(LOWER(Raw_Data!C952),""electronic money transfer levy""),""Electronic Money Tr"&amp;"ansfer Levy"",IF(REGEXMATCH(LOWER(Raw_Data!C952),""transfer|trf|send""),""Transfer"",""Other"")))),""Other"")"),"Transfer")</f>
        <v>Transfer</v>
      </c>
      <c r="E946" s="20">
        <v>0.0</v>
      </c>
      <c r="F946" s="20">
        <v>20000.0</v>
      </c>
      <c r="G946" s="12" t="str">
        <f t="shared" si="3"/>
        <v>Deposit</v>
      </c>
      <c r="H946" s="12" t="str">
        <f>TEXT(Raw_Data!A952,"hh:mm:ss")
</f>
        <v>18:24:04</v>
      </c>
      <c r="I946" s="20">
        <f t="shared" si="4"/>
        <v>20000</v>
      </c>
    </row>
    <row r="947">
      <c r="A947" s="12" t="str">
        <f>Raw_Data!A953</f>
        <v>11 May 2025 18:24:06</v>
      </c>
      <c r="B947" s="12" t="str">
        <f t="shared" si="1"/>
        <v>May</v>
      </c>
      <c r="C947" s="12">
        <f t="shared" si="2"/>
        <v>5</v>
      </c>
      <c r="D947" s="12" t="str">
        <f>IFERROR(__xludf.DUMMYFUNCTION("IFERROR(IF(REGEXMATCH(LOWER(Raw_Data!C953),""fixed deposit|owealth|savings|target""),""Fixed Deposit"",IF(REGEXMATCH(LOWER(Raw_Data!C953),""airtime""),""Airtime"",IF(REGEXMATCH(LOWER(Raw_Data!C953),""electronic money transfer levy""),""Electronic Money Tr"&amp;"ansfer Levy"",IF(REGEXMATCH(LOWER(Raw_Data!C953),""transfer|trf|send""),""Transfer"",""Other"")))),""Other"")"),"Electronic Money Transfer Levy")</f>
        <v>Electronic Money Transfer Levy</v>
      </c>
      <c r="E947" s="20">
        <v>50.0</v>
      </c>
      <c r="F947" s="20">
        <v>0.0</v>
      </c>
      <c r="G947" s="12" t="str">
        <f t="shared" si="3"/>
        <v>Withdrawal</v>
      </c>
      <c r="H947" s="12" t="str">
        <f>TEXT(Raw_Data!A953,"hh:mm:ss")
</f>
        <v>18:24:06</v>
      </c>
      <c r="I947" s="20">
        <f t="shared" si="4"/>
        <v>50</v>
      </c>
    </row>
    <row r="948">
      <c r="A948" s="12" t="str">
        <f>Raw_Data!A954</f>
        <v>11 May 2025 18:53:02</v>
      </c>
      <c r="B948" s="12" t="str">
        <f t="shared" si="1"/>
        <v>May</v>
      </c>
      <c r="C948" s="12">
        <f t="shared" si="2"/>
        <v>5</v>
      </c>
      <c r="D948" s="12" t="str">
        <f>IFERROR(__xludf.DUMMYFUNCTION("IFERROR(IF(REGEXMATCH(LOWER(Raw_Data!C954),""fixed deposit|owealth|savings|target""),""Fixed Deposit"",IF(REGEXMATCH(LOWER(Raw_Data!C954),""airtime""),""Airtime"",IF(REGEXMATCH(LOWER(Raw_Data!C954),""electronic money transfer levy""),""Electronic Money Tr"&amp;"ansfer Levy"",IF(REGEXMATCH(LOWER(Raw_Data!C954),""transfer|trf|send""),""Transfer"",""Other"")))),""Other"")"),"Other")</f>
        <v>Other</v>
      </c>
      <c r="E948" s="20">
        <v>20000.0</v>
      </c>
      <c r="F948" s="20">
        <v>0.0</v>
      </c>
      <c r="G948" s="12" t="str">
        <f t="shared" si="3"/>
        <v>Withdrawal</v>
      </c>
      <c r="H948" s="12" t="str">
        <f>TEXT(Raw_Data!A954,"hh:mm:ss")
</f>
        <v>18:53:02</v>
      </c>
      <c r="I948" s="20">
        <f t="shared" si="4"/>
        <v>20000</v>
      </c>
    </row>
    <row r="949">
      <c r="A949" s="12" t="str">
        <f>Raw_Data!A955</f>
        <v>11 May 2025 19:53:27</v>
      </c>
      <c r="B949" s="12" t="str">
        <f t="shared" si="1"/>
        <v>May</v>
      </c>
      <c r="C949" s="12">
        <f t="shared" si="2"/>
        <v>5</v>
      </c>
      <c r="D949" s="12" t="str">
        <f>IFERROR(__xludf.DUMMYFUNCTION("IFERROR(IF(REGEXMATCH(LOWER(Raw_Data!C955),""fixed deposit|owealth|savings|target""),""Fixed Deposit"",IF(REGEXMATCH(LOWER(Raw_Data!C955),""airtime""),""Airtime"",IF(REGEXMATCH(LOWER(Raw_Data!C955),""electronic money transfer levy""),""Electronic Money Tr"&amp;"ansfer Levy"",IF(REGEXMATCH(LOWER(Raw_Data!C955),""transfer|trf|send""),""Transfer"",""Other"")))),""Other"")"),"Transfer")</f>
        <v>Transfer</v>
      </c>
      <c r="E949" s="20">
        <v>100.0</v>
      </c>
      <c r="F949" s="20">
        <v>0.0</v>
      </c>
      <c r="G949" s="12" t="str">
        <f t="shared" si="3"/>
        <v>Withdrawal</v>
      </c>
      <c r="H949" s="12" t="str">
        <f>TEXT(Raw_Data!A955,"hh:mm:ss")
</f>
        <v>19:53:27</v>
      </c>
      <c r="I949" s="20">
        <f t="shared" si="4"/>
        <v>100</v>
      </c>
    </row>
    <row r="950">
      <c r="A950" s="12" t="str">
        <f>Raw_Data!A956</f>
        <v>11 May 2025 19:57:36</v>
      </c>
      <c r="B950" s="12" t="str">
        <f t="shared" si="1"/>
        <v>May</v>
      </c>
      <c r="C950" s="12">
        <f t="shared" si="2"/>
        <v>5</v>
      </c>
      <c r="D950" s="12" t="str">
        <f>IFERROR(__xludf.DUMMYFUNCTION("IFERROR(IF(REGEXMATCH(LOWER(Raw_Data!C956),""fixed deposit|owealth|savings|target""),""Fixed Deposit"",IF(REGEXMATCH(LOWER(Raw_Data!C956),""airtime""),""Airtime"",IF(REGEXMATCH(LOWER(Raw_Data!C956),""electronic money transfer levy""),""Electronic Money Tr"&amp;"ansfer Levy"",IF(REGEXMATCH(LOWER(Raw_Data!C956),""transfer|trf|send""),""Transfer"",""Other"")))),""Other"")"),"Transfer")</f>
        <v>Transfer</v>
      </c>
      <c r="E950" s="20">
        <v>2100.0</v>
      </c>
      <c r="F950" s="20">
        <v>0.0</v>
      </c>
      <c r="G950" s="12" t="str">
        <f t="shared" si="3"/>
        <v>Withdrawal</v>
      </c>
      <c r="H950" s="12" t="str">
        <f>TEXT(Raw_Data!A956,"hh:mm:ss")
</f>
        <v>19:57:36</v>
      </c>
      <c r="I950" s="20">
        <f t="shared" si="4"/>
        <v>2100</v>
      </c>
    </row>
    <row r="951">
      <c r="A951" s="12" t="str">
        <f>Raw_Data!A957</f>
        <v>11 May 2025 19:58:46</v>
      </c>
      <c r="B951" s="12" t="str">
        <f t="shared" si="1"/>
        <v>May</v>
      </c>
      <c r="C951" s="12">
        <f t="shared" si="2"/>
        <v>5</v>
      </c>
      <c r="D951" s="12" t="str">
        <f>IFERROR(__xludf.DUMMYFUNCTION("IFERROR(IF(REGEXMATCH(LOWER(Raw_Data!C957),""fixed deposit|owealth|savings|target""),""Fixed Deposit"",IF(REGEXMATCH(LOWER(Raw_Data!C957),""airtime""),""Airtime"",IF(REGEXMATCH(LOWER(Raw_Data!C957),""electronic money transfer levy""),""Electronic Money Tr"&amp;"ansfer Levy"",IF(REGEXMATCH(LOWER(Raw_Data!C957),""transfer|trf|send""),""Transfer"",""Other"")))),""Other"")"),"Transfer")</f>
        <v>Transfer</v>
      </c>
      <c r="E951" s="20">
        <v>450.0</v>
      </c>
      <c r="F951" s="20">
        <v>0.0</v>
      </c>
      <c r="G951" s="12" t="str">
        <f t="shared" si="3"/>
        <v>Withdrawal</v>
      </c>
      <c r="H951" s="12" t="str">
        <f>TEXT(Raw_Data!A957,"hh:mm:ss")
</f>
        <v>19:58:46</v>
      </c>
      <c r="I951" s="20">
        <f t="shared" si="4"/>
        <v>450</v>
      </c>
    </row>
    <row r="952">
      <c r="A952" s="12" t="str">
        <f>Raw_Data!A958</f>
        <v>12 May 2025 13:40:43</v>
      </c>
      <c r="B952" s="12" t="str">
        <f t="shared" si="1"/>
        <v>May</v>
      </c>
      <c r="C952" s="12">
        <f t="shared" si="2"/>
        <v>5</v>
      </c>
      <c r="D952" s="12" t="str">
        <f>IFERROR(__xludf.DUMMYFUNCTION("IFERROR(IF(REGEXMATCH(LOWER(Raw_Data!C958),""fixed deposit|owealth|savings|target""),""Fixed Deposit"",IF(REGEXMATCH(LOWER(Raw_Data!C958),""airtime""),""Airtime"",IF(REGEXMATCH(LOWER(Raw_Data!C958),""electronic money transfer levy""),""Electronic Money Tr"&amp;"ansfer Levy"",IF(REGEXMATCH(LOWER(Raw_Data!C958),""transfer|trf|send""),""Transfer"",""Other"")))),""Other"")"),"Transfer")</f>
        <v>Transfer</v>
      </c>
      <c r="E952" s="20">
        <v>1600.0</v>
      </c>
      <c r="F952" s="20">
        <v>0.0</v>
      </c>
      <c r="G952" s="12" t="str">
        <f t="shared" si="3"/>
        <v>Withdrawal</v>
      </c>
      <c r="H952" s="12" t="str">
        <f>TEXT(Raw_Data!A958,"hh:mm:ss")
</f>
        <v>13:40:43</v>
      </c>
      <c r="I952" s="20">
        <f t="shared" si="4"/>
        <v>1600</v>
      </c>
    </row>
    <row r="953">
      <c r="A953" s="12" t="str">
        <f>Raw_Data!A959</f>
        <v>13 May 2025 12:30:46</v>
      </c>
      <c r="B953" s="12" t="str">
        <f t="shared" si="1"/>
        <v>May</v>
      </c>
      <c r="C953" s="12">
        <f t="shared" si="2"/>
        <v>5</v>
      </c>
      <c r="D953" s="12" t="str">
        <f>IFERROR(__xludf.DUMMYFUNCTION("IFERROR(IF(REGEXMATCH(LOWER(Raw_Data!C959),""fixed deposit|owealth|savings|target""),""Fixed Deposit"",IF(REGEXMATCH(LOWER(Raw_Data!C959),""airtime""),""Airtime"",IF(REGEXMATCH(LOWER(Raw_Data!C959),""electronic money transfer levy""),""Electronic Money Tr"&amp;"ansfer Levy"",IF(REGEXMATCH(LOWER(Raw_Data!C959),""transfer|trf|send""),""Transfer"",""Other"")))),""Other"")"),"Transfer")</f>
        <v>Transfer</v>
      </c>
      <c r="E953" s="20">
        <v>800.0</v>
      </c>
      <c r="F953" s="20">
        <v>0.0</v>
      </c>
      <c r="G953" s="12" t="str">
        <f t="shared" si="3"/>
        <v>Withdrawal</v>
      </c>
      <c r="H953" s="12" t="str">
        <f>TEXT(Raw_Data!A959,"hh:mm:ss")
</f>
        <v>12:30:46</v>
      </c>
      <c r="I953" s="20">
        <f t="shared" si="4"/>
        <v>800</v>
      </c>
    </row>
    <row r="954">
      <c r="A954" s="12" t="str">
        <f>Raw_Data!A960</f>
        <v>13 May 2025 12:33:54</v>
      </c>
      <c r="B954" s="12" t="str">
        <f t="shared" si="1"/>
        <v>May</v>
      </c>
      <c r="C954" s="12">
        <f t="shared" si="2"/>
        <v>5</v>
      </c>
      <c r="D954" s="12" t="str">
        <f>IFERROR(__xludf.DUMMYFUNCTION("IFERROR(IF(REGEXMATCH(LOWER(Raw_Data!C960),""fixed deposit|owealth|savings|target""),""Fixed Deposit"",IF(REGEXMATCH(LOWER(Raw_Data!C960),""airtime""),""Airtime"",IF(REGEXMATCH(LOWER(Raw_Data!C960),""electronic money transfer levy""),""Electronic Money Tr"&amp;"ansfer Levy"",IF(REGEXMATCH(LOWER(Raw_Data!C960),""transfer|trf|send""),""Transfer"",""Other"")))),""Other"")"),"Transfer")</f>
        <v>Transfer</v>
      </c>
      <c r="E954" s="20">
        <v>1050.0</v>
      </c>
      <c r="F954" s="20">
        <v>0.0</v>
      </c>
      <c r="G954" s="12" t="str">
        <f t="shared" si="3"/>
        <v>Withdrawal</v>
      </c>
      <c r="H954" s="12" t="str">
        <f>TEXT(Raw_Data!A960,"hh:mm:ss")
</f>
        <v>12:33:54</v>
      </c>
      <c r="I954" s="20">
        <f t="shared" si="4"/>
        <v>1050</v>
      </c>
    </row>
    <row r="955">
      <c r="A955" s="12" t="str">
        <f>Raw_Data!A961</f>
        <v>13 May 2025 19:28:09</v>
      </c>
      <c r="B955" s="12" t="str">
        <f t="shared" si="1"/>
        <v>May</v>
      </c>
      <c r="C955" s="12">
        <f t="shared" si="2"/>
        <v>5</v>
      </c>
      <c r="D955" s="12" t="str">
        <f>IFERROR(__xludf.DUMMYFUNCTION("IFERROR(IF(REGEXMATCH(LOWER(Raw_Data!C961),""fixed deposit|owealth|savings|target""),""Fixed Deposit"",IF(REGEXMATCH(LOWER(Raw_Data!C961),""airtime""),""Airtime"",IF(REGEXMATCH(LOWER(Raw_Data!C961),""electronic money transfer levy""),""Electronic Money Tr"&amp;"ansfer Levy"",IF(REGEXMATCH(LOWER(Raw_Data!C961),""transfer|trf|send""),""Transfer"",""Other"")))),""Other"")"),"Transfer")</f>
        <v>Transfer</v>
      </c>
      <c r="E955" s="20">
        <v>3200.0</v>
      </c>
      <c r="F955" s="20">
        <v>0.0</v>
      </c>
      <c r="G955" s="12" t="str">
        <f t="shared" si="3"/>
        <v>Withdrawal</v>
      </c>
      <c r="H955" s="12" t="str">
        <f>TEXT(Raw_Data!A961,"hh:mm:ss")
</f>
        <v>19:28:09</v>
      </c>
      <c r="I955" s="20">
        <f t="shared" si="4"/>
        <v>3200</v>
      </c>
    </row>
    <row r="956">
      <c r="A956" s="12" t="str">
        <f>Raw_Data!A962</f>
        <v>14 May 2025 09:41:27</v>
      </c>
      <c r="B956" s="12" t="str">
        <f t="shared" si="1"/>
        <v>May</v>
      </c>
      <c r="C956" s="12">
        <f t="shared" si="2"/>
        <v>5</v>
      </c>
      <c r="D956" s="12" t="str">
        <f>IFERROR(__xludf.DUMMYFUNCTION("IFERROR(IF(REGEXMATCH(LOWER(Raw_Data!C962),""fixed deposit|owealth|savings|target""),""Fixed Deposit"",IF(REGEXMATCH(LOWER(Raw_Data!C962),""airtime""),""Airtime"",IF(REGEXMATCH(LOWER(Raw_Data!C962),""electronic money transfer levy""),""Electronic Money Tr"&amp;"ansfer Levy"",IF(REGEXMATCH(LOWER(Raw_Data!C962),""transfer|trf|send""),""Transfer"",""Other"")))),""Other"")"),"Transfer")</f>
        <v>Transfer</v>
      </c>
      <c r="E956" s="20">
        <v>0.0</v>
      </c>
      <c r="F956" s="20">
        <v>2000.0</v>
      </c>
      <c r="G956" s="12" t="str">
        <f t="shared" si="3"/>
        <v>Deposit</v>
      </c>
      <c r="H956" s="12" t="str">
        <f>TEXT(Raw_Data!A962,"hh:mm:ss")
</f>
        <v>09:41:27</v>
      </c>
      <c r="I956" s="20">
        <f t="shared" si="4"/>
        <v>2000</v>
      </c>
    </row>
    <row r="957">
      <c r="A957" s="12" t="str">
        <f>Raw_Data!A963</f>
        <v>14 May 2025 10:29:08</v>
      </c>
      <c r="B957" s="12" t="str">
        <f t="shared" si="1"/>
        <v>May</v>
      </c>
      <c r="C957" s="12">
        <f t="shared" si="2"/>
        <v>5</v>
      </c>
      <c r="D957" s="12" t="str">
        <f>IFERROR(__xludf.DUMMYFUNCTION("IFERROR(IF(REGEXMATCH(LOWER(Raw_Data!C963),""fixed deposit|owealth|savings|target""),""Fixed Deposit"",IF(REGEXMATCH(LOWER(Raw_Data!C963),""airtime""),""Airtime"",IF(REGEXMATCH(LOWER(Raw_Data!C963),""electronic money transfer levy""),""Electronic Money Tr"&amp;"ansfer Levy"",IF(REGEXMATCH(LOWER(Raw_Data!C963),""transfer|trf|send""),""Transfer"",""Other"")))),""Other"")"),"Airtime")</f>
        <v>Airtime</v>
      </c>
      <c r="E957" s="20">
        <v>200.0</v>
      </c>
      <c r="F957" s="20">
        <v>0.0</v>
      </c>
      <c r="G957" s="12" t="str">
        <f t="shared" si="3"/>
        <v>Withdrawal</v>
      </c>
      <c r="H957" s="12" t="str">
        <f>TEXT(Raw_Data!A963,"hh:mm:ss")
</f>
        <v>10:29:08</v>
      </c>
      <c r="I957" s="20">
        <f t="shared" si="4"/>
        <v>200</v>
      </c>
    </row>
    <row r="958">
      <c r="A958" s="12" t="str">
        <f>Raw_Data!A964</f>
        <v>14 May 2025 10:55:12</v>
      </c>
      <c r="B958" s="12" t="str">
        <f t="shared" si="1"/>
        <v>May</v>
      </c>
      <c r="C958" s="12">
        <f t="shared" si="2"/>
        <v>5</v>
      </c>
      <c r="D958" s="12" t="str">
        <f>IFERROR(__xludf.DUMMYFUNCTION("IFERROR(IF(REGEXMATCH(LOWER(Raw_Data!C964),""fixed deposit|owealth|savings|target""),""Fixed Deposit"",IF(REGEXMATCH(LOWER(Raw_Data!C964),""airtime""),""Airtime"",IF(REGEXMATCH(LOWER(Raw_Data!C964),""electronic money transfer levy""),""Electronic Money Tr"&amp;"ansfer Levy"",IF(REGEXMATCH(LOWER(Raw_Data!C964),""transfer|trf|send""),""Transfer"",""Other"")))),""Other"")"),"Transfer")</f>
        <v>Transfer</v>
      </c>
      <c r="E958" s="20">
        <v>0.0</v>
      </c>
      <c r="F958" s="20">
        <v>1000.0</v>
      </c>
      <c r="G958" s="12" t="str">
        <f t="shared" si="3"/>
        <v>Deposit</v>
      </c>
      <c r="H958" s="12" t="str">
        <f>TEXT(Raw_Data!A964,"hh:mm:ss")
</f>
        <v>10:55:12</v>
      </c>
      <c r="I958" s="20">
        <f t="shared" si="4"/>
        <v>1000</v>
      </c>
    </row>
    <row r="959">
      <c r="A959" s="12" t="str">
        <f>Raw_Data!A965</f>
        <v>14 May 2025 13:54:01</v>
      </c>
      <c r="B959" s="12" t="str">
        <f t="shared" si="1"/>
        <v>May</v>
      </c>
      <c r="C959" s="12">
        <f t="shared" si="2"/>
        <v>5</v>
      </c>
      <c r="D959" s="12" t="str">
        <f>IFERROR(__xludf.DUMMYFUNCTION("IFERROR(IF(REGEXMATCH(LOWER(Raw_Data!C965),""fixed deposit|owealth|savings|target""),""Fixed Deposit"",IF(REGEXMATCH(LOWER(Raw_Data!C965),""airtime""),""Airtime"",IF(REGEXMATCH(LOWER(Raw_Data!C965),""electronic money transfer levy""),""Electronic Money Tr"&amp;"ansfer Levy"",IF(REGEXMATCH(LOWER(Raw_Data!C965),""transfer|trf|send""),""Transfer"",""Other"")))),""Other"")"),"Transfer")</f>
        <v>Transfer</v>
      </c>
      <c r="E959" s="20">
        <v>2000.0</v>
      </c>
      <c r="F959" s="20">
        <v>0.0</v>
      </c>
      <c r="G959" s="12" t="str">
        <f t="shared" si="3"/>
        <v>Withdrawal</v>
      </c>
      <c r="H959" s="12" t="str">
        <f>TEXT(Raw_Data!A965,"hh:mm:ss")
</f>
        <v>13:54:01</v>
      </c>
      <c r="I959" s="20">
        <f t="shared" si="4"/>
        <v>2000</v>
      </c>
    </row>
    <row r="960">
      <c r="A960" s="12" t="str">
        <f>Raw_Data!A966</f>
        <v>14 May 2025 19:20:31</v>
      </c>
      <c r="B960" s="12" t="str">
        <f t="shared" si="1"/>
        <v>May</v>
      </c>
      <c r="C960" s="12">
        <f t="shared" si="2"/>
        <v>5</v>
      </c>
      <c r="D960" s="12" t="str">
        <f>IFERROR(__xludf.DUMMYFUNCTION("IFERROR(IF(REGEXMATCH(LOWER(Raw_Data!C966),""fixed deposit|owealth|savings|target""),""Fixed Deposit"",IF(REGEXMATCH(LOWER(Raw_Data!C966),""airtime""),""Airtime"",IF(REGEXMATCH(LOWER(Raw_Data!C966),""electronic money transfer levy""),""Electronic Money Tr"&amp;"ansfer Levy"",IF(REGEXMATCH(LOWER(Raw_Data!C966),""transfer|trf|send""),""Transfer"",""Other"")))),""Other"")"),"Transfer")</f>
        <v>Transfer</v>
      </c>
      <c r="E960" s="20">
        <v>800.0</v>
      </c>
      <c r="F960" s="20">
        <v>0.0</v>
      </c>
      <c r="G960" s="12" t="str">
        <f t="shared" si="3"/>
        <v>Withdrawal</v>
      </c>
      <c r="H960" s="12" t="str">
        <f>TEXT(Raw_Data!A966,"hh:mm:ss")
</f>
        <v>19:20:31</v>
      </c>
      <c r="I960" s="20">
        <f t="shared" si="4"/>
        <v>800</v>
      </c>
    </row>
    <row r="961">
      <c r="A961" s="12" t="str">
        <f>Raw_Data!A967</f>
        <v>15 May 2025 08:28:39</v>
      </c>
      <c r="B961" s="12" t="str">
        <f t="shared" si="1"/>
        <v>May</v>
      </c>
      <c r="C961" s="12">
        <f t="shared" si="2"/>
        <v>5</v>
      </c>
      <c r="D961" s="12" t="str">
        <f>IFERROR(__xludf.DUMMYFUNCTION("IFERROR(IF(REGEXMATCH(LOWER(Raw_Data!C967),""fixed deposit|owealth|savings|target""),""Fixed Deposit"",IF(REGEXMATCH(LOWER(Raw_Data!C967),""airtime""),""Airtime"",IF(REGEXMATCH(LOWER(Raw_Data!C967),""electronic money transfer levy""),""Electronic Money Tr"&amp;"ansfer Levy"",IF(REGEXMATCH(LOWER(Raw_Data!C967),""transfer|trf|send""),""Transfer"",""Other"")))),""Other"")"),"Airtime")</f>
        <v>Airtime</v>
      </c>
      <c r="E961" s="20">
        <v>200.0</v>
      </c>
      <c r="F961" s="20">
        <v>0.0</v>
      </c>
      <c r="G961" s="12" t="str">
        <f t="shared" si="3"/>
        <v>Withdrawal</v>
      </c>
      <c r="H961" s="12" t="str">
        <f>TEXT(Raw_Data!A967,"hh:mm:ss")
</f>
        <v>08:28:39</v>
      </c>
      <c r="I961" s="20">
        <f t="shared" si="4"/>
        <v>200</v>
      </c>
    </row>
    <row r="962">
      <c r="A962" s="12" t="str">
        <f>Raw_Data!A968</f>
        <v>15 May 2025 13:53:19</v>
      </c>
      <c r="B962" s="12" t="str">
        <f t="shared" si="1"/>
        <v>May</v>
      </c>
      <c r="C962" s="12">
        <f t="shared" si="2"/>
        <v>5</v>
      </c>
      <c r="D962" s="12" t="str">
        <f>IFERROR(__xludf.DUMMYFUNCTION("IFERROR(IF(REGEXMATCH(LOWER(Raw_Data!C968),""fixed deposit|owealth|savings|target""),""Fixed Deposit"",IF(REGEXMATCH(LOWER(Raw_Data!C968),""airtime""),""Airtime"",IF(REGEXMATCH(LOWER(Raw_Data!C968),""electronic money transfer levy""),""Electronic Money Tr"&amp;"ansfer Levy"",IF(REGEXMATCH(LOWER(Raw_Data!C968),""transfer|trf|send""),""Transfer"",""Other"")))),""Other"")"),"Transfer")</f>
        <v>Transfer</v>
      </c>
      <c r="E962" s="20">
        <v>500.0</v>
      </c>
      <c r="F962" s="20">
        <v>0.0</v>
      </c>
      <c r="G962" s="12" t="str">
        <f t="shared" si="3"/>
        <v>Withdrawal</v>
      </c>
      <c r="H962" s="12" t="str">
        <f>TEXT(Raw_Data!A968,"hh:mm:ss")
</f>
        <v>13:53:19</v>
      </c>
      <c r="I962" s="20">
        <f t="shared" si="4"/>
        <v>500</v>
      </c>
    </row>
    <row r="963">
      <c r="A963" s="12" t="str">
        <f>Raw_Data!A969</f>
        <v>15 May 2025 18:55:42</v>
      </c>
      <c r="B963" s="12" t="str">
        <f t="shared" si="1"/>
        <v>May</v>
      </c>
      <c r="C963" s="12">
        <f t="shared" si="2"/>
        <v>5</v>
      </c>
      <c r="D963" s="12" t="str">
        <f>IFERROR(__xludf.DUMMYFUNCTION("IFERROR(IF(REGEXMATCH(LOWER(Raw_Data!C969),""fixed deposit|owealth|savings|target""),""Fixed Deposit"",IF(REGEXMATCH(LOWER(Raw_Data!C969),""airtime""),""Airtime"",IF(REGEXMATCH(LOWER(Raw_Data!C969),""electronic money transfer levy""),""Electronic Money Tr"&amp;"ansfer Levy"",IF(REGEXMATCH(LOWER(Raw_Data!C969),""transfer|trf|send""),""Transfer"",""Other"")))),""Other"")"),"Transfer")</f>
        <v>Transfer</v>
      </c>
      <c r="E963" s="20">
        <v>150.0</v>
      </c>
      <c r="F963" s="20">
        <v>0.0</v>
      </c>
      <c r="G963" s="12" t="str">
        <f t="shared" si="3"/>
        <v>Withdrawal</v>
      </c>
      <c r="H963" s="12" t="str">
        <f>TEXT(Raw_Data!A969,"hh:mm:ss")
</f>
        <v>18:55:42</v>
      </c>
      <c r="I963" s="20">
        <f t="shared" si="4"/>
        <v>150</v>
      </c>
    </row>
    <row r="964">
      <c r="A964" s="12" t="str">
        <f>Raw_Data!A970</f>
        <v>15 May 2025 23:00:21</v>
      </c>
      <c r="B964" s="12" t="str">
        <f t="shared" si="1"/>
        <v>May</v>
      </c>
      <c r="C964" s="12">
        <f t="shared" si="2"/>
        <v>5</v>
      </c>
      <c r="D964" s="12" t="str">
        <f>IFERROR(__xludf.DUMMYFUNCTION("IFERROR(IF(REGEXMATCH(LOWER(Raw_Data!C970),""fixed deposit|owealth|savings|target""),""Fixed Deposit"",IF(REGEXMATCH(LOWER(Raw_Data!C970),""airtime""),""Airtime"",IF(REGEXMATCH(LOWER(Raw_Data!C970),""electronic money transfer levy""),""Electronic Money Tr"&amp;"ansfer Levy"",IF(REGEXMATCH(LOWER(Raw_Data!C970),""transfer|trf|send""),""Transfer"",""Other"")))),""Other"")"),"Airtime")</f>
        <v>Airtime</v>
      </c>
      <c r="E964" s="20">
        <v>200.0</v>
      </c>
      <c r="F964" s="20">
        <v>0.0</v>
      </c>
      <c r="G964" s="12" t="str">
        <f t="shared" si="3"/>
        <v>Withdrawal</v>
      </c>
      <c r="H964" s="12" t="str">
        <f>TEXT(Raw_Data!A970,"hh:mm:ss")
</f>
        <v>23:00:21</v>
      </c>
      <c r="I964" s="20">
        <f t="shared" si="4"/>
        <v>200</v>
      </c>
    </row>
    <row r="965">
      <c r="A965" s="12" t="str">
        <f>Raw_Data!A971</f>
        <v>15 May 2025 23:38:44</v>
      </c>
      <c r="B965" s="12" t="str">
        <f t="shared" si="1"/>
        <v>May</v>
      </c>
      <c r="C965" s="12">
        <f t="shared" si="2"/>
        <v>5</v>
      </c>
      <c r="D965" s="12" t="str">
        <f>IFERROR(__xludf.DUMMYFUNCTION("IFERROR(IF(REGEXMATCH(LOWER(Raw_Data!C971),""fixed deposit|owealth|savings|target""),""Fixed Deposit"",IF(REGEXMATCH(LOWER(Raw_Data!C971),""airtime""),""Airtime"",IF(REGEXMATCH(LOWER(Raw_Data!C971),""electronic money transfer levy""),""Electronic Money Tr"&amp;"ansfer Levy"",IF(REGEXMATCH(LOWER(Raw_Data!C971),""transfer|trf|send""),""Transfer"",""Other"")))),""Other"")"),"Airtime")</f>
        <v>Airtime</v>
      </c>
      <c r="E965" s="20">
        <v>300.0</v>
      </c>
      <c r="F965" s="20">
        <v>0.0</v>
      </c>
      <c r="G965" s="12" t="str">
        <f t="shared" si="3"/>
        <v>Withdrawal</v>
      </c>
      <c r="H965" s="12" t="str">
        <f>TEXT(Raw_Data!A971,"hh:mm:ss")
</f>
        <v>23:38:44</v>
      </c>
      <c r="I965" s="20">
        <f t="shared" si="4"/>
        <v>300</v>
      </c>
    </row>
    <row r="966">
      <c r="A966" s="12" t="str">
        <f>Raw_Data!A972</f>
        <v>16 May 2025 12:28:51</v>
      </c>
      <c r="B966" s="12" t="str">
        <f t="shared" si="1"/>
        <v>May</v>
      </c>
      <c r="C966" s="12">
        <f t="shared" si="2"/>
        <v>5</v>
      </c>
      <c r="D966" s="12" t="str">
        <f>IFERROR(__xludf.DUMMYFUNCTION("IFERROR(IF(REGEXMATCH(LOWER(Raw_Data!C972),""fixed deposit|owealth|savings|target""),""Fixed Deposit"",IF(REGEXMATCH(LOWER(Raw_Data!C972),""airtime""),""Airtime"",IF(REGEXMATCH(LOWER(Raw_Data!C972),""electronic money transfer levy""),""Electronic Money Tr"&amp;"ansfer Levy"",IF(REGEXMATCH(LOWER(Raw_Data!C972),""transfer|trf|send""),""Transfer"",""Other"")))),""Other"")"),"Transfer")</f>
        <v>Transfer</v>
      </c>
      <c r="E966" s="20">
        <v>0.0</v>
      </c>
      <c r="F966" s="20">
        <v>5000.0</v>
      </c>
      <c r="G966" s="12" t="str">
        <f t="shared" si="3"/>
        <v>Deposit</v>
      </c>
      <c r="H966" s="12" t="str">
        <f>TEXT(Raw_Data!A972,"hh:mm:ss")
</f>
        <v>12:28:51</v>
      </c>
      <c r="I966" s="20">
        <f t="shared" si="4"/>
        <v>5000</v>
      </c>
    </row>
    <row r="967">
      <c r="A967" s="12" t="str">
        <f>Raw_Data!A973</f>
        <v>16 May 2025 18:20:47</v>
      </c>
      <c r="B967" s="12" t="str">
        <f t="shared" si="1"/>
        <v>May</v>
      </c>
      <c r="C967" s="12">
        <f t="shared" si="2"/>
        <v>5</v>
      </c>
      <c r="D967" s="12" t="str">
        <f>IFERROR(__xludf.DUMMYFUNCTION("IFERROR(IF(REGEXMATCH(LOWER(Raw_Data!C973),""fixed deposit|owealth|savings|target""),""Fixed Deposit"",IF(REGEXMATCH(LOWER(Raw_Data!C973),""airtime""),""Airtime"",IF(REGEXMATCH(LOWER(Raw_Data!C973),""electronic money transfer levy""),""Electronic Money Tr"&amp;"ansfer Levy"",IF(REGEXMATCH(LOWER(Raw_Data!C973),""transfer|trf|send""),""Transfer"",""Other"")))),""Other"")"),"Transfer")</f>
        <v>Transfer</v>
      </c>
      <c r="E967" s="20">
        <v>1550.0</v>
      </c>
      <c r="F967" s="20">
        <v>0.0</v>
      </c>
      <c r="G967" s="12" t="str">
        <f t="shared" si="3"/>
        <v>Withdrawal</v>
      </c>
      <c r="H967" s="12" t="str">
        <f>TEXT(Raw_Data!A973,"hh:mm:ss")
</f>
        <v>18:20:47</v>
      </c>
      <c r="I967" s="20">
        <f t="shared" si="4"/>
        <v>1550</v>
      </c>
    </row>
    <row r="968">
      <c r="A968" s="12" t="str">
        <f>Raw_Data!A974</f>
        <v>16 May 2025 18:37:19</v>
      </c>
      <c r="B968" s="12" t="str">
        <f t="shared" si="1"/>
        <v>May</v>
      </c>
      <c r="C968" s="12">
        <f t="shared" si="2"/>
        <v>5</v>
      </c>
      <c r="D968" s="12" t="str">
        <f>IFERROR(__xludf.DUMMYFUNCTION("IFERROR(IF(REGEXMATCH(LOWER(Raw_Data!C974),""fixed deposit|owealth|savings|target""),""Fixed Deposit"",IF(REGEXMATCH(LOWER(Raw_Data!C974),""airtime""),""Airtime"",IF(REGEXMATCH(LOWER(Raw_Data!C974),""electronic money transfer levy""),""Electronic Money Tr"&amp;"ansfer Levy"",IF(REGEXMATCH(LOWER(Raw_Data!C974),""transfer|trf|send""),""Transfer"",""Other"")))),""Other"")"),"Transfer")</f>
        <v>Transfer</v>
      </c>
      <c r="E968" s="20">
        <v>2600.0</v>
      </c>
      <c r="F968" s="20">
        <v>0.0</v>
      </c>
      <c r="G968" s="12" t="str">
        <f t="shared" si="3"/>
        <v>Withdrawal</v>
      </c>
      <c r="H968" s="12" t="str">
        <f>TEXT(Raw_Data!A974,"hh:mm:ss")
</f>
        <v>18:37:19</v>
      </c>
      <c r="I968" s="20">
        <f t="shared" si="4"/>
        <v>2600</v>
      </c>
    </row>
    <row r="969">
      <c r="A969" s="12" t="str">
        <f>Raw_Data!A975</f>
        <v>17 May 2025 07:14:40</v>
      </c>
      <c r="B969" s="12" t="str">
        <f t="shared" si="1"/>
        <v>May</v>
      </c>
      <c r="C969" s="12">
        <f t="shared" si="2"/>
        <v>5</v>
      </c>
      <c r="D969" s="12" t="str">
        <f>IFERROR(__xludf.DUMMYFUNCTION("IFERROR(IF(REGEXMATCH(LOWER(Raw_Data!C975),""fixed deposit|owealth|savings|target""),""Fixed Deposit"",IF(REGEXMATCH(LOWER(Raw_Data!C975),""airtime""),""Airtime"",IF(REGEXMATCH(LOWER(Raw_Data!C975),""electronic money transfer levy""),""Electronic Money Tr"&amp;"ansfer Levy"",IF(REGEXMATCH(LOWER(Raw_Data!C975),""transfer|trf|send""),""Transfer"",""Other"")))),""Other"")"),"Transfer")</f>
        <v>Transfer</v>
      </c>
      <c r="E969" s="20">
        <v>1600.0</v>
      </c>
      <c r="F969" s="20">
        <v>0.0</v>
      </c>
      <c r="G969" s="12" t="str">
        <f t="shared" si="3"/>
        <v>Withdrawal</v>
      </c>
      <c r="H969" s="12" t="str">
        <f>TEXT(Raw_Data!A975,"hh:mm:ss")
</f>
        <v>07:14:40</v>
      </c>
      <c r="I969" s="20">
        <f t="shared" si="4"/>
        <v>1600</v>
      </c>
    </row>
    <row r="970">
      <c r="A970" s="12" t="str">
        <f>Raw_Data!A976</f>
        <v>17 May 2025 08:03:52</v>
      </c>
      <c r="B970" s="12" t="str">
        <f t="shared" si="1"/>
        <v>May</v>
      </c>
      <c r="C970" s="12">
        <f t="shared" si="2"/>
        <v>5</v>
      </c>
      <c r="D970" s="12" t="str">
        <f>IFERROR(__xludf.DUMMYFUNCTION("IFERROR(IF(REGEXMATCH(LOWER(Raw_Data!C976),""fixed deposit|owealth|savings|target""),""Fixed Deposit"",IF(REGEXMATCH(LOWER(Raw_Data!C976),""airtime""),""Airtime"",IF(REGEXMATCH(LOWER(Raw_Data!C976),""electronic money transfer levy""),""Electronic Money Tr"&amp;"ansfer Levy"",IF(REGEXMATCH(LOWER(Raw_Data!C976),""transfer|trf|send""),""Transfer"",""Other"")))),""Other"")"),"Transfer")</f>
        <v>Transfer</v>
      </c>
      <c r="E970" s="20">
        <v>0.0</v>
      </c>
      <c r="F970" s="20">
        <v>2000.0</v>
      </c>
      <c r="G970" s="12" t="str">
        <f t="shared" si="3"/>
        <v>Deposit</v>
      </c>
      <c r="H970" s="12" t="str">
        <f>TEXT(Raw_Data!A976,"hh:mm:ss")
</f>
        <v>08:03:52</v>
      </c>
      <c r="I970" s="20">
        <f t="shared" si="4"/>
        <v>2000</v>
      </c>
    </row>
    <row r="971">
      <c r="A971" s="12" t="str">
        <f>Raw_Data!A977</f>
        <v>17 May 2025 08:46:54</v>
      </c>
      <c r="B971" s="12" t="str">
        <f t="shared" si="1"/>
        <v>May</v>
      </c>
      <c r="C971" s="12">
        <f t="shared" si="2"/>
        <v>5</v>
      </c>
      <c r="D971" s="12" t="str">
        <f>IFERROR(__xludf.DUMMYFUNCTION("IFERROR(IF(REGEXMATCH(LOWER(Raw_Data!C977),""fixed deposit|owealth|savings|target""),""Fixed Deposit"",IF(REGEXMATCH(LOWER(Raw_Data!C977),""airtime""),""Airtime"",IF(REGEXMATCH(LOWER(Raw_Data!C977),""electronic money transfer levy""),""Electronic Money Tr"&amp;"ansfer Levy"",IF(REGEXMATCH(LOWER(Raw_Data!C977),""transfer|trf|send""),""Transfer"",""Other"")))),""Other"")"),"Airtime")</f>
        <v>Airtime</v>
      </c>
      <c r="E971" s="20">
        <v>100.0</v>
      </c>
      <c r="F971" s="20">
        <v>0.0</v>
      </c>
      <c r="G971" s="12" t="str">
        <f t="shared" si="3"/>
        <v>Withdrawal</v>
      </c>
      <c r="H971" s="12" t="str">
        <f>TEXT(Raw_Data!A977,"hh:mm:ss")
</f>
        <v>08:46:54</v>
      </c>
      <c r="I971" s="20">
        <f t="shared" si="4"/>
        <v>100</v>
      </c>
    </row>
    <row r="972">
      <c r="A972" s="12" t="str">
        <f>Raw_Data!A978</f>
        <v>17 May 2025 13:27:17</v>
      </c>
      <c r="B972" s="12" t="str">
        <f t="shared" si="1"/>
        <v>May</v>
      </c>
      <c r="C972" s="12">
        <f t="shared" si="2"/>
        <v>5</v>
      </c>
      <c r="D972" s="12" t="str">
        <f>IFERROR(__xludf.DUMMYFUNCTION("IFERROR(IF(REGEXMATCH(LOWER(Raw_Data!C978),""fixed deposit|owealth|savings|target""),""Fixed Deposit"",IF(REGEXMATCH(LOWER(Raw_Data!C978),""airtime""),""Airtime"",IF(REGEXMATCH(LOWER(Raw_Data!C978),""electronic money transfer levy""),""Electronic Money Tr"&amp;"ansfer Levy"",IF(REGEXMATCH(LOWER(Raw_Data!C978),""transfer|trf|send""),""Transfer"",""Other"")))),""Other"")"),"Transfer")</f>
        <v>Transfer</v>
      </c>
      <c r="E972" s="20">
        <v>500.0</v>
      </c>
      <c r="F972" s="20">
        <v>0.0</v>
      </c>
      <c r="G972" s="12" t="str">
        <f t="shared" si="3"/>
        <v>Withdrawal</v>
      </c>
      <c r="H972" s="12" t="str">
        <f>TEXT(Raw_Data!A978,"hh:mm:ss")
</f>
        <v>13:27:17</v>
      </c>
      <c r="I972" s="20">
        <f t="shared" si="4"/>
        <v>500</v>
      </c>
    </row>
    <row r="973">
      <c r="A973" s="12" t="str">
        <f>Raw_Data!A979</f>
        <v>17 May 2025 16:41:55</v>
      </c>
      <c r="B973" s="12" t="str">
        <f t="shared" si="1"/>
        <v>May</v>
      </c>
      <c r="C973" s="12">
        <f t="shared" si="2"/>
        <v>5</v>
      </c>
      <c r="D973" s="12" t="str">
        <f>IFERROR(__xludf.DUMMYFUNCTION("IFERROR(IF(REGEXMATCH(LOWER(Raw_Data!C979),""fixed deposit|owealth|savings|target""),""Fixed Deposit"",IF(REGEXMATCH(LOWER(Raw_Data!C979),""airtime""),""Airtime"",IF(REGEXMATCH(LOWER(Raw_Data!C979),""electronic money transfer levy""),""Electronic Money Tr"&amp;"ansfer Levy"",IF(REGEXMATCH(LOWER(Raw_Data!C979),""transfer|trf|send""),""Transfer"",""Other"")))),""Other"")"),"Transfer")</f>
        <v>Transfer</v>
      </c>
      <c r="E973" s="20">
        <v>500.0</v>
      </c>
      <c r="F973" s="20">
        <v>0.0</v>
      </c>
      <c r="G973" s="12" t="str">
        <f t="shared" si="3"/>
        <v>Withdrawal</v>
      </c>
      <c r="H973" s="12" t="str">
        <f>TEXT(Raw_Data!A979,"hh:mm:ss")
</f>
        <v>16:41:55</v>
      </c>
      <c r="I973" s="20">
        <f t="shared" si="4"/>
        <v>500</v>
      </c>
    </row>
    <row r="974">
      <c r="A974" s="12" t="str">
        <f>Raw_Data!A980</f>
        <v>17 May 2025 16:55:28</v>
      </c>
      <c r="B974" s="12" t="str">
        <f t="shared" si="1"/>
        <v>May</v>
      </c>
      <c r="C974" s="12">
        <f t="shared" si="2"/>
        <v>5</v>
      </c>
      <c r="D974" s="12" t="str">
        <f>IFERROR(__xludf.DUMMYFUNCTION("IFERROR(IF(REGEXMATCH(LOWER(Raw_Data!C980),""fixed deposit|owealth|savings|target""),""Fixed Deposit"",IF(REGEXMATCH(LOWER(Raw_Data!C980),""airtime""),""Airtime"",IF(REGEXMATCH(LOWER(Raw_Data!C980),""electronic money transfer levy""),""Electronic Money Tr"&amp;"ansfer Levy"",IF(REGEXMATCH(LOWER(Raw_Data!C980),""transfer|trf|send""),""Transfer"",""Other"")))),""Other"")"),"Transfer")</f>
        <v>Transfer</v>
      </c>
      <c r="E974" s="20">
        <v>0.0</v>
      </c>
      <c r="F974" s="20">
        <v>450.0</v>
      </c>
      <c r="G974" s="12" t="str">
        <f t="shared" si="3"/>
        <v>Deposit</v>
      </c>
      <c r="H974" s="12" t="str">
        <f>TEXT(Raw_Data!A980,"hh:mm:ss")
</f>
        <v>16:55:28</v>
      </c>
      <c r="I974" s="20">
        <f t="shared" si="4"/>
        <v>450</v>
      </c>
    </row>
    <row r="975">
      <c r="A975" s="12" t="str">
        <f>Raw_Data!A981</f>
        <v>18 May 2025 08:23:50</v>
      </c>
      <c r="B975" s="12" t="str">
        <f t="shared" si="1"/>
        <v>May</v>
      </c>
      <c r="C975" s="12">
        <f t="shared" si="2"/>
        <v>5</v>
      </c>
      <c r="D975" s="12" t="str">
        <f>IFERROR(__xludf.DUMMYFUNCTION("IFERROR(IF(REGEXMATCH(LOWER(Raw_Data!C981),""fixed deposit|owealth|savings|target""),""Fixed Deposit"",IF(REGEXMATCH(LOWER(Raw_Data!C981),""airtime""),""Airtime"",IF(REGEXMATCH(LOWER(Raw_Data!C981),""electronic money transfer levy""),""Electronic Money Tr"&amp;"ansfer Levy"",IF(REGEXMATCH(LOWER(Raw_Data!C981),""transfer|trf|send""),""Transfer"",""Other"")))),""Other"")"),"Transfer")</f>
        <v>Transfer</v>
      </c>
      <c r="E975" s="20">
        <v>1500.0</v>
      </c>
      <c r="F975" s="20">
        <v>0.0</v>
      </c>
      <c r="G975" s="12" t="str">
        <f t="shared" si="3"/>
        <v>Withdrawal</v>
      </c>
      <c r="H975" s="12" t="str">
        <f>TEXT(Raw_Data!A981,"hh:mm:ss")
</f>
        <v>08:23:50</v>
      </c>
      <c r="I975" s="20">
        <f t="shared" si="4"/>
        <v>1500</v>
      </c>
    </row>
    <row r="976">
      <c r="A976" s="12" t="str">
        <f>Raw_Data!A982</f>
        <v>18 May 2025 15:46:56</v>
      </c>
      <c r="B976" s="12" t="str">
        <f t="shared" si="1"/>
        <v>May</v>
      </c>
      <c r="C976" s="12">
        <f t="shared" si="2"/>
        <v>5</v>
      </c>
      <c r="D976" s="12" t="str">
        <f>IFERROR(__xludf.DUMMYFUNCTION("IFERROR(IF(REGEXMATCH(LOWER(Raw_Data!C982),""fixed deposit|owealth|savings|target""),""Fixed Deposit"",IF(REGEXMATCH(LOWER(Raw_Data!C982),""airtime""),""Airtime"",IF(REGEXMATCH(LOWER(Raw_Data!C982),""electronic money transfer levy""),""Electronic Money Tr"&amp;"ansfer Levy"",IF(REGEXMATCH(LOWER(Raw_Data!C982),""transfer|trf|send""),""Transfer"",""Other"")))),""Other"")"),"Transfer")</f>
        <v>Transfer</v>
      </c>
      <c r="E976" s="20">
        <v>0.0</v>
      </c>
      <c r="F976" s="20">
        <v>5000.0</v>
      </c>
      <c r="G976" s="12" t="str">
        <f t="shared" si="3"/>
        <v>Deposit</v>
      </c>
      <c r="H976" s="12" t="str">
        <f>TEXT(Raw_Data!A982,"hh:mm:ss")
</f>
        <v>15:46:56</v>
      </c>
      <c r="I976" s="20">
        <f t="shared" si="4"/>
        <v>5000</v>
      </c>
    </row>
    <row r="977">
      <c r="A977" s="12" t="str">
        <f>Raw_Data!A983</f>
        <v>18 May 2025 16:13:00</v>
      </c>
      <c r="B977" s="12" t="str">
        <f t="shared" si="1"/>
        <v>May</v>
      </c>
      <c r="C977" s="12">
        <f t="shared" si="2"/>
        <v>5</v>
      </c>
      <c r="D977" s="12" t="str">
        <f>IFERROR(__xludf.DUMMYFUNCTION("IFERROR(IF(REGEXMATCH(LOWER(Raw_Data!C983),""fixed deposit|owealth|savings|target""),""Fixed Deposit"",IF(REGEXMATCH(LOWER(Raw_Data!C983),""airtime""),""Airtime"",IF(REGEXMATCH(LOWER(Raw_Data!C983),""electronic money transfer levy""),""Electronic Money Tr"&amp;"ansfer Levy"",IF(REGEXMATCH(LOWER(Raw_Data!C983),""transfer|trf|send""),""Transfer"",""Other"")))),""Other"")"),"Transfer")</f>
        <v>Transfer</v>
      </c>
      <c r="E977" s="20">
        <v>5100.0</v>
      </c>
      <c r="F977" s="20">
        <v>0.0</v>
      </c>
      <c r="G977" s="12" t="str">
        <f t="shared" si="3"/>
        <v>Withdrawal</v>
      </c>
      <c r="H977" s="12" t="str">
        <f>TEXT(Raw_Data!A983,"hh:mm:ss")
</f>
        <v>16:13:00</v>
      </c>
      <c r="I977" s="20">
        <f t="shared" si="4"/>
        <v>5100</v>
      </c>
    </row>
    <row r="978">
      <c r="A978" s="12" t="str">
        <f>Raw_Data!A984</f>
        <v>19 May 2025 18:29:30</v>
      </c>
      <c r="B978" s="12" t="str">
        <f t="shared" si="1"/>
        <v>May</v>
      </c>
      <c r="C978" s="12">
        <f t="shared" si="2"/>
        <v>5</v>
      </c>
      <c r="D978" s="12" t="str">
        <f>IFERROR(__xludf.DUMMYFUNCTION("IFERROR(IF(REGEXMATCH(LOWER(Raw_Data!C984),""fixed deposit|owealth|savings|target""),""Fixed Deposit"",IF(REGEXMATCH(LOWER(Raw_Data!C984),""airtime""),""Airtime"",IF(REGEXMATCH(LOWER(Raw_Data!C984),""electronic money transfer levy""),""Electronic Money Tr"&amp;"ansfer Levy"",IF(REGEXMATCH(LOWER(Raw_Data!C984),""transfer|trf|send""),""Transfer"",""Other"")))),""Other"")"),"Transfer")</f>
        <v>Transfer</v>
      </c>
      <c r="E978" s="20">
        <v>0.0</v>
      </c>
      <c r="F978" s="20">
        <v>2000.0</v>
      </c>
      <c r="G978" s="12" t="str">
        <f t="shared" si="3"/>
        <v>Deposit</v>
      </c>
      <c r="H978" s="12" t="str">
        <f>TEXT(Raw_Data!A984,"hh:mm:ss")
</f>
        <v>18:29:30</v>
      </c>
      <c r="I978" s="20">
        <f t="shared" si="4"/>
        <v>2000</v>
      </c>
    </row>
    <row r="979">
      <c r="A979" s="12" t="str">
        <f>Raw_Data!A985</f>
        <v>19 May 2025 18:40:09</v>
      </c>
      <c r="B979" s="12" t="str">
        <f t="shared" si="1"/>
        <v>May</v>
      </c>
      <c r="C979" s="12">
        <f t="shared" si="2"/>
        <v>5</v>
      </c>
      <c r="D979" s="12" t="str">
        <f>IFERROR(__xludf.DUMMYFUNCTION("IFERROR(IF(REGEXMATCH(LOWER(Raw_Data!C985),""fixed deposit|owealth|savings|target""),""Fixed Deposit"",IF(REGEXMATCH(LOWER(Raw_Data!C985),""airtime""),""Airtime"",IF(REGEXMATCH(LOWER(Raw_Data!C985),""electronic money transfer levy""),""Electronic Money Tr"&amp;"ansfer Levy"",IF(REGEXMATCH(LOWER(Raw_Data!C985),""transfer|trf|send""),""Transfer"",""Other"")))),""Other"")"),"Airtime")</f>
        <v>Airtime</v>
      </c>
      <c r="E979" s="20">
        <v>300.0</v>
      </c>
      <c r="F979" s="20">
        <v>0.0</v>
      </c>
      <c r="G979" s="12" t="str">
        <f t="shared" si="3"/>
        <v>Withdrawal</v>
      </c>
      <c r="H979" s="12" t="str">
        <f>TEXT(Raw_Data!A985,"hh:mm:ss")
</f>
        <v>18:40:09</v>
      </c>
      <c r="I979" s="20">
        <f t="shared" si="4"/>
        <v>300</v>
      </c>
    </row>
    <row r="980">
      <c r="A980" s="12" t="str">
        <f>Raw_Data!A986</f>
        <v>19 May 2025 18:46:37</v>
      </c>
      <c r="B980" s="12" t="str">
        <f t="shared" si="1"/>
        <v>May</v>
      </c>
      <c r="C980" s="12">
        <f t="shared" si="2"/>
        <v>5</v>
      </c>
      <c r="D980" s="12" t="str">
        <f>IFERROR(__xludf.DUMMYFUNCTION("IFERROR(IF(REGEXMATCH(LOWER(Raw_Data!C986),""fixed deposit|owealth|savings|target""),""Fixed Deposit"",IF(REGEXMATCH(LOWER(Raw_Data!C986),""airtime""),""Airtime"",IF(REGEXMATCH(LOWER(Raw_Data!C986),""electronic money transfer levy""),""Electronic Money Tr"&amp;"ansfer Levy"",IF(REGEXMATCH(LOWER(Raw_Data!C986),""transfer|trf|send""),""Transfer"",""Other"")))),""Other"")"),"Transfer")</f>
        <v>Transfer</v>
      </c>
      <c r="E980" s="20">
        <v>0.0</v>
      </c>
      <c r="F980" s="20">
        <v>2000.0</v>
      </c>
      <c r="G980" s="12" t="str">
        <f t="shared" si="3"/>
        <v>Deposit</v>
      </c>
      <c r="H980" s="12" t="str">
        <f>TEXT(Raw_Data!A986,"hh:mm:ss")
</f>
        <v>18:46:37</v>
      </c>
      <c r="I980" s="20">
        <f t="shared" si="4"/>
        <v>2000</v>
      </c>
    </row>
    <row r="981">
      <c r="A981" s="12" t="str">
        <f>Raw_Data!A987</f>
        <v>19 May 2025 18:50:14</v>
      </c>
      <c r="B981" s="12" t="str">
        <f t="shared" si="1"/>
        <v>May</v>
      </c>
      <c r="C981" s="12">
        <f t="shared" si="2"/>
        <v>5</v>
      </c>
      <c r="D981" s="12" t="str">
        <f>IFERROR(__xludf.DUMMYFUNCTION("IFERROR(IF(REGEXMATCH(LOWER(Raw_Data!C987),""fixed deposit|owealth|savings|target""),""Fixed Deposit"",IF(REGEXMATCH(LOWER(Raw_Data!C987),""airtime""),""Airtime"",IF(REGEXMATCH(LOWER(Raw_Data!C987),""electronic money transfer levy""),""Electronic Money Tr"&amp;"ansfer Levy"",IF(REGEXMATCH(LOWER(Raw_Data!C987),""transfer|trf|send""),""Transfer"",""Other"")))),""Other"")"),"Transfer")</f>
        <v>Transfer</v>
      </c>
      <c r="E981" s="20">
        <v>3600.0</v>
      </c>
      <c r="F981" s="20">
        <v>0.0</v>
      </c>
      <c r="G981" s="12" t="str">
        <f t="shared" si="3"/>
        <v>Withdrawal</v>
      </c>
      <c r="H981" s="12" t="str">
        <f>TEXT(Raw_Data!A987,"hh:mm:ss")
</f>
        <v>18:50:14</v>
      </c>
      <c r="I981" s="20">
        <f t="shared" si="4"/>
        <v>3600</v>
      </c>
    </row>
    <row r="982">
      <c r="A982" s="12" t="str">
        <f>Raw_Data!A988</f>
        <v>19 May 2025 19:16:19</v>
      </c>
      <c r="B982" s="12" t="str">
        <f t="shared" si="1"/>
        <v>May</v>
      </c>
      <c r="C982" s="12">
        <f t="shared" si="2"/>
        <v>5</v>
      </c>
      <c r="D982" s="12" t="str">
        <f>IFERROR(__xludf.DUMMYFUNCTION("IFERROR(IF(REGEXMATCH(LOWER(Raw_Data!C988),""fixed deposit|owealth|savings|target""),""Fixed Deposit"",IF(REGEXMATCH(LOWER(Raw_Data!C988),""airtime""),""Airtime"",IF(REGEXMATCH(LOWER(Raw_Data!C988),""electronic money transfer levy""),""Electronic Money Tr"&amp;"ansfer Levy"",IF(REGEXMATCH(LOWER(Raw_Data!C988),""transfer|trf|send""),""Transfer"",""Other"")))),""Other"")"),"Transfer")</f>
        <v>Transfer</v>
      </c>
      <c r="E982" s="20">
        <v>0.0</v>
      </c>
      <c r="F982" s="20">
        <v>600.0</v>
      </c>
      <c r="G982" s="12" t="str">
        <f t="shared" si="3"/>
        <v>Deposit</v>
      </c>
      <c r="H982" s="12" t="str">
        <f>TEXT(Raw_Data!A988,"hh:mm:ss")
</f>
        <v>19:16:19</v>
      </c>
      <c r="I982" s="20">
        <f t="shared" si="4"/>
        <v>600</v>
      </c>
    </row>
    <row r="983">
      <c r="A983" s="12" t="str">
        <f>Raw_Data!A989</f>
        <v>19 May 2025 19:18:24</v>
      </c>
      <c r="B983" s="12" t="str">
        <f t="shared" si="1"/>
        <v>May</v>
      </c>
      <c r="C983" s="12">
        <f t="shared" si="2"/>
        <v>5</v>
      </c>
      <c r="D983" s="12" t="str">
        <f>IFERROR(__xludf.DUMMYFUNCTION("IFERROR(IF(REGEXMATCH(LOWER(Raw_Data!C989),""fixed deposit|owealth|savings|target""),""Fixed Deposit"",IF(REGEXMATCH(LOWER(Raw_Data!C989),""airtime""),""Airtime"",IF(REGEXMATCH(LOWER(Raw_Data!C989),""electronic money transfer levy""),""Electronic Money Tr"&amp;"ansfer Levy"",IF(REGEXMATCH(LOWER(Raw_Data!C989),""transfer|trf|send""),""Transfer"",""Other"")))),""Other"")"),"Transfer")</f>
        <v>Transfer</v>
      </c>
      <c r="E983" s="20">
        <v>110.0</v>
      </c>
      <c r="F983" s="20">
        <v>0.0</v>
      </c>
      <c r="G983" s="12" t="str">
        <f t="shared" si="3"/>
        <v>Withdrawal</v>
      </c>
      <c r="H983" s="12" t="str">
        <f>TEXT(Raw_Data!A989,"hh:mm:ss")
</f>
        <v>19:18:24</v>
      </c>
      <c r="I983" s="20">
        <f t="shared" si="4"/>
        <v>110</v>
      </c>
    </row>
    <row r="984">
      <c r="A984" s="12" t="str">
        <f>Raw_Data!A990</f>
        <v>20 May 2025 16:11:47</v>
      </c>
      <c r="B984" s="12" t="str">
        <f t="shared" si="1"/>
        <v>May</v>
      </c>
      <c r="C984" s="12">
        <f t="shared" si="2"/>
        <v>5</v>
      </c>
      <c r="D984" s="12" t="str">
        <f>IFERROR(__xludf.DUMMYFUNCTION("IFERROR(IF(REGEXMATCH(LOWER(Raw_Data!C990),""fixed deposit|owealth|savings|target""),""Fixed Deposit"",IF(REGEXMATCH(LOWER(Raw_Data!C990),""airtime""),""Airtime"",IF(REGEXMATCH(LOWER(Raw_Data!C990),""electronic money transfer levy""),""Electronic Money Tr"&amp;"ansfer Levy"",IF(REGEXMATCH(LOWER(Raw_Data!C990),""transfer|trf|send""),""Transfer"",""Other"")))),""Other"")"),"Transfer")</f>
        <v>Transfer</v>
      </c>
      <c r="E984" s="20">
        <v>0.0</v>
      </c>
      <c r="F984" s="20">
        <v>1000.0</v>
      </c>
      <c r="G984" s="12" t="str">
        <f t="shared" si="3"/>
        <v>Deposit</v>
      </c>
      <c r="H984" s="12" t="str">
        <f>TEXT(Raw_Data!A990,"hh:mm:ss")
</f>
        <v>16:11:47</v>
      </c>
      <c r="I984" s="20">
        <f t="shared" si="4"/>
        <v>1000</v>
      </c>
    </row>
    <row r="985">
      <c r="A985" s="12" t="str">
        <f>Raw_Data!A991</f>
        <v>20 May 2025 16:47:02</v>
      </c>
      <c r="B985" s="12" t="str">
        <f t="shared" si="1"/>
        <v>May</v>
      </c>
      <c r="C985" s="12">
        <f t="shared" si="2"/>
        <v>5</v>
      </c>
      <c r="D985" s="12" t="str">
        <f>IFERROR(__xludf.DUMMYFUNCTION("IFERROR(IF(REGEXMATCH(LOWER(Raw_Data!C991),""fixed deposit|owealth|savings|target""),""Fixed Deposit"",IF(REGEXMATCH(LOWER(Raw_Data!C991),""airtime""),""Airtime"",IF(REGEXMATCH(LOWER(Raw_Data!C991),""electronic money transfer levy""),""Electronic Money Tr"&amp;"ansfer Levy"",IF(REGEXMATCH(LOWER(Raw_Data!C991),""transfer|trf|send""),""Transfer"",""Other"")))),""Other"")"),"Other")</f>
        <v>Other</v>
      </c>
      <c r="E985" s="20">
        <v>1500.0</v>
      </c>
      <c r="F985" s="20">
        <v>0.0</v>
      </c>
      <c r="G985" s="12" t="str">
        <f t="shared" si="3"/>
        <v>Withdrawal</v>
      </c>
      <c r="H985" s="12" t="str">
        <f>TEXT(Raw_Data!A991,"hh:mm:ss")
</f>
        <v>16:47:02</v>
      </c>
      <c r="I985" s="20">
        <f t="shared" si="4"/>
        <v>1500</v>
      </c>
    </row>
    <row r="986">
      <c r="A986" s="12" t="str">
        <f>Raw_Data!A992</f>
        <v>21 May 2025 12:11:39</v>
      </c>
      <c r="B986" s="12" t="str">
        <f t="shared" si="1"/>
        <v>May</v>
      </c>
      <c r="C986" s="12">
        <f t="shared" si="2"/>
        <v>5</v>
      </c>
      <c r="D986" s="12" t="str">
        <f>IFERROR(__xludf.DUMMYFUNCTION("IFERROR(IF(REGEXMATCH(LOWER(Raw_Data!C992),""fixed deposit|owealth|savings|target""),""Fixed Deposit"",IF(REGEXMATCH(LOWER(Raw_Data!C992),""airtime""),""Airtime"",IF(REGEXMATCH(LOWER(Raw_Data!C992),""electronic money transfer levy""),""Electronic Money Tr"&amp;"ansfer Levy"",IF(REGEXMATCH(LOWER(Raw_Data!C992),""transfer|trf|send""),""Transfer"",""Other"")))),""Other"")"),"Transfer")</f>
        <v>Transfer</v>
      </c>
      <c r="E986" s="20">
        <v>0.0</v>
      </c>
      <c r="F986" s="20">
        <v>1100.0</v>
      </c>
      <c r="G986" s="12" t="str">
        <f t="shared" si="3"/>
        <v>Deposit</v>
      </c>
      <c r="H986" s="12" t="str">
        <f>TEXT(Raw_Data!A992,"hh:mm:ss")
</f>
        <v>12:11:39</v>
      </c>
      <c r="I986" s="20">
        <f t="shared" si="4"/>
        <v>1100</v>
      </c>
    </row>
    <row r="987">
      <c r="A987" s="12" t="str">
        <f>Raw_Data!A993</f>
        <v>21 May 2025 12:29:49</v>
      </c>
      <c r="B987" s="12" t="str">
        <f t="shared" si="1"/>
        <v>May</v>
      </c>
      <c r="C987" s="12">
        <f t="shared" si="2"/>
        <v>5</v>
      </c>
      <c r="D987" s="12" t="str">
        <f>IFERROR(__xludf.DUMMYFUNCTION("IFERROR(IF(REGEXMATCH(LOWER(Raw_Data!C993),""fixed deposit|owealth|savings|target""),""Fixed Deposit"",IF(REGEXMATCH(LOWER(Raw_Data!C993),""airtime""),""Airtime"",IF(REGEXMATCH(LOWER(Raw_Data!C993),""electronic money transfer levy""),""Electronic Money Tr"&amp;"ansfer Levy"",IF(REGEXMATCH(LOWER(Raw_Data!C993),""transfer|trf|send""),""Transfer"",""Other"")))),""Other"")"),"Transfer")</f>
        <v>Transfer</v>
      </c>
      <c r="E987" s="20">
        <v>1050.0</v>
      </c>
      <c r="F987" s="20">
        <v>0.0</v>
      </c>
      <c r="G987" s="12" t="str">
        <f t="shared" si="3"/>
        <v>Withdrawal</v>
      </c>
      <c r="H987" s="12" t="str">
        <f>TEXT(Raw_Data!A993,"hh:mm:ss")
</f>
        <v>12:29:49</v>
      </c>
      <c r="I987" s="20">
        <f t="shared" si="4"/>
        <v>1050</v>
      </c>
    </row>
    <row r="988">
      <c r="A988" s="12" t="str">
        <f>Raw_Data!A994</f>
        <v>22 May 2025 04:27:22</v>
      </c>
      <c r="B988" s="12" t="str">
        <f t="shared" si="1"/>
        <v>May</v>
      </c>
      <c r="C988" s="12">
        <f t="shared" si="2"/>
        <v>5</v>
      </c>
      <c r="D988" s="12" t="str">
        <f>IFERROR(__xludf.DUMMYFUNCTION("IFERROR(IF(REGEXMATCH(LOWER(Raw_Data!C994),""fixed deposit|owealth|savings|target""),""Fixed Deposit"",IF(REGEXMATCH(LOWER(Raw_Data!C994),""airtime""),""Airtime"",IF(REGEXMATCH(LOWER(Raw_Data!C994),""electronic money transfer levy""),""Electronic Money Tr"&amp;"ansfer Levy"",IF(REGEXMATCH(LOWER(Raw_Data!C994),""transfer|trf|send""),""Transfer"",""Other"")))),""Other"")"),"Transfer")</f>
        <v>Transfer</v>
      </c>
      <c r="E988" s="20">
        <v>0.0</v>
      </c>
      <c r="F988" s="20">
        <v>19900.0</v>
      </c>
      <c r="G988" s="12" t="str">
        <f t="shared" si="3"/>
        <v>Deposit</v>
      </c>
      <c r="H988" s="12" t="str">
        <f>TEXT(Raw_Data!A994,"hh:mm:ss")
</f>
        <v>04:27:22</v>
      </c>
      <c r="I988" s="20">
        <f t="shared" si="4"/>
        <v>19900</v>
      </c>
    </row>
    <row r="989">
      <c r="A989" s="12" t="str">
        <f>Raw_Data!A995</f>
        <v>22 May 2025 04:27:23</v>
      </c>
      <c r="B989" s="12" t="str">
        <f t="shared" si="1"/>
        <v>May</v>
      </c>
      <c r="C989" s="12">
        <f t="shared" si="2"/>
        <v>5</v>
      </c>
      <c r="D989" s="12" t="str">
        <f>IFERROR(__xludf.DUMMYFUNCTION("IFERROR(IF(REGEXMATCH(LOWER(Raw_Data!C995),""fixed deposit|owealth|savings|target""),""Fixed Deposit"",IF(REGEXMATCH(LOWER(Raw_Data!C995),""airtime""),""Airtime"",IF(REGEXMATCH(LOWER(Raw_Data!C995),""electronic money transfer levy""),""Electronic Money Tr"&amp;"ansfer Levy"",IF(REGEXMATCH(LOWER(Raw_Data!C995),""transfer|trf|send""),""Transfer"",""Other"")))),""Other"")"),"Electronic Money Transfer Levy")</f>
        <v>Electronic Money Transfer Levy</v>
      </c>
      <c r="E989" s="20">
        <v>50.0</v>
      </c>
      <c r="F989" s="20">
        <v>0.0</v>
      </c>
      <c r="G989" s="12" t="str">
        <f t="shared" si="3"/>
        <v>Withdrawal</v>
      </c>
      <c r="H989" s="12" t="str">
        <f>TEXT(Raw_Data!A995,"hh:mm:ss")
</f>
        <v>04:27:23</v>
      </c>
      <c r="I989" s="20">
        <f t="shared" si="4"/>
        <v>50</v>
      </c>
    </row>
    <row r="990">
      <c r="A990" s="12" t="str">
        <f>Raw_Data!A996</f>
        <v>22 May 2025 04:28:26</v>
      </c>
      <c r="B990" s="12" t="str">
        <f t="shared" si="1"/>
        <v>May</v>
      </c>
      <c r="C990" s="12">
        <f t="shared" si="2"/>
        <v>5</v>
      </c>
      <c r="D990" s="12" t="str">
        <f>IFERROR(__xludf.DUMMYFUNCTION("IFERROR(IF(REGEXMATCH(LOWER(Raw_Data!C996),""fixed deposit|owealth|savings|target""),""Fixed Deposit"",IF(REGEXMATCH(LOWER(Raw_Data!C996),""airtime""),""Airtime"",IF(REGEXMATCH(LOWER(Raw_Data!C996),""electronic money transfer levy""),""Electronic Money Tr"&amp;"ansfer Levy"",IF(REGEXMATCH(LOWER(Raw_Data!C996),""transfer|trf|send""),""Transfer"",""Other"")))),""Other"")"),"Transfer")</f>
        <v>Transfer</v>
      </c>
      <c r="E990" s="20">
        <v>3000.0</v>
      </c>
      <c r="F990" s="20">
        <v>0.0</v>
      </c>
      <c r="G990" s="12" t="str">
        <f t="shared" si="3"/>
        <v>Withdrawal</v>
      </c>
      <c r="H990" s="12" t="str">
        <f>TEXT(Raw_Data!A996,"hh:mm:ss")
</f>
        <v>04:28:26</v>
      </c>
      <c r="I990" s="20">
        <f t="shared" si="4"/>
        <v>3000</v>
      </c>
    </row>
    <row r="991">
      <c r="A991" s="12" t="str">
        <f>Raw_Data!A997</f>
        <v>22 May 2025 05:07:32</v>
      </c>
      <c r="B991" s="12" t="str">
        <f t="shared" si="1"/>
        <v>May</v>
      </c>
      <c r="C991" s="12">
        <f t="shared" si="2"/>
        <v>5</v>
      </c>
      <c r="D991" s="12" t="str">
        <f>IFERROR(__xludf.DUMMYFUNCTION("IFERROR(IF(REGEXMATCH(LOWER(Raw_Data!C997),""fixed deposit|owealth|savings|target""),""Fixed Deposit"",IF(REGEXMATCH(LOWER(Raw_Data!C997),""airtime""),""Airtime"",IF(REGEXMATCH(LOWER(Raw_Data!C997),""electronic money transfer levy""),""Electronic Money Tr"&amp;"ansfer Levy"",IF(REGEXMATCH(LOWER(Raw_Data!C997),""transfer|trf|send""),""Transfer"",""Other"")))),""Other"")"),"Airtime")</f>
        <v>Airtime</v>
      </c>
      <c r="E991" s="20">
        <v>500.0</v>
      </c>
      <c r="F991" s="20">
        <v>0.0</v>
      </c>
      <c r="G991" s="12" t="str">
        <f t="shared" si="3"/>
        <v>Withdrawal</v>
      </c>
      <c r="H991" s="12" t="str">
        <f>TEXT(Raw_Data!A997,"hh:mm:ss")
</f>
        <v>05:07:32</v>
      </c>
      <c r="I991" s="20">
        <f t="shared" si="4"/>
        <v>500</v>
      </c>
    </row>
    <row r="992">
      <c r="A992" s="12" t="str">
        <f>Raw_Data!A998</f>
        <v>22 May 2025 07:10:47</v>
      </c>
      <c r="B992" s="12" t="str">
        <f t="shared" si="1"/>
        <v>May</v>
      </c>
      <c r="C992" s="12">
        <f t="shared" si="2"/>
        <v>5</v>
      </c>
      <c r="D992" s="12" t="str">
        <f>IFERROR(__xludf.DUMMYFUNCTION("IFERROR(IF(REGEXMATCH(LOWER(Raw_Data!C998),""fixed deposit|owealth|savings|target""),""Fixed Deposit"",IF(REGEXMATCH(LOWER(Raw_Data!C998),""airtime""),""Airtime"",IF(REGEXMATCH(LOWER(Raw_Data!C998),""electronic money transfer levy""),""Electronic Money Tr"&amp;"ansfer Levy"",IF(REGEXMATCH(LOWER(Raw_Data!C998),""transfer|trf|send""),""Transfer"",""Other"")))),""Other"")"),"Transfer")</f>
        <v>Transfer</v>
      </c>
      <c r="E992" s="20">
        <v>200.0</v>
      </c>
      <c r="F992" s="20">
        <v>0.0</v>
      </c>
      <c r="G992" s="12" t="str">
        <f t="shared" si="3"/>
        <v>Withdrawal</v>
      </c>
      <c r="H992" s="12" t="str">
        <f>TEXT(Raw_Data!A998,"hh:mm:ss")
</f>
        <v>07:10:47</v>
      </c>
      <c r="I992" s="20">
        <f t="shared" si="4"/>
        <v>200</v>
      </c>
    </row>
    <row r="993">
      <c r="A993" s="12" t="str">
        <f>Raw_Data!A999</f>
        <v>22 May 2025 09:00:47</v>
      </c>
      <c r="B993" s="12" t="str">
        <f t="shared" si="1"/>
        <v>May</v>
      </c>
      <c r="C993" s="12">
        <f t="shared" si="2"/>
        <v>5</v>
      </c>
      <c r="D993" s="12" t="str">
        <f>IFERROR(__xludf.DUMMYFUNCTION("IFERROR(IF(REGEXMATCH(LOWER(Raw_Data!C999),""fixed deposit|owealth|savings|target""),""Fixed Deposit"",IF(REGEXMATCH(LOWER(Raw_Data!C999),""airtime""),""Airtime"",IF(REGEXMATCH(LOWER(Raw_Data!C999),""electronic money transfer levy""),""Electronic Money Tr"&amp;"ansfer Levy"",IF(REGEXMATCH(LOWER(Raw_Data!C999),""transfer|trf|send""),""Transfer"",""Other"")))),""Other"")"),"Other")</f>
        <v>Other</v>
      </c>
      <c r="E993" s="20">
        <v>900.0</v>
      </c>
      <c r="F993" s="20">
        <v>0.0</v>
      </c>
      <c r="G993" s="12" t="str">
        <f t="shared" si="3"/>
        <v>Withdrawal</v>
      </c>
      <c r="H993" s="12" t="str">
        <f>TEXT(Raw_Data!A999,"hh:mm:ss")
</f>
        <v>09:00:47</v>
      </c>
      <c r="I993" s="20">
        <f t="shared" si="4"/>
        <v>900</v>
      </c>
    </row>
    <row r="994">
      <c r="A994" s="12" t="str">
        <f>Raw_Data!A1000</f>
        <v>22 May 2025 10:57:57</v>
      </c>
      <c r="B994" s="12" t="str">
        <f t="shared" si="1"/>
        <v>May</v>
      </c>
      <c r="C994" s="12">
        <f t="shared" si="2"/>
        <v>5</v>
      </c>
      <c r="D994" s="12" t="str">
        <f>IFERROR(__xludf.DUMMYFUNCTION("IFERROR(IF(REGEXMATCH(LOWER(Raw_Data!C1000),""fixed deposit|owealth|savings|target""),""Fixed Deposit"",IF(REGEXMATCH(LOWER(Raw_Data!C1000),""airtime""),""Airtime"",IF(REGEXMATCH(LOWER(Raw_Data!C1000),""electronic money transfer levy""),""Electronic Money"&amp;" Transfer Levy"",IF(REGEXMATCH(LOWER(Raw_Data!C1000),""transfer|trf|send""),""Transfer"",""Other"")))),""Other"")"),"Transfer")</f>
        <v>Transfer</v>
      </c>
      <c r="E994" s="20">
        <v>3100.0</v>
      </c>
      <c r="F994" s="20">
        <v>0.0</v>
      </c>
      <c r="G994" s="12" t="str">
        <f t="shared" si="3"/>
        <v>Withdrawal</v>
      </c>
      <c r="H994" s="12" t="str">
        <f>TEXT(Raw_Data!A1000,"hh:mm:ss")
</f>
        <v>10:57:57</v>
      </c>
      <c r="I994" s="20">
        <f t="shared" si="4"/>
        <v>3100</v>
      </c>
    </row>
    <row r="995">
      <c r="A995" s="12" t="str">
        <f>Raw_Data!A1001</f>
        <v>22 May 2025 13:35:27</v>
      </c>
      <c r="B995" s="12" t="str">
        <f t="shared" si="1"/>
        <v>May</v>
      </c>
      <c r="C995" s="12">
        <f t="shared" si="2"/>
        <v>5</v>
      </c>
      <c r="D995" s="12" t="str">
        <f>IFERROR(__xludf.DUMMYFUNCTION("IFERROR(IF(REGEXMATCH(LOWER(Raw_Data!C1001),""fixed deposit|owealth|savings|target""),""Fixed Deposit"",IF(REGEXMATCH(LOWER(Raw_Data!C1001),""airtime""),""Airtime"",IF(REGEXMATCH(LOWER(Raw_Data!C1001),""electronic money transfer levy""),""Electronic Money"&amp;" Transfer Levy"",IF(REGEXMATCH(LOWER(Raw_Data!C1001),""transfer|trf|send""),""Transfer"",""Other"")))),""Other"")"),"Transfer")</f>
        <v>Transfer</v>
      </c>
      <c r="E995" s="20">
        <v>1210.0</v>
      </c>
      <c r="F995" s="20">
        <v>0.0</v>
      </c>
      <c r="G995" s="12" t="str">
        <f t="shared" si="3"/>
        <v>Withdrawal</v>
      </c>
      <c r="H995" s="12" t="str">
        <f>TEXT(Raw_Data!A1001,"hh:mm:ss")
</f>
        <v>13:35:27</v>
      </c>
      <c r="I995" s="20">
        <f t="shared" si="4"/>
        <v>1210</v>
      </c>
    </row>
    <row r="996">
      <c r="A996" s="12" t="str">
        <f>Raw_Data!A1002</f>
        <v>23 May 2025 12:50:36</v>
      </c>
      <c r="B996" s="12" t="str">
        <f t="shared" si="1"/>
        <v>May</v>
      </c>
      <c r="C996" s="12">
        <f t="shared" si="2"/>
        <v>5</v>
      </c>
      <c r="D996" s="12" t="str">
        <f>IFERROR(__xludf.DUMMYFUNCTION("IFERROR(IF(REGEXMATCH(LOWER(Raw_Data!C1002),""fixed deposit|owealth|savings|target""),""Fixed Deposit"",IF(REGEXMATCH(LOWER(Raw_Data!C1002),""airtime""),""Airtime"",IF(REGEXMATCH(LOWER(Raw_Data!C1002),""electronic money transfer levy""),""Electronic Money"&amp;" Transfer Levy"",IF(REGEXMATCH(LOWER(Raw_Data!C1002),""transfer|trf|send""),""Transfer"",""Other"")))),""Other"")"),"Transfer")</f>
        <v>Transfer</v>
      </c>
      <c r="E996" s="20">
        <v>2100.0</v>
      </c>
      <c r="F996" s="20">
        <v>0.0</v>
      </c>
      <c r="G996" s="12" t="str">
        <f t="shared" si="3"/>
        <v>Withdrawal</v>
      </c>
      <c r="H996" s="12" t="str">
        <f>TEXT(Raw_Data!A1002,"hh:mm:ss")
</f>
        <v>12:50:36</v>
      </c>
      <c r="I996" s="20">
        <f t="shared" si="4"/>
        <v>2100</v>
      </c>
    </row>
    <row r="997">
      <c r="A997" s="12" t="str">
        <f>Raw_Data!A1003</f>
        <v>25 May 2025 07:44:59</v>
      </c>
      <c r="B997" s="12" t="str">
        <f t="shared" si="1"/>
        <v>May</v>
      </c>
      <c r="C997" s="12">
        <f t="shared" si="2"/>
        <v>5</v>
      </c>
      <c r="D997" s="12" t="str">
        <f>IFERROR(__xludf.DUMMYFUNCTION("IFERROR(IF(REGEXMATCH(LOWER(Raw_Data!C1003),""fixed deposit|owealth|savings|target""),""Fixed Deposit"",IF(REGEXMATCH(LOWER(Raw_Data!C1003),""airtime""),""Airtime"",IF(REGEXMATCH(LOWER(Raw_Data!C1003),""electronic money transfer levy""),""Electronic Money"&amp;" Transfer Levy"",IF(REGEXMATCH(LOWER(Raw_Data!C1003),""transfer|trf|send""),""Transfer"",""Other"")))),""Other"")"),"Airtime")</f>
        <v>Airtime</v>
      </c>
      <c r="E997" s="20">
        <v>900.0</v>
      </c>
      <c r="F997" s="20">
        <v>0.0</v>
      </c>
      <c r="G997" s="12" t="str">
        <f t="shared" si="3"/>
        <v>Withdrawal</v>
      </c>
      <c r="H997" s="12" t="str">
        <f>TEXT(Raw_Data!A1003,"hh:mm:ss")
</f>
        <v>07:44:59</v>
      </c>
      <c r="I997" s="20">
        <f t="shared" si="4"/>
        <v>900</v>
      </c>
    </row>
    <row r="998">
      <c r="A998" s="12" t="str">
        <f>Raw_Data!A1004</f>
        <v>25 May 2025 09:03:20</v>
      </c>
      <c r="B998" s="12" t="str">
        <f t="shared" si="1"/>
        <v>May</v>
      </c>
      <c r="C998" s="12">
        <f t="shared" si="2"/>
        <v>5</v>
      </c>
      <c r="D998" s="12" t="str">
        <f>IFERROR(__xludf.DUMMYFUNCTION("IFERROR(IF(REGEXMATCH(LOWER(Raw_Data!C1004),""fixed deposit|owealth|savings|target""),""Fixed Deposit"",IF(REGEXMATCH(LOWER(Raw_Data!C1004),""airtime""),""Airtime"",IF(REGEXMATCH(LOWER(Raw_Data!C1004),""electronic money transfer levy""),""Electronic Money"&amp;" Transfer Levy"",IF(REGEXMATCH(LOWER(Raw_Data!C1004),""transfer|trf|send""),""Transfer"",""Other"")))),""Other"")"),"Transfer")</f>
        <v>Transfer</v>
      </c>
      <c r="E998" s="20">
        <v>4000.0</v>
      </c>
      <c r="F998" s="20">
        <v>0.0</v>
      </c>
      <c r="G998" s="12" t="str">
        <f t="shared" si="3"/>
        <v>Withdrawal</v>
      </c>
      <c r="H998" s="12" t="str">
        <f>TEXT(Raw_Data!A1004,"hh:mm:ss")
</f>
        <v>09:03:20</v>
      </c>
      <c r="I998" s="20">
        <f t="shared" si="4"/>
        <v>4000</v>
      </c>
    </row>
    <row r="999">
      <c r="A999" s="12" t="str">
        <f>Raw_Data!A1005</f>
        <v>25 May 2025 15:07:43</v>
      </c>
      <c r="B999" s="12" t="str">
        <f t="shared" si="1"/>
        <v>May</v>
      </c>
      <c r="C999" s="12">
        <f t="shared" si="2"/>
        <v>5</v>
      </c>
      <c r="D999" s="12" t="str">
        <f>IFERROR(__xludf.DUMMYFUNCTION("IFERROR(IF(REGEXMATCH(LOWER(Raw_Data!C1005),""fixed deposit|owealth|savings|target""),""Fixed Deposit"",IF(REGEXMATCH(LOWER(Raw_Data!C1005),""airtime""),""Airtime"",IF(REGEXMATCH(LOWER(Raw_Data!C1005),""electronic money transfer levy""),""Electronic Money"&amp;" Transfer Levy"",IF(REGEXMATCH(LOWER(Raw_Data!C1005),""transfer|trf|send""),""Transfer"",""Other"")))),""Other"")"),"Transfer")</f>
        <v>Transfer</v>
      </c>
      <c r="E999" s="20">
        <v>0.0</v>
      </c>
      <c r="F999" s="20">
        <v>1000.0</v>
      </c>
      <c r="G999" s="12" t="str">
        <f t="shared" si="3"/>
        <v>Deposit</v>
      </c>
      <c r="H999" s="12" t="str">
        <f>TEXT(Raw_Data!A1005,"hh:mm:ss")
</f>
        <v>15:07:43</v>
      </c>
      <c r="I999" s="20">
        <f t="shared" si="4"/>
        <v>1000</v>
      </c>
    </row>
    <row r="1000">
      <c r="A1000" s="12" t="str">
        <f>Raw_Data!A1006</f>
        <v>25 May 2025 15:08:29</v>
      </c>
      <c r="B1000" s="12" t="str">
        <f t="shared" si="1"/>
        <v>May</v>
      </c>
      <c r="C1000" s="12">
        <f t="shared" si="2"/>
        <v>5</v>
      </c>
      <c r="D1000" s="12" t="str">
        <f>IFERROR(__xludf.DUMMYFUNCTION("IFERROR(IF(REGEXMATCH(LOWER(Raw_Data!C1006),""fixed deposit|owealth|savings|target""),""Fixed Deposit"",IF(REGEXMATCH(LOWER(Raw_Data!C1006),""airtime""),""Airtime"",IF(REGEXMATCH(LOWER(Raw_Data!C1006),""electronic money transfer levy""),""Electronic Money"&amp;" Transfer Levy"",IF(REGEXMATCH(LOWER(Raw_Data!C1006),""transfer|trf|send""),""Transfer"",""Other"")))),""Other"")"),"Transfer")</f>
        <v>Transfer</v>
      </c>
      <c r="E1000" s="20">
        <v>5000.0</v>
      </c>
      <c r="F1000" s="20">
        <v>0.0</v>
      </c>
      <c r="G1000" s="12" t="str">
        <f t="shared" si="3"/>
        <v>Withdrawal</v>
      </c>
      <c r="H1000" s="12" t="str">
        <f>TEXT(Raw_Data!A1006,"hh:mm:ss")
</f>
        <v>15:08:29</v>
      </c>
      <c r="I1000" s="20">
        <f t="shared" si="4"/>
        <v>5000</v>
      </c>
    </row>
    <row r="1001">
      <c r="A1001" s="12" t="str">
        <f>Raw_Data!A1007</f>
        <v>28 May 2025 09:46:30</v>
      </c>
      <c r="B1001" s="12" t="str">
        <f t="shared" si="1"/>
        <v>May</v>
      </c>
      <c r="C1001" s="12">
        <f t="shared" si="2"/>
        <v>5</v>
      </c>
      <c r="D1001" s="12" t="str">
        <f>IFERROR(__xludf.DUMMYFUNCTION("IFERROR(IF(REGEXMATCH(LOWER(Raw_Data!C1007),""fixed deposit|owealth|savings|target""),""Fixed Deposit"",IF(REGEXMATCH(LOWER(Raw_Data!C1007),""airtime""),""Airtime"",IF(REGEXMATCH(LOWER(Raw_Data!C1007),""electronic money transfer levy""),""Electronic Money"&amp;" Transfer Levy"",IF(REGEXMATCH(LOWER(Raw_Data!C1007),""transfer|trf|send""),""Transfer"",""Other"")))),""Other"")"),"Transfer")</f>
        <v>Transfer</v>
      </c>
      <c r="E1001" s="20">
        <v>0.0</v>
      </c>
      <c r="F1001" s="20">
        <v>2000.0</v>
      </c>
      <c r="G1001" s="12" t="str">
        <f t="shared" si="3"/>
        <v>Deposit</v>
      </c>
      <c r="H1001" s="12" t="str">
        <f>TEXT(Raw_Data!A1007,"hh:mm:ss")
</f>
        <v>09:46:30</v>
      </c>
      <c r="I1001" s="20">
        <f t="shared" si="4"/>
        <v>2000</v>
      </c>
    </row>
    <row r="1002">
      <c r="A1002" s="12" t="str">
        <f>Raw_Data!A1008</f>
        <v>28 May 2025 09:52:18</v>
      </c>
      <c r="B1002" s="12" t="str">
        <f t="shared" si="1"/>
        <v>May</v>
      </c>
      <c r="C1002" s="12">
        <f t="shared" si="2"/>
        <v>5</v>
      </c>
      <c r="D1002" s="12" t="str">
        <f>IFERROR(__xludf.DUMMYFUNCTION("IFERROR(IF(REGEXMATCH(LOWER(Raw_Data!C1008),""fixed deposit|owealth|savings|target""),""Fixed Deposit"",IF(REGEXMATCH(LOWER(Raw_Data!C1008),""airtime""),""Airtime"",IF(REGEXMATCH(LOWER(Raw_Data!C1008),""electronic money transfer levy""),""Electronic Money"&amp;" Transfer Levy"",IF(REGEXMATCH(LOWER(Raw_Data!C1008),""transfer|trf|send""),""Transfer"",""Other"")))),""Other"")"),"Other")</f>
        <v>Other</v>
      </c>
      <c r="E1002" s="20">
        <v>900.0</v>
      </c>
      <c r="F1002" s="20">
        <v>0.0</v>
      </c>
      <c r="G1002" s="12" t="str">
        <f t="shared" si="3"/>
        <v>Withdrawal</v>
      </c>
      <c r="H1002" s="12" t="str">
        <f>TEXT(Raw_Data!A1008,"hh:mm:ss")
</f>
        <v>09:52:18</v>
      </c>
      <c r="I1002" s="20">
        <f t="shared" si="4"/>
        <v>900</v>
      </c>
    </row>
    <row r="1003">
      <c r="A1003" s="12" t="str">
        <f>Raw_Data!A1009</f>
        <v>28 May 2025 13:04:50</v>
      </c>
      <c r="B1003" s="12" t="str">
        <f t="shared" si="1"/>
        <v>May</v>
      </c>
      <c r="C1003" s="12">
        <f t="shared" si="2"/>
        <v>5</v>
      </c>
      <c r="D1003" s="12" t="str">
        <f>IFERROR(__xludf.DUMMYFUNCTION("IFERROR(IF(REGEXMATCH(LOWER(Raw_Data!C1009),""fixed deposit|owealth|savings|target""),""Fixed Deposit"",IF(REGEXMATCH(LOWER(Raw_Data!C1009),""airtime""),""Airtime"",IF(REGEXMATCH(LOWER(Raw_Data!C1009),""electronic money transfer levy""),""Electronic Money"&amp;" Transfer Levy"",IF(REGEXMATCH(LOWER(Raw_Data!C1009),""transfer|trf|send""),""Transfer"",""Other"")))),""Other"")"),"Transfer")</f>
        <v>Transfer</v>
      </c>
      <c r="E1003" s="20">
        <v>0.0</v>
      </c>
      <c r="F1003" s="20">
        <v>1000.0</v>
      </c>
      <c r="G1003" s="12" t="str">
        <f t="shared" si="3"/>
        <v>Deposit</v>
      </c>
      <c r="H1003" s="12" t="str">
        <f>TEXT(Raw_Data!A1009,"hh:mm:ss")
</f>
        <v>13:04:50</v>
      </c>
      <c r="I1003" s="20">
        <f t="shared" si="4"/>
        <v>1000</v>
      </c>
    </row>
    <row r="1004">
      <c r="A1004" s="12" t="str">
        <f>Raw_Data!A1010</f>
        <v>28 May 2025 13:05:57</v>
      </c>
      <c r="B1004" s="12" t="str">
        <f t="shared" si="1"/>
        <v>May</v>
      </c>
      <c r="C1004" s="12">
        <f t="shared" si="2"/>
        <v>5</v>
      </c>
      <c r="D1004" s="12" t="str">
        <f>IFERROR(__xludf.DUMMYFUNCTION("IFERROR(IF(REGEXMATCH(LOWER(Raw_Data!C1010),""fixed deposit|owealth|savings|target""),""Fixed Deposit"",IF(REGEXMATCH(LOWER(Raw_Data!C1010),""airtime""),""Airtime"",IF(REGEXMATCH(LOWER(Raw_Data!C1010),""electronic money transfer levy""),""Electronic Money"&amp;" Transfer Levy"",IF(REGEXMATCH(LOWER(Raw_Data!C1010),""transfer|trf|send""),""Transfer"",""Other"")))),""Other"")"),"Transfer")</f>
        <v>Transfer</v>
      </c>
      <c r="E1004" s="20">
        <v>2100.0</v>
      </c>
      <c r="F1004" s="20">
        <v>0.0</v>
      </c>
      <c r="G1004" s="12" t="str">
        <f t="shared" si="3"/>
        <v>Withdrawal</v>
      </c>
      <c r="H1004" s="12" t="str">
        <f>TEXT(Raw_Data!A1010,"hh:mm:ss")
</f>
        <v>13:05:57</v>
      </c>
      <c r="I1004" s="20">
        <f t="shared" si="4"/>
        <v>2100</v>
      </c>
    </row>
    <row r="1005">
      <c r="A1005" s="12" t="str">
        <f>Raw_Data!A1011</f>
        <v>30 May 2025 21:17:02</v>
      </c>
      <c r="B1005" s="12" t="str">
        <f t="shared" si="1"/>
        <v>May</v>
      </c>
      <c r="C1005" s="12">
        <f t="shared" si="2"/>
        <v>5</v>
      </c>
      <c r="D1005" s="12" t="str">
        <f>IFERROR(__xludf.DUMMYFUNCTION("IFERROR(IF(REGEXMATCH(LOWER(Raw_Data!C1011),""fixed deposit|owealth|savings|target""),""Fixed Deposit"",IF(REGEXMATCH(LOWER(Raw_Data!C1011),""airtime""),""Airtime"",IF(REGEXMATCH(LOWER(Raw_Data!C1011),""electronic money transfer levy""),""Electronic Money"&amp;" Transfer Levy"",IF(REGEXMATCH(LOWER(Raw_Data!C1011),""transfer|trf|send""),""Transfer"",""Other"")))),""Other"")"),"Transfer")</f>
        <v>Transfer</v>
      </c>
      <c r="E1005" s="20">
        <v>0.0</v>
      </c>
      <c r="F1005" s="20">
        <v>1000.0</v>
      </c>
      <c r="G1005" s="12" t="str">
        <f t="shared" si="3"/>
        <v>Deposit</v>
      </c>
      <c r="H1005" s="12" t="str">
        <f>TEXT(Raw_Data!A1011,"hh:mm:ss")
</f>
        <v>21:17:02</v>
      </c>
      <c r="I1005" s="20">
        <f t="shared" si="4"/>
        <v>1000</v>
      </c>
    </row>
    <row r="1006">
      <c r="A1006" s="12" t="str">
        <f>Raw_Data!A1012</f>
        <v>31 May 2025 06:49:27</v>
      </c>
      <c r="B1006" s="12" t="str">
        <f t="shared" si="1"/>
        <v>May</v>
      </c>
      <c r="C1006" s="12">
        <f t="shared" si="2"/>
        <v>5</v>
      </c>
      <c r="D1006" s="12" t="str">
        <f>IFERROR(__xludf.DUMMYFUNCTION("IFERROR(IF(REGEXMATCH(LOWER(Raw_Data!C1012),""fixed deposit|owealth|savings|target""),""Fixed Deposit"",IF(REGEXMATCH(LOWER(Raw_Data!C1012),""airtime""),""Airtime"",IF(REGEXMATCH(LOWER(Raw_Data!C1012),""electronic money transfer levy""),""Electronic Money"&amp;" Transfer Levy"",IF(REGEXMATCH(LOWER(Raw_Data!C1012),""transfer|trf|send""),""Transfer"",""Other"")))),""Other"")"),"Transfer")</f>
        <v>Transfer</v>
      </c>
      <c r="E1006" s="20">
        <v>0.0</v>
      </c>
      <c r="F1006" s="20">
        <v>5000.0</v>
      </c>
      <c r="G1006" s="12" t="str">
        <f t="shared" si="3"/>
        <v>Deposit</v>
      </c>
      <c r="H1006" s="12" t="str">
        <f>TEXT(Raw_Data!A1012,"hh:mm:ss")
</f>
        <v>06:49:27</v>
      </c>
      <c r="I1006" s="20">
        <f t="shared" si="4"/>
        <v>5000</v>
      </c>
    </row>
    <row r="1007">
      <c r="A1007" s="12" t="str">
        <f>Raw_Data!A1013</f>
        <v>31 May 2025 06:56:54</v>
      </c>
      <c r="B1007" s="12" t="str">
        <f t="shared" si="1"/>
        <v>May</v>
      </c>
      <c r="C1007" s="12">
        <f t="shared" si="2"/>
        <v>5</v>
      </c>
      <c r="D1007" s="12" t="str">
        <f>IFERROR(__xludf.DUMMYFUNCTION("IFERROR(IF(REGEXMATCH(LOWER(Raw_Data!C1013),""fixed deposit|owealth|savings|target""),""Fixed Deposit"",IF(REGEXMATCH(LOWER(Raw_Data!C1013),""airtime""),""Airtime"",IF(REGEXMATCH(LOWER(Raw_Data!C1013),""electronic money transfer levy""),""Electronic Money"&amp;" Transfer Levy"",IF(REGEXMATCH(LOWER(Raw_Data!C1013),""transfer|trf|send""),""Transfer"",""Other"")))),""Other"")"),"Other")</f>
        <v>Other</v>
      </c>
      <c r="E1007" s="20">
        <v>900.0</v>
      </c>
      <c r="F1007" s="20">
        <v>0.0</v>
      </c>
      <c r="G1007" s="12" t="str">
        <f t="shared" si="3"/>
        <v>Withdrawal</v>
      </c>
      <c r="H1007" s="12" t="str">
        <f>TEXT(Raw_Data!A1013,"hh:mm:ss")
</f>
        <v>06:56:54</v>
      </c>
      <c r="I1007" s="20">
        <f t="shared" si="4"/>
        <v>900</v>
      </c>
    </row>
    <row r="1008">
      <c r="A1008" s="12" t="str">
        <f>Raw_Data!A1014</f>
        <v>31 May 2025 06:57:50</v>
      </c>
      <c r="B1008" s="12" t="str">
        <f t="shared" si="1"/>
        <v>May</v>
      </c>
      <c r="C1008" s="12">
        <f t="shared" si="2"/>
        <v>5</v>
      </c>
      <c r="D1008" s="12" t="str">
        <f>IFERROR(__xludf.DUMMYFUNCTION("IFERROR(IF(REGEXMATCH(LOWER(Raw_Data!C1014),""fixed deposit|owealth|savings|target""),""Fixed Deposit"",IF(REGEXMATCH(LOWER(Raw_Data!C1014),""airtime""),""Airtime"",IF(REGEXMATCH(LOWER(Raw_Data!C1014),""electronic money transfer levy""),""Electronic Money"&amp;" Transfer Levy"",IF(REGEXMATCH(LOWER(Raw_Data!C1014),""transfer|trf|send""),""Transfer"",""Other"")))),""Other"")"),"Airtime")</f>
        <v>Airtime</v>
      </c>
      <c r="E1008" s="20">
        <v>200.0</v>
      </c>
      <c r="F1008" s="20">
        <v>0.0</v>
      </c>
      <c r="G1008" s="12" t="str">
        <f t="shared" si="3"/>
        <v>Withdrawal</v>
      </c>
      <c r="H1008" s="12" t="str">
        <f>TEXT(Raw_Data!A1014,"hh:mm:ss")
</f>
        <v>06:57:50</v>
      </c>
      <c r="I1008" s="20">
        <f t="shared" si="4"/>
        <v>200</v>
      </c>
    </row>
    <row r="1009">
      <c r="A1009" s="12" t="str">
        <f>Raw_Data!A1015</f>
        <v>31 May 2025 10:00:48</v>
      </c>
      <c r="B1009" s="12" t="str">
        <f t="shared" si="1"/>
        <v>May</v>
      </c>
      <c r="C1009" s="12">
        <f t="shared" si="2"/>
        <v>5</v>
      </c>
      <c r="D1009" s="12" t="str">
        <f>IFERROR(__xludf.DUMMYFUNCTION("IFERROR(IF(REGEXMATCH(LOWER(Raw_Data!C1015),""fixed deposit|owealth|savings|target""),""Fixed Deposit"",IF(REGEXMATCH(LOWER(Raw_Data!C1015),""airtime""),""Airtime"",IF(REGEXMATCH(LOWER(Raw_Data!C1015),""electronic money transfer levy""),""Electronic Money"&amp;" Transfer Levy"",IF(REGEXMATCH(LOWER(Raw_Data!C1015),""transfer|trf|send""),""Transfer"",""Other"")))),""Other"")"),"Transfer")</f>
        <v>Transfer</v>
      </c>
      <c r="E1009" s="20">
        <v>4500.0</v>
      </c>
      <c r="F1009" s="20">
        <v>0.0</v>
      </c>
      <c r="G1009" s="12" t="str">
        <f t="shared" si="3"/>
        <v>Withdrawal</v>
      </c>
      <c r="H1009" s="12" t="str">
        <f>TEXT(Raw_Data!A1015,"hh:mm:ss")
</f>
        <v>10:00:48</v>
      </c>
      <c r="I1009" s="20">
        <f t="shared" si="4"/>
        <v>4500</v>
      </c>
    </row>
    <row r="1010">
      <c r="A1010" s="12" t="str">
        <f>Raw_Data!A1016</f>
        <v>01 Jun 2025 07:25:18</v>
      </c>
      <c r="B1010" s="12" t="str">
        <f t="shared" si="1"/>
        <v>June</v>
      </c>
      <c r="C1010" s="12">
        <f t="shared" si="2"/>
        <v>6</v>
      </c>
      <c r="D1010" s="12" t="str">
        <f>IFERROR(__xludf.DUMMYFUNCTION("IFERROR(IF(REGEXMATCH(LOWER(Raw_Data!C1016),""fixed deposit|owealth|savings|target""),""Fixed Deposit"",IF(REGEXMATCH(LOWER(Raw_Data!C1016),""airtime""),""Airtime"",IF(REGEXMATCH(LOWER(Raw_Data!C1016),""electronic money transfer levy""),""Electronic Money"&amp;" Transfer Levy"",IF(REGEXMATCH(LOWER(Raw_Data!C1016),""transfer|trf|send""),""Transfer"",""Other"")))),""Other"")"),"Airtime")</f>
        <v>Airtime</v>
      </c>
      <c r="E1010" s="20">
        <v>100.0</v>
      </c>
      <c r="F1010" s="20">
        <v>0.0</v>
      </c>
      <c r="G1010" s="12" t="str">
        <f t="shared" si="3"/>
        <v>Withdrawal</v>
      </c>
      <c r="H1010" s="12" t="str">
        <f>TEXT(Raw_Data!A1016,"hh:mm:ss")
</f>
        <v>07:25:18</v>
      </c>
      <c r="I1010" s="20">
        <f t="shared" si="4"/>
        <v>100</v>
      </c>
    </row>
    <row r="1011">
      <c r="A1011" s="12" t="str">
        <f>Raw_Data!A1017</f>
        <v>02 Jun 2025 13:34:59</v>
      </c>
      <c r="B1011" s="12" t="str">
        <f t="shared" si="1"/>
        <v>June</v>
      </c>
      <c r="C1011" s="12">
        <f t="shared" si="2"/>
        <v>6</v>
      </c>
      <c r="D1011" s="12" t="str">
        <f>IFERROR(__xludf.DUMMYFUNCTION("IFERROR(IF(REGEXMATCH(LOWER(Raw_Data!C1017),""fixed deposit|owealth|savings|target""),""Fixed Deposit"",IF(REGEXMATCH(LOWER(Raw_Data!C1017),""airtime""),""Airtime"",IF(REGEXMATCH(LOWER(Raw_Data!C1017),""electronic money transfer levy""),""Electronic Money"&amp;" Transfer Levy"",IF(REGEXMATCH(LOWER(Raw_Data!C1017),""transfer|trf|send""),""Transfer"",""Other"")))),""Other"")"),"Transfer")</f>
        <v>Transfer</v>
      </c>
      <c r="E1011" s="20">
        <v>0.0</v>
      </c>
      <c r="F1011" s="20">
        <v>3000.0</v>
      </c>
      <c r="G1011" s="12" t="str">
        <f t="shared" si="3"/>
        <v>Deposit</v>
      </c>
      <c r="H1011" s="12" t="str">
        <f>TEXT(Raw_Data!A1017,"hh:mm:ss")
</f>
        <v>13:34:59</v>
      </c>
      <c r="I1011" s="20">
        <f t="shared" si="4"/>
        <v>3000</v>
      </c>
    </row>
    <row r="1012">
      <c r="A1012" s="12" t="str">
        <f>Raw_Data!A1018</f>
        <v>02 Jun 2025 13:37:07</v>
      </c>
      <c r="B1012" s="12" t="str">
        <f t="shared" si="1"/>
        <v>June</v>
      </c>
      <c r="C1012" s="12">
        <f t="shared" si="2"/>
        <v>6</v>
      </c>
      <c r="D1012" s="12" t="str">
        <f>IFERROR(__xludf.DUMMYFUNCTION("IFERROR(IF(REGEXMATCH(LOWER(Raw_Data!C1018),""fixed deposit|owealth|savings|target""),""Fixed Deposit"",IF(REGEXMATCH(LOWER(Raw_Data!C1018),""airtime""),""Airtime"",IF(REGEXMATCH(LOWER(Raw_Data!C1018),""electronic money transfer levy""),""Electronic Money"&amp;" Transfer Levy"",IF(REGEXMATCH(LOWER(Raw_Data!C1018),""transfer|trf|send""),""Transfer"",""Other"")))),""Other"")"),"Transfer")</f>
        <v>Transfer</v>
      </c>
      <c r="E1012" s="20">
        <v>3100.0</v>
      </c>
      <c r="F1012" s="20">
        <v>0.0</v>
      </c>
      <c r="G1012" s="12" t="str">
        <f t="shared" si="3"/>
        <v>Withdrawal</v>
      </c>
      <c r="H1012" s="12" t="str">
        <f>TEXT(Raw_Data!A1018,"hh:mm:ss")
</f>
        <v>13:37:07</v>
      </c>
      <c r="I1012" s="20">
        <f t="shared" si="4"/>
        <v>3100</v>
      </c>
    </row>
    <row r="1013">
      <c r="A1013" s="12" t="str">
        <f>Raw_Data!A1019</f>
        <v>03 Jun 2025 04:48:43</v>
      </c>
      <c r="B1013" s="12" t="str">
        <f t="shared" si="1"/>
        <v>June</v>
      </c>
      <c r="C1013" s="12">
        <f t="shared" si="2"/>
        <v>6</v>
      </c>
      <c r="D1013" s="12" t="str">
        <f>IFERROR(__xludf.DUMMYFUNCTION("IFERROR(IF(REGEXMATCH(LOWER(Raw_Data!C1019),""fixed deposit|owealth|savings|target""),""Fixed Deposit"",IF(REGEXMATCH(LOWER(Raw_Data!C1019),""airtime""),""Airtime"",IF(REGEXMATCH(LOWER(Raw_Data!C1019),""electronic money transfer levy""),""Electronic Money"&amp;" Transfer Levy"",IF(REGEXMATCH(LOWER(Raw_Data!C1019),""transfer|trf|send""),""Transfer"",""Other"")))),""Other"")"),"Transfer")</f>
        <v>Transfer</v>
      </c>
      <c r="E1013" s="20">
        <v>0.0</v>
      </c>
      <c r="F1013" s="20">
        <v>50000.0</v>
      </c>
      <c r="G1013" s="12" t="str">
        <f t="shared" si="3"/>
        <v>Deposit</v>
      </c>
      <c r="H1013" s="12" t="str">
        <f>TEXT(Raw_Data!A1019,"hh:mm:ss")
</f>
        <v>04:48:43</v>
      </c>
      <c r="I1013" s="20">
        <f t="shared" si="4"/>
        <v>50000</v>
      </c>
    </row>
    <row r="1014">
      <c r="A1014" s="12" t="str">
        <f>Raw_Data!A1020</f>
        <v>03 Jun 2025 04:48:45</v>
      </c>
      <c r="B1014" s="12" t="str">
        <f t="shared" si="1"/>
        <v>June</v>
      </c>
      <c r="C1014" s="12">
        <f t="shared" si="2"/>
        <v>6</v>
      </c>
      <c r="D1014" s="12" t="str">
        <f>IFERROR(__xludf.DUMMYFUNCTION("IFERROR(IF(REGEXMATCH(LOWER(Raw_Data!C1020),""fixed deposit|owealth|savings|target""),""Fixed Deposit"",IF(REGEXMATCH(LOWER(Raw_Data!C1020),""airtime""),""Airtime"",IF(REGEXMATCH(LOWER(Raw_Data!C1020),""electronic money transfer levy""),""Electronic Money"&amp;" Transfer Levy"",IF(REGEXMATCH(LOWER(Raw_Data!C1020),""transfer|trf|send""),""Transfer"",""Other"")))),""Other"")"),"Electronic Money Transfer Levy")</f>
        <v>Electronic Money Transfer Levy</v>
      </c>
      <c r="E1014" s="20">
        <v>50.0</v>
      </c>
      <c r="F1014" s="20">
        <v>0.0</v>
      </c>
      <c r="G1014" s="12" t="str">
        <f t="shared" si="3"/>
        <v>Withdrawal</v>
      </c>
      <c r="H1014" s="12" t="str">
        <f>TEXT(Raw_Data!A1020,"hh:mm:ss")
</f>
        <v>04:48:45</v>
      </c>
      <c r="I1014" s="20">
        <f t="shared" si="4"/>
        <v>50</v>
      </c>
    </row>
    <row r="1015">
      <c r="A1015" s="12" t="str">
        <f>Raw_Data!A1021</f>
        <v>03 Jun 2025 06:08:22</v>
      </c>
      <c r="B1015" s="12" t="str">
        <f t="shared" si="1"/>
        <v>June</v>
      </c>
      <c r="C1015" s="12">
        <f t="shared" si="2"/>
        <v>6</v>
      </c>
      <c r="D1015" s="12" t="str">
        <f>IFERROR(__xludf.DUMMYFUNCTION("IFERROR(IF(REGEXMATCH(LOWER(Raw_Data!C1021),""fixed deposit|owealth|savings|target""),""Fixed Deposit"",IF(REGEXMATCH(LOWER(Raw_Data!C1021),""airtime""),""Airtime"",IF(REGEXMATCH(LOWER(Raw_Data!C1021),""electronic money transfer levy""),""Electronic Money"&amp;" Transfer Levy"",IF(REGEXMATCH(LOWER(Raw_Data!C1021),""transfer|trf|send""),""Transfer"",""Other"")))),""Other"")"),"Other")</f>
        <v>Other</v>
      </c>
      <c r="E1015" s="20">
        <v>13469.0</v>
      </c>
      <c r="F1015" s="20">
        <v>0.0</v>
      </c>
      <c r="G1015" s="12" t="str">
        <f t="shared" si="3"/>
        <v>Withdrawal</v>
      </c>
      <c r="H1015" s="12" t="str">
        <f>TEXT(Raw_Data!A1021,"hh:mm:ss")
</f>
        <v>06:08:22</v>
      </c>
      <c r="I1015" s="20">
        <f t="shared" si="4"/>
        <v>13469</v>
      </c>
    </row>
    <row r="1016">
      <c r="A1016" s="12" t="str">
        <f>Raw_Data!A1022</f>
        <v>03 Jun 2025 07:00:15</v>
      </c>
      <c r="B1016" s="12" t="str">
        <f t="shared" si="1"/>
        <v>June</v>
      </c>
      <c r="C1016" s="12">
        <f t="shared" si="2"/>
        <v>6</v>
      </c>
      <c r="D1016" s="12" t="str">
        <f>IFERROR(__xludf.DUMMYFUNCTION("IFERROR(IF(REGEXMATCH(LOWER(Raw_Data!C1022),""fixed deposit|owealth|savings|target""),""Fixed Deposit"",IF(REGEXMATCH(LOWER(Raw_Data!C1022),""airtime""),""Airtime"",IF(REGEXMATCH(LOWER(Raw_Data!C1022),""electronic money transfer levy""),""Electronic Money"&amp;" Transfer Levy"",IF(REGEXMATCH(LOWER(Raw_Data!C1022),""transfer|trf|send""),""Transfer"",""Other"")))),""Other"")"),"Transfer")</f>
        <v>Transfer</v>
      </c>
      <c r="E1016" s="20">
        <v>800.0</v>
      </c>
      <c r="F1016" s="20">
        <v>0.0</v>
      </c>
      <c r="G1016" s="12" t="str">
        <f t="shared" si="3"/>
        <v>Withdrawal</v>
      </c>
      <c r="H1016" s="12" t="str">
        <f>TEXT(Raw_Data!A1022,"hh:mm:ss")
</f>
        <v>07:00:15</v>
      </c>
      <c r="I1016" s="20">
        <f t="shared" si="4"/>
        <v>800</v>
      </c>
    </row>
    <row r="1017">
      <c r="A1017" s="12" t="str">
        <f>Raw_Data!A1023</f>
        <v>03 Jun 2025 07:25:30</v>
      </c>
      <c r="B1017" s="12" t="str">
        <f t="shared" si="1"/>
        <v>June</v>
      </c>
      <c r="C1017" s="12">
        <f t="shared" si="2"/>
        <v>6</v>
      </c>
      <c r="D1017" s="12" t="str">
        <f>IFERROR(__xludf.DUMMYFUNCTION("IFERROR(IF(REGEXMATCH(LOWER(Raw_Data!C1023),""fixed deposit|owealth|savings|target""),""Fixed Deposit"",IF(REGEXMATCH(LOWER(Raw_Data!C1023),""airtime""),""Airtime"",IF(REGEXMATCH(LOWER(Raw_Data!C1023),""electronic money transfer levy""),""Electronic Money"&amp;" Transfer Levy"",IF(REGEXMATCH(LOWER(Raw_Data!C1023),""transfer|trf|send""),""Transfer"",""Other"")))),""Other"")"),"Transfer")</f>
        <v>Transfer</v>
      </c>
      <c r="E1017" s="20">
        <v>3000.0</v>
      </c>
      <c r="F1017" s="20">
        <v>0.0</v>
      </c>
      <c r="G1017" s="12" t="str">
        <f t="shared" si="3"/>
        <v>Withdrawal</v>
      </c>
      <c r="H1017" s="12" t="str">
        <f>TEXT(Raw_Data!A1023,"hh:mm:ss")
</f>
        <v>07:25:30</v>
      </c>
      <c r="I1017" s="20">
        <f t="shared" si="4"/>
        <v>3000</v>
      </c>
    </row>
    <row r="1018">
      <c r="A1018" s="12" t="str">
        <f>Raw_Data!A1024</f>
        <v>03 Jun 2025 07:31:32</v>
      </c>
      <c r="B1018" s="12" t="str">
        <f t="shared" si="1"/>
        <v>June</v>
      </c>
      <c r="C1018" s="12">
        <f t="shared" si="2"/>
        <v>6</v>
      </c>
      <c r="D1018" s="12" t="str">
        <f>IFERROR(__xludf.DUMMYFUNCTION("IFERROR(IF(REGEXMATCH(LOWER(Raw_Data!C1024),""fixed deposit|owealth|savings|target""),""Fixed Deposit"",IF(REGEXMATCH(LOWER(Raw_Data!C1024),""airtime""),""Airtime"",IF(REGEXMATCH(LOWER(Raw_Data!C1024),""electronic money transfer levy""),""Electronic Money"&amp;" Transfer Levy"",IF(REGEXMATCH(LOWER(Raw_Data!C1024),""transfer|trf|send""),""Transfer"",""Other"")))),""Other"")"),"Transfer")</f>
        <v>Transfer</v>
      </c>
      <c r="E1018" s="20">
        <v>450.0</v>
      </c>
      <c r="F1018" s="20">
        <v>0.0</v>
      </c>
      <c r="G1018" s="12" t="str">
        <f t="shared" si="3"/>
        <v>Withdrawal</v>
      </c>
      <c r="H1018" s="12" t="str">
        <f>TEXT(Raw_Data!A1024,"hh:mm:ss")
</f>
        <v>07:31:32</v>
      </c>
      <c r="I1018" s="20">
        <f t="shared" si="4"/>
        <v>450</v>
      </c>
    </row>
    <row r="1019">
      <c r="A1019" s="12" t="str">
        <f>Raw_Data!A1025</f>
        <v>03 Jun 2025 07:57:13</v>
      </c>
      <c r="B1019" s="12" t="str">
        <f t="shared" si="1"/>
        <v>June</v>
      </c>
      <c r="C1019" s="12">
        <f t="shared" si="2"/>
        <v>6</v>
      </c>
      <c r="D1019" s="12" t="str">
        <f>IFERROR(__xludf.DUMMYFUNCTION("IFERROR(IF(REGEXMATCH(LOWER(Raw_Data!C1025),""fixed deposit|owealth|savings|target""),""Fixed Deposit"",IF(REGEXMATCH(LOWER(Raw_Data!C1025),""airtime""),""Airtime"",IF(REGEXMATCH(LOWER(Raw_Data!C1025),""electronic money transfer levy""),""Electronic Money"&amp;" Transfer Levy"",IF(REGEXMATCH(LOWER(Raw_Data!C1025),""transfer|trf|send""),""Transfer"",""Other"")))),""Other"")"),"Transfer")</f>
        <v>Transfer</v>
      </c>
      <c r="E1019" s="20">
        <v>9000.0</v>
      </c>
      <c r="F1019" s="20">
        <v>0.0</v>
      </c>
      <c r="G1019" s="12" t="str">
        <f t="shared" si="3"/>
        <v>Withdrawal</v>
      </c>
      <c r="H1019" s="12" t="str">
        <f>TEXT(Raw_Data!A1025,"hh:mm:ss")
</f>
        <v>07:57:13</v>
      </c>
      <c r="I1019" s="20">
        <f t="shared" si="4"/>
        <v>9000</v>
      </c>
    </row>
    <row r="1020">
      <c r="A1020" s="12" t="str">
        <f>Raw_Data!A1026</f>
        <v>03 Jun 2025 08:25:25</v>
      </c>
      <c r="B1020" s="12" t="str">
        <f t="shared" si="1"/>
        <v>June</v>
      </c>
      <c r="C1020" s="12">
        <f t="shared" si="2"/>
        <v>6</v>
      </c>
      <c r="D1020" s="12" t="str">
        <f>IFERROR(__xludf.DUMMYFUNCTION("IFERROR(IF(REGEXMATCH(LOWER(Raw_Data!C1026),""fixed deposit|owealth|savings|target""),""Fixed Deposit"",IF(REGEXMATCH(LOWER(Raw_Data!C1026),""airtime""),""Airtime"",IF(REGEXMATCH(LOWER(Raw_Data!C1026),""electronic money transfer levy""),""Electronic Money"&amp;" Transfer Levy"",IF(REGEXMATCH(LOWER(Raw_Data!C1026),""transfer|trf|send""),""Transfer"",""Other"")))),""Other"")"),"Transfer")</f>
        <v>Transfer</v>
      </c>
      <c r="E1020" s="20">
        <v>500.0</v>
      </c>
      <c r="F1020" s="20">
        <v>0.0</v>
      </c>
      <c r="G1020" s="12" t="str">
        <f t="shared" si="3"/>
        <v>Withdrawal</v>
      </c>
      <c r="H1020" s="12" t="str">
        <f>TEXT(Raw_Data!A1026,"hh:mm:ss")
</f>
        <v>08:25:25</v>
      </c>
      <c r="I1020" s="20">
        <f t="shared" si="4"/>
        <v>500</v>
      </c>
    </row>
    <row r="1021">
      <c r="A1021" s="12" t="str">
        <f>Raw_Data!A1027</f>
        <v>03 Jun 2025 13:09:26</v>
      </c>
      <c r="B1021" s="12" t="str">
        <f t="shared" si="1"/>
        <v>June</v>
      </c>
      <c r="C1021" s="12">
        <f t="shared" si="2"/>
        <v>6</v>
      </c>
      <c r="D1021" s="12" t="str">
        <f>IFERROR(__xludf.DUMMYFUNCTION("IFERROR(IF(REGEXMATCH(LOWER(Raw_Data!C1027),""fixed deposit|owealth|savings|target""),""Fixed Deposit"",IF(REGEXMATCH(LOWER(Raw_Data!C1027),""airtime""),""Airtime"",IF(REGEXMATCH(LOWER(Raw_Data!C1027),""electronic money transfer levy""),""Electronic Money"&amp;" Transfer Levy"",IF(REGEXMATCH(LOWER(Raw_Data!C1027),""transfer|trf|send""),""Transfer"",""Other"")))),""Other"")"),"Transfer")</f>
        <v>Transfer</v>
      </c>
      <c r="E1021" s="20">
        <v>500.0</v>
      </c>
      <c r="F1021" s="20">
        <v>0.0</v>
      </c>
      <c r="G1021" s="12" t="str">
        <f t="shared" si="3"/>
        <v>Withdrawal</v>
      </c>
      <c r="H1021" s="12" t="str">
        <f>TEXT(Raw_Data!A1027,"hh:mm:ss")
</f>
        <v>13:09:26</v>
      </c>
      <c r="I1021" s="20">
        <f t="shared" si="4"/>
        <v>500</v>
      </c>
    </row>
    <row r="1022">
      <c r="A1022" s="12" t="str">
        <f>Raw_Data!A1028</f>
        <v>03 Jun 2025 13:10:11</v>
      </c>
      <c r="B1022" s="12" t="str">
        <f t="shared" si="1"/>
        <v>June</v>
      </c>
      <c r="C1022" s="12">
        <f t="shared" si="2"/>
        <v>6</v>
      </c>
      <c r="D1022" s="12" t="str">
        <f>IFERROR(__xludf.DUMMYFUNCTION("IFERROR(IF(REGEXMATCH(LOWER(Raw_Data!C1028),""fixed deposit|owealth|savings|target""),""Fixed Deposit"",IF(REGEXMATCH(LOWER(Raw_Data!C1028),""airtime""),""Airtime"",IF(REGEXMATCH(LOWER(Raw_Data!C1028),""electronic money transfer levy""),""Electronic Money"&amp;" Transfer Levy"",IF(REGEXMATCH(LOWER(Raw_Data!C1028),""transfer|trf|send""),""Transfer"",""Other"")))),""Other"")"),"Transfer")</f>
        <v>Transfer</v>
      </c>
      <c r="E1022" s="20">
        <v>2110.0</v>
      </c>
      <c r="F1022" s="20">
        <v>0.0</v>
      </c>
      <c r="G1022" s="12" t="str">
        <f t="shared" si="3"/>
        <v>Withdrawal</v>
      </c>
      <c r="H1022" s="12" t="str">
        <f>TEXT(Raw_Data!A1028,"hh:mm:ss")
</f>
        <v>13:10:11</v>
      </c>
      <c r="I1022" s="20">
        <f t="shared" si="4"/>
        <v>2110</v>
      </c>
    </row>
    <row r="1023">
      <c r="A1023" s="12" t="str">
        <f>Raw_Data!A1029</f>
        <v>03 Jun 2025 20:15:54</v>
      </c>
      <c r="B1023" s="12" t="str">
        <f t="shared" si="1"/>
        <v>June</v>
      </c>
      <c r="C1023" s="12">
        <f t="shared" si="2"/>
        <v>6</v>
      </c>
      <c r="D1023" s="12" t="str">
        <f>IFERROR(__xludf.DUMMYFUNCTION("IFERROR(IF(REGEXMATCH(LOWER(Raw_Data!C1029),""fixed deposit|owealth|savings|target""),""Fixed Deposit"",IF(REGEXMATCH(LOWER(Raw_Data!C1029),""airtime""),""Airtime"",IF(REGEXMATCH(LOWER(Raw_Data!C1029),""electronic money transfer levy""),""Electronic Money"&amp;" Transfer Levy"",IF(REGEXMATCH(LOWER(Raw_Data!C1029),""transfer|trf|send""),""Transfer"",""Other"")))),""Other"")"),"Airtime")</f>
        <v>Airtime</v>
      </c>
      <c r="E1023" s="20">
        <v>900.0</v>
      </c>
      <c r="F1023" s="20">
        <v>0.0</v>
      </c>
      <c r="G1023" s="12" t="str">
        <f t="shared" si="3"/>
        <v>Withdrawal</v>
      </c>
      <c r="H1023" s="12" t="str">
        <f>TEXT(Raw_Data!A1029,"hh:mm:ss")
</f>
        <v>20:15:54</v>
      </c>
      <c r="I1023" s="20">
        <f t="shared" si="4"/>
        <v>900</v>
      </c>
    </row>
    <row r="1024">
      <c r="A1024" s="12" t="str">
        <f>Raw_Data!A1030</f>
        <v>04 Jun 2025 13:26:19</v>
      </c>
      <c r="B1024" s="12" t="str">
        <f t="shared" si="1"/>
        <v>June</v>
      </c>
      <c r="C1024" s="12">
        <f t="shared" si="2"/>
        <v>6</v>
      </c>
      <c r="D1024" s="12" t="str">
        <f>IFERROR(__xludf.DUMMYFUNCTION("IFERROR(IF(REGEXMATCH(LOWER(Raw_Data!C1030),""fixed deposit|owealth|savings|target""),""Fixed Deposit"",IF(REGEXMATCH(LOWER(Raw_Data!C1030),""airtime""),""Airtime"",IF(REGEXMATCH(LOWER(Raw_Data!C1030),""electronic money transfer levy""),""Electronic Money"&amp;" Transfer Levy"",IF(REGEXMATCH(LOWER(Raw_Data!C1030),""transfer|trf|send""),""Transfer"",""Other"")))),""Other"")"),"Transfer")</f>
        <v>Transfer</v>
      </c>
      <c r="E1024" s="20">
        <v>3100.0</v>
      </c>
      <c r="F1024" s="20">
        <v>0.0</v>
      </c>
      <c r="G1024" s="12" t="str">
        <f t="shared" si="3"/>
        <v>Withdrawal</v>
      </c>
      <c r="H1024" s="12" t="str">
        <f>TEXT(Raw_Data!A1030,"hh:mm:ss")
</f>
        <v>13:26:19</v>
      </c>
      <c r="I1024" s="20">
        <f t="shared" si="4"/>
        <v>3100</v>
      </c>
    </row>
    <row r="1025">
      <c r="A1025" s="12" t="str">
        <f>Raw_Data!A1031</f>
        <v>04 Jun 2025 13:31:14</v>
      </c>
      <c r="B1025" s="12" t="str">
        <f t="shared" si="1"/>
        <v>June</v>
      </c>
      <c r="C1025" s="12">
        <f t="shared" si="2"/>
        <v>6</v>
      </c>
      <c r="D1025" s="12" t="str">
        <f>IFERROR(__xludf.DUMMYFUNCTION("IFERROR(IF(REGEXMATCH(LOWER(Raw_Data!C1031),""fixed deposit|owealth|savings|target""),""Fixed Deposit"",IF(REGEXMATCH(LOWER(Raw_Data!C1031),""airtime""),""Airtime"",IF(REGEXMATCH(LOWER(Raw_Data!C1031),""electronic money transfer levy""),""Electronic Money"&amp;" Transfer Levy"",IF(REGEXMATCH(LOWER(Raw_Data!C1031),""transfer|trf|send""),""Transfer"",""Other"")))),""Other"")"),"Transfer")</f>
        <v>Transfer</v>
      </c>
      <c r="E1025" s="20">
        <v>0.0</v>
      </c>
      <c r="F1025" s="20">
        <v>1000.0</v>
      </c>
      <c r="G1025" s="12" t="str">
        <f t="shared" si="3"/>
        <v>Deposit</v>
      </c>
      <c r="H1025" s="12" t="str">
        <f>TEXT(Raw_Data!A1031,"hh:mm:ss")
</f>
        <v>13:31:14</v>
      </c>
      <c r="I1025" s="20">
        <f t="shared" si="4"/>
        <v>1000</v>
      </c>
    </row>
    <row r="1026">
      <c r="A1026" s="12" t="str">
        <f>Raw_Data!A1032</f>
        <v>04 Jun 2025 15:25:15</v>
      </c>
      <c r="B1026" s="12" t="str">
        <f t="shared" si="1"/>
        <v>June</v>
      </c>
      <c r="C1026" s="12">
        <f t="shared" si="2"/>
        <v>6</v>
      </c>
      <c r="D1026" s="12" t="str">
        <f>IFERROR(__xludf.DUMMYFUNCTION("IFERROR(IF(REGEXMATCH(LOWER(Raw_Data!C1032),""fixed deposit|owealth|savings|target""),""Fixed Deposit"",IF(REGEXMATCH(LOWER(Raw_Data!C1032),""airtime""),""Airtime"",IF(REGEXMATCH(LOWER(Raw_Data!C1032),""electronic money transfer levy""),""Electronic Money"&amp;" Transfer Levy"",IF(REGEXMATCH(LOWER(Raw_Data!C1032),""transfer|trf|send""),""Transfer"",""Other"")))),""Other"")"),"Airtime")</f>
        <v>Airtime</v>
      </c>
      <c r="E1026" s="20">
        <v>300.0</v>
      </c>
      <c r="F1026" s="20">
        <v>0.0</v>
      </c>
      <c r="G1026" s="12" t="str">
        <f t="shared" si="3"/>
        <v>Withdrawal</v>
      </c>
      <c r="H1026" s="12" t="str">
        <f>TEXT(Raw_Data!A1032,"hh:mm:ss")
</f>
        <v>15:25:15</v>
      </c>
      <c r="I1026" s="20">
        <f t="shared" si="4"/>
        <v>300</v>
      </c>
    </row>
    <row r="1027">
      <c r="A1027" s="12" t="str">
        <f>Raw_Data!A1033</f>
        <v>04 Jun 2025 20:46:38</v>
      </c>
      <c r="B1027" s="12" t="str">
        <f t="shared" si="1"/>
        <v>June</v>
      </c>
      <c r="C1027" s="12">
        <f t="shared" si="2"/>
        <v>6</v>
      </c>
      <c r="D1027" s="12" t="str">
        <f>IFERROR(__xludf.DUMMYFUNCTION("IFERROR(IF(REGEXMATCH(LOWER(Raw_Data!C1033),""fixed deposit|owealth|savings|target""),""Fixed Deposit"",IF(REGEXMATCH(LOWER(Raw_Data!C1033),""airtime""),""Airtime"",IF(REGEXMATCH(LOWER(Raw_Data!C1033),""electronic money transfer levy""),""Electronic Money"&amp;" Transfer Levy"",IF(REGEXMATCH(LOWER(Raw_Data!C1033),""transfer|trf|send""),""Transfer"",""Other"")))),""Other"")"),"Transfer")</f>
        <v>Transfer</v>
      </c>
      <c r="E1027" s="20">
        <v>8000.0</v>
      </c>
      <c r="F1027" s="20">
        <v>0.0</v>
      </c>
      <c r="G1027" s="12" t="str">
        <f t="shared" si="3"/>
        <v>Withdrawal</v>
      </c>
      <c r="H1027" s="12" t="str">
        <f>TEXT(Raw_Data!A1033,"hh:mm:ss")
</f>
        <v>20:46:38</v>
      </c>
      <c r="I1027" s="20">
        <f t="shared" si="4"/>
        <v>8000</v>
      </c>
    </row>
    <row r="1028">
      <c r="A1028" s="12" t="str">
        <f>Raw_Data!A1034</f>
        <v>04 Jun 2025 20:48:42</v>
      </c>
      <c r="B1028" s="12" t="str">
        <f t="shared" si="1"/>
        <v>June</v>
      </c>
      <c r="C1028" s="12">
        <f t="shared" si="2"/>
        <v>6</v>
      </c>
      <c r="D1028" s="12" t="str">
        <f>IFERROR(__xludf.DUMMYFUNCTION("IFERROR(IF(REGEXMATCH(LOWER(Raw_Data!C1034),""fixed deposit|owealth|savings|target""),""Fixed Deposit"",IF(REGEXMATCH(LOWER(Raw_Data!C1034),""airtime""),""Airtime"",IF(REGEXMATCH(LOWER(Raw_Data!C1034),""electronic money transfer levy""),""Electronic Money"&amp;" Transfer Levy"",IF(REGEXMATCH(LOWER(Raw_Data!C1034),""transfer|trf|send""),""Transfer"",""Other"")))),""Other"")"),"Transfer")</f>
        <v>Transfer</v>
      </c>
      <c r="E1028" s="20">
        <v>100.0</v>
      </c>
      <c r="F1028" s="20">
        <v>0.0</v>
      </c>
      <c r="G1028" s="12" t="str">
        <f t="shared" si="3"/>
        <v>Withdrawal</v>
      </c>
      <c r="H1028" s="12" t="str">
        <f>TEXT(Raw_Data!A1034,"hh:mm:ss")
</f>
        <v>20:48:42</v>
      </c>
      <c r="I1028" s="20">
        <f t="shared" si="4"/>
        <v>100</v>
      </c>
    </row>
    <row r="1029">
      <c r="A1029" s="12" t="str">
        <f>Raw_Data!A1035</f>
        <v>05 Jun 2025 10:20:26</v>
      </c>
      <c r="B1029" s="12" t="str">
        <f t="shared" si="1"/>
        <v>June</v>
      </c>
      <c r="C1029" s="12">
        <f t="shared" si="2"/>
        <v>6</v>
      </c>
      <c r="D1029" s="12" t="str">
        <f>IFERROR(__xludf.DUMMYFUNCTION("IFERROR(IF(REGEXMATCH(LOWER(Raw_Data!C1035),""fixed deposit|owealth|savings|target""),""Fixed Deposit"",IF(REGEXMATCH(LOWER(Raw_Data!C1035),""airtime""),""Airtime"",IF(REGEXMATCH(LOWER(Raw_Data!C1035),""electronic money transfer levy""),""Electronic Money"&amp;" Transfer Levy"",IF(REGEXMATCH(LOWER(Raw_Data!C1035),""transfer|trf|send""),""Transfer"",""Other"")))),""Other"")"),"Other")</f>
        <v>Other</v>
      </c>
      <c r="E1029" s="20">
        <v>900.0</v>
      </c>
      <c r="F1029" s="20">
        <v>0.0</v>
      </c>
      <c r="G1029" s="12" t="str">
        <f t="shared" si="3"/>
        <v>Withdrawal</v>
      </c>
      <c r="H1029" s="12" t="str">
        <f>TEXT(Raw_Data!A1035,"hh:mm:ss")
</f>
        <v>10:20:26</v>
      </c>
      <c r="I1029" s="20">
        <f t="shared" si="4"/>
        <v>900</v>
      </c>
    </row>
    <row r="1030">
      <c r="A1030" s="12" t="str">
        <f>Raw_Data!A1036</f>
        <v>06 Jun 2025 10:24:02</v>
      </c>
      <c r="B1030" s="12" t="str">
        <f t="shared" si="1"/>
        <v>June</v>
      </c>
      <c r="C1030" s="12">
        <f t="shared" si="2"/>
        <v>6</v>
      </c>
      <c r="D1030" s="12" t="str">
        <f>IFERROR(__xludf.DUMMYFUNCTION("IFERROR(IF(REGEXMATCH(LOWER(Raw_Data!C1036),""fixed deposit|owealth|savings|target""),""Fixed Deposit"",IF(REGEXMATCH(LOWER(Raw_Data!C1036),""airtime""),""Airtime"",IF(REGEXMATCH(LOWER(Raw_Data!C1036),""electronic money transfer levy""),""Electronic Money"&amp;" Transfer Levy"",IF(REGEXMATCH(LOWER(Raw_Data!C1036),""transfer|trf|send""),""Transfer"",""Other"")))),""Other"")"),"Other")</f>
        <v>Other</v>
      </c>
      <c r="E1030" s="20">
        <v>900.0</v>
      </c>
      <c r="F1030" s="20">
        <v>0.0</v>
      </c>
      <c r="G1030" s="12" t="str">
        <f t="shared" si="3"/>
        <v>Withdrawal</v>
      </c>
      <c r="H1030" s="12" t="str">
        <f>TEXT(Raw_Data!A1036,"hh:mm:ss")
</f>
        <v>10:24:02</v>
      </c>
      <c r="I1030" s="20">
        <f t="shared" si="4"/>
        <v>900</v>
      </c>
    </row>
    <row r="1031">
      <c r="A1031" s="12" t="str">
        <f>Raw_Data!A1037</f>
        <v>06 Jun 2025 18:42:55</v>
      </c>
      <c r="B1031" s="12" t="str">
        <f t="shared" si="1"/>
        <v>June</v>
      </c>
      <c r="C1031" s="12">
        <f t="shared" si="2"/>
        <v>6</v>
      </c>
      <c r="D1031" s="12" t="str">
        <f>IFERROR(__xludf.DUMMYFUNCTION("IFERROR(IF(REGEXMATCH(LOWER(Raw_Data!C1037),""fixed deposit|owealth|savings|target""),""Fixed Deposit"",IF(REGEXMATCH(LOWER(Raw_Data!C1037),""airtime""),""Airtime"",IF(REGEXMATCH(LOWER(Raw_Data!C1037),""electronic money transfer levy""),""Electronic Money"&amp;" Transfer Levy"",IF(REGEXMATCH(LOWER(Raw_Data!C1037),""transfer|trf|send""),""Transfer"",""Other"")))),""Other"")"),"Transfer")</f>
        <v>Transfer</v>
      </c>
      <c r="E1031" s="20">
        <v>0.0</v>
      </c>
      <c r="F1031" s="20">
        <v>1000.0</v>
      </c>
      <c r="G1031" s="12" t="str">
        <f t="shared" si="3"/>
        <v>Deposit</v>
      </c>
      <c r="H1031" s="12" t="str">
        <f>TEXT(Raw_Data!A1037,"hh:mm:ss")
</f>
        <v>18:42:55</v>
      </c>
      <c r="I1031" s="20">
        <f t="shared" si="4"/>
        <v>1000</v>
      </c>
    </row>
    <row r="1032">
      <c r="A1032" s="12" t="str">
        <f>Raw_Data!A1038</f>
        <v>06 Jun 2025 19:04:55</v>
      </c>
      <c r="B1032" s="12" t="str">
        <f t="shared" si="1"/>
        <v>June</v>
      </c>
      <c r="C1032" s="12">
        <f t="shared" si="2"/>
        <v>6</v>
      </c>
      <c r="D1032" s="12" t="str">
        <f>IFERROR(__xludf.DUMMYFUNCTION("IFERROR(IF(REGEXMATCH(LOWER(Raw_Data!C1038),""fixed deposit|owealth|savings|target""),""Fixed Deposit"",IF(REGEXMATCH(LOWER(Raw_Data!C1038),""airtime""),""Airtime"",IF(REGEXMATCH(LOWER(Raw_Data!C1038),""electronic money transfer levy""),""Electronic Money"&amp;" Transfer Levy"",IF(REGEXMATCH(LOWER(Raw_Data!C1038),""transfer|trf|send""),""Transfer"",""Other"")))),""Other"")"),"Other")</f>
        <v>Other</v>
      </c>
      <c r="E1032" s="20">
        <v>900.0</v>
      </c>
      <c r="F1032" s="20">
        <v>0.0</v>
      </c>
      <c r="G1032" s="12" t="str">
        <f t="shared" si="3"/>
        <v>Withdrawal</v>
      </c>
      <c r="H1032" s="12" t="str">
        <f>TEXT(Raw_Data!A1038,"hh:mm:ss")
</f>
        <v>19:04:55</v>
      </c>
      <c r="I1032" s="20">
        <f t="shared" si="4"/>
        <v>900</v>
      </c>
    </row>
    <row r="1033">
      <c r="A1033" s="12" t="str">
        <f>Raw_Data!A1039</f>
        <v>06 Jun 2025 19:42:14</v>
      </c>
      <c r="B1033" s="12" t="str">
        <f t="shared" si="1"/>
        <v>June</v>
      </c>
      <c r="C1033" s="12">
        <f t="shared" si="2"/>
        <v>6</v>
      </c>
      <c r="D1033" s="12" t="str">
        <f>IFERROR(__xludf.DUMMYFUNCTION("IFERROR(IF(REGEXMATCH(LOWER(Raw_Data!C1039),""fixed deposit|owealth|savings|target""),""Fixed Deposit"",IF(REGEXMATCH(LOWER(Raw_Data!C1039),""airtime""),""Airtime"",IF(REGEXMATCH(LOWER(Raw_Data!C1039),""electronic money transfer levy""),""Electronic Money"&amp;" Transfer Levy"",IF(REGEXMATCH(LOWER(Raw_Data!C1039),""transfer|trf|send""),""Transfer"",""Other"")))),""Other"")"),"Airtime")</f>
        <v>Airtime</v>
      </c>
      <c r="E1033" s="20">
        <v>200.0</v>
      </c>
      <c r="F1033" s="20">
        <v>0.0</v>
      </c>
      <c r="G1033" s="12" t="str">
        <f t="shared" si="3"/>
        <v>Withdrawal</v>
      </c>
      <c r="H1033" s="12" t="str">
        <f>TEXT(Raw_Data!A1039,"hh:mm:ss")
</f>
        <v>19:42:14</v>
      </c>
      <c r="I1033" s="20">
        <f t="shared" si="4"/>
        <v>200</v>
      </c>
    </row>
    <row r="1034">
      <c r="A1034" s="12" t="str">
        <f>Raw_Data!A1040</f>
        <v>07 Jun 2025 15:20:58</v>
      </c>
      <c r="B1034" s="12" t="str">
        <f t="shared" si="1"/>
        <v>June</v>
      </c>
      <c r="C1034" s="12">
        <f t="shared" si="2"/>
        <v>6</v>
      </c>
      <c r="D1034" s="12" t="str">
        <f>IFERROR(__xludf.DUMMYFUNCTION("IFERROR(IF(REGEXMATCH(LOWER(Raw_Data!C1040),""fixed deposit|owealth|savings|target""),""Fixed Deposit"",IF(REGEXMATCH(LOWER(Raw_Data!C1040),""airtime""),""Airtime"",IF(REGEXMATCH(LOWER(Raw_Data!C1040),""electronic money transfer levy""),""Electronic Money"&amp;" Transfer Levy"",IF(REGEXMATCH(LOWER(Raw_Data!C1040),""transfer|trf|send""),""Transfer"",""Other"")))),""Other"")"),"Transfer")</f>
        <v>Transfer</v>
      </c>
      <c r="E1034" s="20">
        <v>950.0</v>
      </c>
      <c r="F1034" s="20">
        <v>0.0</v>
      </c>
      <c r="G1034" s="12" t="str">
        <f t="shared" si="3"/>
        <v>Withdrawal</v>
      </c>
      <c r="H1034" s="12" t="str">
        <f>TEXT(Raw_Data!A1040,"hh:mm:ss")
</f>
        <v>15:20:58</v>
      </c>
      <c r="I1034" s="20">
        <f t="shared" si="4"/>
        <v>950</v>
      </c>
    </row>
    <row r="1035">
      <c r="A1035" s="12" t="str">
        <f>Raw_Data!A1041</f>
        <v>08 Jun 2025 15:42:17</v>
      </c>
      <c r="B1035" s="12" t="str">
        <f t="shared" si="1"/>
        <v>June</v>
      </c>
      <c r="C1035" s="12">
        <f t="shared" si="2"/>
        <v>6</v>
      </c>
      <c r="D1035" s="12" t="str">
        <f>IFERROR(__xludf.DUMMYFUNCTION("IFERROR(IF(REGEXMATCH(LOWER(Raw_Data!C1041),""fixed deposit|owealth|savings|target""),""Fixed Deposit"",IF(REGEXMATCH(LOWER(Raw_Data!C1041),""airtime""),""Airtime"",IF(REGEXMATCH(LOWER(Raw_Data!C1041),""electronic money transfer levy""),""Electronic Money"&amp;" Transfer Levy"",IF(REGEXMATCH(LOWER(Raw_Data!C1041),""transfer|trf|send""),""Transfer"",""Other"")))),""Other"")"),"Transfer")</f>
        <v>Transfer</v>
      </c>
      <c r="E1035" s="20">
        <v>600.0</v>
      </c>
      <c r="F1035" s="20">
        <v>0.0</v>
      </c>
      <c r="G1035" s="12" t="str">
        <f t="shared" si="3"/>
        <v>Withdrawal</v>
      </c>
      <c r="H1035" s="12" t="str">
        <f>TEXT(Raw_Data!A1041,"hh:mm:ss")
</f>
        <v>15:42:17</v>
      </c>
      <c r="I1035" s="20">
        <f t="shared" si="4"/>
        <v>600</v>
      </c>
    </row>
    <row r="1036">
      <c r="A1036" s="12" t="str">
        <f>Raw_Data!A1042</f>
        <v>08 Jun 2025 15:57:56</v>
      </c>
      <c r="B1036" s="12" t="str">
        <f t="shared" si="1"/>
        <v>June</v>
      </c>
      <c r="C1036" s="12">
        <f t="shared" si="2"/>
        <v>6</v>
      </c>
      <c r="D1036" s="12" t="str">
        <f>IFERROR(__xludf.DUMMYFUNCTION("IFERROR(IF(REGEXMATCH(LOWER(Raw_Data!C1042),""fixed deposit|owealth|savings|target""),""Fixed Deposit"",IF(REGEXMATCH(LOWER(Raw_Data!C1042),""airtime""),""Airtime"",IF(REGEXMATCH(LOWER(Raw_Data!C1042),""electronic money transfer levy""),""Electronic Money"&amp;" Transfer Levy"",IF(REGEXMATCH(LOWER(Raw_Data!C1042),""transfer|trf|send""),""Transfer"",""Other"")))),""Other"")"),"Other")</f>
        <v>Other</v>
      </c>
      <c r="E1036" s="20">
        <v>1000.0</v>
      </c>
      <c r="F1036" s="20">
        <v>0.0</v>
      </c>
      <c r="G1036" s="12" t="str">
        <f t="shared" si="3"/>
        <v>Withdrawal</v>
      </c>
      <c r="H1036" s="12" t="str">
        <f>TEXT(Raw_Data!A1042,"hh:mm:ss")
</f>
        <v>15:57:56</v>
      </c>
      <c r="I1036" s="20">
        <f t="shared" si="4"/>
        <v>1000</v>
      </c>
    </row>
    <row r="1037">
      <c r="A1037" s="12" t="str">
        <f>Raw_Data!A1043</f>
        <v>08 Jun 2025 16:18:22</v>
      </c>
      <c r="B1037" s="12" t="str">
        <f t="shared" si="1"/>
        <v>June</v>
      </c>
      <c r="C1037" s="12">
        <f t="shared" si="2"/>
        <v>6</v>
      </c>
      <c r="D1037" s="12" t="str">
        <f>IFERROR(__xludf.DUMMYFUNCTION("IFERROR(IF(REGEXMATCH(LOWER(Raw_Data!C1043),""fixed deposit|owealth|savings|target""),""Fixed Deposit"",IF(REGEXMATCH(LOWER(Raw_Data!C1043),""airtime""),""Airtime"",IF(REGEXMATCH(LOWER(Raw_Data!C1043),""electronic money transfer levy""),""Electronic Money"&amp;" Transfer Levy"",IF(REGEXMATCH(LOWER(Raw_Data!C1043),""transfer|trf|send""),""Transfer"",""Other"")))),""Other"")"),"Other")</f>
        <v>Other</v>
      </c>
      <c r="E1037" s="20">
        <v>500.0</v>
      </c>
      <c r="F1037" s="20">
        <v>0.0</v>
      </c>
      <c r="G1037" s="12" t="str">
        <f t="shared" si="3"/>
        <v>Withdrawal</v>
      </c>
      <c r="H1037" s="12" t="str">
        <f>TEXT(Raw_Data!A1043,"hh:mm:ss")
</f>
        <v>16:18:22</v>
      </c>
      <c r="I1037" s="20">
        <f t="shared" si="4"/>
        <v>500</v>
      </c>
    </row>
    <row r="1038">
      <c r="A1038" s="12" t="str">
        <f>Raw_Data!A1044</f>
        <v>08 Jun 2025 17:15:27</v>
      </c>
      <c r="B1038" s="12" t="str">
        <f t="shared" si="1"/>
        <v>June</v>
      </c>
      <c r="C1038" s="12">
        <f t="shared" si="2"/>
        <v>6</v>
      </c>
      <c r="D1038" s="12" t="str">
        <f>IFERROR(__xludf.DUMMYFUNCTION("IFERROR(IF(REGEXMATCH(LOWER(Raw_Data!C1044),""fixed deposit|owealth|savings|target""),""Fixed Deposit"",IF(REGEXMATCH(LOWER(Raw_Data!C1044),""airtime""),""Airtime"",IF(REGEXMATCH(LOWER(Raw_Data!C1044),""electronic money transfer levy""),""Electronic Money"&amp;" Transfer Levy"",IF(REGEXMATCH(LOWER(Raw_Data!C1044),""transfer|trf|send""),""Transfer"",""Other"")))),""Other"")"),"Airtime")</f>
        <v>Airtime</v>
      </c>
      <c r="E1038" s="20">
        <v>200.0</v>
      </c>
      <c r="F1038" s="20">
        <v>0.0</v>
      </c>
      <c r="G1038" s="12" t="str">
        <f t="shared" si="3"/>
        <v>Withdrawal</v>
      </c>
      <c r="H1038" s="12" t="str">
        <f>TEXT(Raw_Data!A1044,"hh:mm:ss")
</f>
        <v>17:15:27</v>
      </c>
      <c r="I1038" s="20">
        <f t="shared" si="4"/>
        <v>200</v>
      </c>
    </row>
    <row r="1039">
      <c r="A1039" s="12" t="str">
        <f>Raw_Data!A1045</f>
        <v>08 Jun 2025 19:30:17</v>
      </c>
      <c r="B1039" s="12" t="str">
        <f t="shared" si="1"/>
        <v>June</v>
      </c>
      <c r="C1039" s="12">
        <f t="shared" si="2"/>
        <v>6</v>
      </c>
      <c r="D1039" s="12" t="str">
        <f>IFERROR(__xludf.DUMMYFUNCTION("IFERROR(IF(REGEXMATCH(LOWER(Raw_Data!C1045),""fixed deposit|owealth|savings|target""),""Fixed Deposit"",IF(REGEXMATCH(LOWER(Raw_Data!C1045),""airtime""),""Airtime"",IF(REGEXMATCH(LOWER(Raw_Data!C1045),""electronic money transfer levy""),""Electronic Money"&amp;" Transfer Levy"",IF(REGEXMATCH(LOWER(Raw_Data!C1045),""transfer|trf|send""),""Transfer"",""Other"")))),""Other"")"),"Transfer")</f>
        <v>Transfer</v>
      </c>
      <c r="E1039" s="20">
        <v>0.0</v>
      </c>
      <c r="F1039" s="20">
        <v>32000.0</v>
      </c>
      <c r="G1039" s="12" t="str">
        <f t="shared" si="3"/>
        <v>Deposit</v>
      </c>
      <c r="H1039" s="12" t="str">
        <f>TEXT(Raw_Data!A1045,"hh:mm:ss")
</f>
        <v>19:30:17</v>
      </c>
      <c r="I1039" s="20">
        <f t="shared" si="4"/>
        <v>32000</v>
      </c>
    </row>
    <row r="1040">
      <c r="A1040" s="12" t="str">
        <f>Raw_Data!A1046</f>
        <v>08 Jun 2025 20:25:52</v>
      </c>
      <c r="B1040" s="12" t="str">
        <f t="shared" si="1"/>
        <v>June</v>
      </c>
      <c r="C1040" s="12">
        <f t="shared" si="2"/>
        <v>6</v>
      </c>
      <c r="D1040" s="12" t="str">
        <f>IFERROR(__xludf.DUMMYFUNCTION("IFERROR(IF(REGEXMATCH(LOWER(Raw_Data!C1046),""fixed deposit|owealth|savings|target""),""Fixed Deposit"",IF(REGEXMATCH(LOWER(Raw_Data!C1046),""airtime""),""Airtime"",IF(REGEXMATCH(LOWER(Raw_Data!C1046),""electronic money transfer levy""),""Electronic Money"&amp;" Transfer Levy"",IF(REGEXMATCH(LOWER(Raw_Data!C1046),""transfer|trf|send""),""Transfer"",""Other"")))),""Other"")"),"Transfer")</f>
        <v>Transfer</v>
      </c>
      <c r="E1040" s="20">
        <v>20000.0</v>
      </c>
      <c r="F1040" s="20">
        <v>0.0</v>
      </c>
      <c r="G1040" s="12" t="str">
        <f t="shared" si="3"/>
        <v>Withdrawal</v>
      </c>
      <c r="H1040" s="12" t="str">
        <f>TEXT(Raw_Data!A1046,"hh:mm:ss")
</f>
        <v>20:25:52</v>
      </c>
      <c r="I1040" s="20">
        <f t="shared" si="4"/>
        <v>20000</v>
      </c>
    </row>
    <row r="1041">
      <c r="A1041" s="12" t="str">
        <f>Raw_Data!A1047</f>
        <v>09 Jun 2025 06:44:56</v>
      </c>
      <c r="B1041" s="12" t="str">
        <f t="shared" si="1"/>
        <v>June</v>
      </c>
      <c r="C1041" s="12">
        <f t="shared" si="2"/>
        <v>6</v>
      </c>
      <c r="D1041" s="12" t="str">
        <f>IFERROR(__xludf.DUMMYFUNCTION("IFERROR(IF(REGEXMATCH(LOWER(Raw_Data!C1047),""fixed deposit|owealth|savings|target""),""Fixed Deposit"",IF(REGEXMATCH(LOWER(Raw_Data!C1047),""airtime""),""Airtime"",IF(REGEXMATCH(LOWER(Raw_Data!C1047),""electronic money transfer levy""),""Electronic Money"&amp;" Transfer Levy"",IF(REGEXMATCH(LOWER(Raw_Data!C1047),""transfer|trf|send""),""Transfer"",""Other"")))),""Other"")"),"Transfer")</f>
        <v>Transfer</v>
      </c>
      <c r="E1041" s="20">
        <v>7350.0</v>
      </c>
      <c r="F1041" s="20">
        <v>0.0</v>
      </c>
      <c r="G1041" s="12" t="str">
        <f t="shared" si="3"/>
        <v>Withdrawal</v>
      </c>
      <c r="H1041" s="12" t="str">
        <f>TEXT(Raw_Data!A1047,"hh:mm:ss")
</f>
        <v>06:44:56</v>
      </c>
      <c r="I1041" s="20">
        <f t="shared" si="4"/>
        <v>7350</v>
      </c>
    </row>
    <row r="1042">
      <c r="A1042" s="12" t="str">
        <f>Raw_Data!A1048</f>
        <v>09 Jun 2025 10:57:40</v>
      </c>
      <c r="B1042" s="12" t="str">
        <f t="shared" si="1"/>
        <v>June</v>
      </c>
      <c r="C1042" s="12">
        <f t="shared" si="2"/>
        <v>6</v>
      </c>
      <c r="D1042" s="12" t="str">
        <f>IFERROR(__xludf.DUMMYFUNCTION("IFERROR(IF(REGEXMATCH(LOWER(Raw_Data!C1048),""fixed deposit|owealth|savings|target""),""Fixed Deposit"",IF(REGEXMATCH(LOWER(Raw_Data!C1048),""airtime""),""Airtime"",IF(REGEXMATCH(LOWER(Raw_Data!C1048),""electronic money transfer levy""),""Electronic Money"&amp;" Transfer Levy"",IF(REGEXMATCH(LOWER(Raw_Data!C1048),""transfer|trf|send""),""Transfer"",""Other"")))),""Other"")"),"Other")</f>
        <v>Other</v>
      </c>
      <c r="E1042" s="20">
        <v>1000.0</v>
      </c>
      <c r="F1042" s="20">
        <v>0.0</v>
      </c>
      <c r="G1042" s="12" t="str">
        <f t="shared" si="3"/>
        <v>Withdrawal</v>
      </c>
      <c r="H1042" s="12" t="str">
        <f>TEXT(Raw_Data!A1048,"hh:mm:ss")
</f>
        <v>10:57:40</v>
      </c>
      <c r="I1042" s="20">
        <f t="shared" si="4"/>
        <v>1000</v>
      </c>
    </row>
    <row r="1043">
      <c r="A1043" s="12" t="str">
        <f>Raw_Data!A1049</f>
        <v>09 Jun 2025 16:08:02</v>
      </c>
      <c r="B1043" s="12" t="str">
        <f t="shared" si="1"/>
        <v>June</v>
      </c>
      <c r="C1043" s="12">
        <f t="shared" si="2"/>
        <v>6</v>
      </c>
      <c r="D1043" s="12" t="str">
        <f>IFERROR(__xludf.DUMMYFUNCTION("IFERROR(IF(REGEXMATCH(LOWER(Raw_Data!C1049),""fixed deposit|owealth|savings|target""),""Fixed Deposit"",IF(REGEXMATCH(LOWER(Raw_Data!C1049),""airtime""),""Airtime"",IF(REGEXMATCH(LOWER(Raw_Data!C1049),""electronic money transfer levy""),""Electronic Money"&amp;" Transfer Levy"",IF(REGEXMATCH(LOWER(Raw_Data!C1049),""transfer|trf|send""),""Transfer"",""Other"")))),""Other"")"),"Transfer")</f>
        <v>Transfer</v>
      </c>
      <c r="E1043" s="20">
        <v>550.0</v>
      </c>
      <c r="F1043" s="20">
        <v>0.0</v>
      </c>
      <c r="G1043" s="12" t="str">
        <f t="shared" si="3"/>
        <v>Withdrawal</v>
      </c>
      <c r="H1043" s="12" t="str">
        <f>TEXT(Raw_Data!A1049,"hh:mm:ss")
</f>
        <v>16:08:02</v>
      </c>
      <c r="I1043" s="20">
        <f t="shared" si="4"/>
        <v>550</v>
      </c>
    </row>
    <row r="1044">
      <c r="A1044" s="12" t="str">
        <f>Raw_Data!A1050</f>
        <v>09 Jun 2025 18:26:22</v>
      </c>
      <c r="B1044" s="12" t="str">
        <f t="shared" si="1"/>
        <v>June</v>
      </c>
      <c r="C1044" s="12">
        <f t="shared" si="2"/>
        <v>6</v>
      </c>
      <c r="D1044" s="12" t="str">
        <f>IFERROR(__xludf.DUMMYFUNCTION("IFERROR(IF(REGEXMATCH(LOWER(Raw_Data!C1050),""fixed deposit|owealth|savings|target""),""Fixed Deposit"",IF(REGEXMATCH(LOWER(Raw_Data!C1050),""airtime""),""Airtime"",IF(REGEXMATCH(LOWER(Raw_Data!C1050),""electronic money transfer levy""),""Electronic Money"&amp;" Transfer Levy"",IF(REGEXMATCH(LOWER(Raw_Data!C1050),""transfer|trf|send""),""Transfer"",""Other"")))),""Other"")"),"Transfer")</f>
        <v>Transfer</v>
      </c>
      <c r="E1044" s="20">
        <v>800.0</v>
      </c>
      <c r="F1044" s="20">
        <v>0.0</v>
      </c>
      <c r="G1044" s="12" t="str">
        <f t="shared" si="3"/>
        <v>Withdrawal</v>
      </c>
      <c r="H1044" s="12" t="str">
        <f>TEXT(Raw_Data!A1050,"hh:mm:ss")
</f>
        <v>18:26:22</v>
      </c>
      <c r="I1044" s="20">
        <f t="shared" si="4"/>
        <v>800</v>
      </c>
    </row>
    <row r="1045">
      <c r="A1045" s="12" t="str">
        <f>Raw_Data!A1051</f>
        <v>10 Jun 2025 11:14:13</v>
      </c>
      <c r="B1045" s="12" t="str">
        <f t="shared" si="1"/>
        <v>June</v>
      </c>
      <c r="C1045" s="12">
        <f t="shared" si="2"/>
        <v>6</v>
      </c>
      <c r="D1045" s="12" t="str">
        <f>IFERROR(__xludf.DUMMYFUNCTION("IFERROR(IF(REGEXMATCH(LOWER(Raw_Data!C1051),""fixed deposit|owealth|savings|target""),""Fixed Deposit"",IF(REGEXMATCH(LOWER(Raw_Data!C1051),""airtime""),""Airtime"",IF(REGEXMATCH(LOWER(Raw_Data!C1051),""electronic money transfer levy""),""Electronic Money"&amp;" Transfer Levy"",IF(REGEXMATCH(LOWER(Raw_Data!C1051),""transfer|trf|send""),""Transfer"",""Other"")))),""Other"")"),"Transfer")</f>
        <v>Transfer</v>
      </c>
      <c r="E1045" s="20">
        <v>1000.0</v>
      </c>
      <c r="F1045" s="20">
        <v>0.0</v>
      </c>
      <c r="G1045" s="12" t="str">
        <f t="shared" si="3"/>
        <v>Withdrawal</v>
      </c>
      <c r="H1045" s="12" t="str">
        <f>TEXT(Raw_Data!A1051,"hh:mm:ss")
</f>
        <v>11:14:13</v>
      </c>
      <c r="I1045" s="20">
        <f t="shared" si="4"/>
        <v>1000</v>
      </c>
    </row>
    <row r="1046">
      <c r="A1046" s="12" t="str">
        <f>Raw_Data!A1052</f>
        <v>10 Jun 2025 14:23:34</v>
      </c>
      <c r="B1046" s="12" t="str">
        <f t="shared" si="1"/>
        <v>June</v>
      </c>
      <c r="C1046" s="12">
        <f t="shared" si="2"/>
        <v>6</v>
      </c>
      <c r="D1046" s="12" t="str">
        <f>IFERROR(__xludf.DUMMYFUNCTION("IFERROR(IF(REGEXMATCH(LOWER(Raw_Data!C1052),""fixed deposit|owealth|savings|target""),""Fixed Deposit"",IF(REGEXMATCH(LOWER(Raw_Data!C1052),""airtime""),""Airtime"",IF(REGEXMATCH(LOWER(Raw_Data!C1052),""electronic money transfer levy""),""Electronic Money"&amp;" Transfer Levy"",IF(REGEXMATCH(LOWER(Raw_Data!C1052),""transfer|trf|send""),""Transfer"",""Other"")))),""Other"")"),"Transfer")</f>
        <v>Transfer</v>
      </c>
      <c r="E1046" s="20">
        <v>500.0</v>
      </c>
      <c r="F1046" s="20">
        <v>0.0</v>
      </c>
      <c r="G1046" s="12" t="str">
        <f t="shared" si="3"/>
        <v>Withdrawal</v>
      </c>
      <c r="H1046" s="12" t="str">
        <f>TEXT(Raw_Data!A1052,"hh:mm:ss")
</f>
        <v>14:23:34</v>
      </c>
      <c r="I1046" s="20">
        <f t="shared" si="4"/>
        <v>500</v>
      </c>
    </row>
    <row r="1047">
      <c r="A1047" s="12" t="str">
        <f>Raw_Data!A1053</f>
        <v>11 Jun 2025 03:59:33</v>
      </c>
      <c r="B1047" s="12" t="str">
        <f t="shared" si="1"/>
        <v>June</v>
      </c>
      <c r="C1047" s="12">
        <f t="shared" si="2"/>
        <v>6</v>
      </c>
      <c r="D1047" s="12" t="str">
        <f>IFERROR(__xludf.DUMMYFUNCTION("IFERROR(IF(REGEXMATCH(LOWER(Raw_Data!C1053),""fixed deposit|owealth|savings|target""),""Fixed Deposit"",IF(REGEXMATCH(LOWER(Raw_Data!C1053),""airtime""),""Airtime"",IF(REGEXMATCH(LOWER(Raw_Data!C1053),""electronic money transfer levy""),""Electronic Money"&amp;" Transfer Levy"",IF(REGEXMATCH(LOWER(Raw_Data!C1053),""transfer|trf|send""),""Transfer"",""Other"")))),""Other"")"),"Airtime")</f>
        <v>Airtime</v>
      </c>
      <c r="E1047" s="20">
        <v>200.0</v>
      </c>
      <c r="F1047" s="20">
        <v>0.0</v>
      </c>
      <c r="G1047" s="12" t="str">
        <f t="shared" si="3"/>
        <v>Withdrawal</v>
      </c>
      <c r="H1047" s="12" t="str">
        <f>TEXT(Raw_Data!A1053,"hh:mm:ss")
</f>
        <v>03:59:33</v>
      </c>
      <c r="I1047" s="20">
        <f t="shared" si="4"/>
        <v>200</v>
      </c>
    </row>
    <row r="1048">
      <c r="A1048" s="12" t="str">
        <f>Raw_Data!A1054</f>
        <v>11 Jun 2025 08:22:27</v>
      </c>
      <c r="B1048" s="12" t="str">
        <f t="shared" si="1"/>
        <v>June</v>
      </c>
      <c r="C1048" s="12">
        <f t="shared" si="2"/>
        <v>6</v>
      </c>
      <c r="D1048" s="12" t="str">
        <f>IFERROR(__xludf.DUMMYFUNCTION("IFERROR(IF(REGEXMATCH(LOWER(Raw_Data!C1054),""fixed deposit|owealth|savings|target""),""Fixed Deposit"",IF(REGEXMATCH(LOWER(Raw_Data!C1054),""airtime""),""Airtime"",IF(REGEXMATCH(LOWER(Raw_Data!C1054),""electronic money transfer levy""),""Electronic Money"&amp;" Transfer Levy"",IF(REGEXMATCH(LOWER(Raw_Data!C1054),""transfer|trf|send""),""Transfer"",""Other"")))),""Other"")"),"Transfer")</f>
        <v>Transfer</v>
      </c>
      <c r="E1048" s="20">
        <v>1000.0</v>
      </c>
      <c r="F1048" s="20">
        <v>0.0</v>
      </c>
      <c r="G1048" s="12" t="str">
        <f t="shared" si="3"/>
        <v>Withdrawal</v>
      </c>
      <c r="H1048" s="12" t="str">
        <f>TEXT(Raw_Data!A1054,"hh:mm:ss")
</f>
        <v>08:22:27</v>
      </c>
      <c r="I1048" s="20">
        <f t="shared" si="4"/>
        <v>1000</v>
      </c>
    </row>
    <row r="1049">
      <c r="A1049" s="12" t="str">
        <f>Raw_Data!A1055</f>
        <v>11 Jun 2025 11:42:51</v>
      </c>
      <c r="B1049" s="12" t="str">
        <f t="shared" si="1"/>
        <v>June</v>
      </c>
      <c r="C1049" s="12">
        <f t="shared" si="2"/>
        <v>6</v>
      </c>
      <c r="D1049" s="12" t="str">
        <f>IFERROR(__xludf.DUMMYFUNCTION("IFERROR(IF(REGEXMATCH(LOWER(Raw_Data!C1055),""fixed deposit|owealth|savings|target""),""Fixed Deposit"",IF(REGEXMATCH(LOWER(Raw_Data!C1055),""airtime""),""Airtime"",IF(REGEXMATCH(LOWER(Raw_Data!C1055),""electronic money transfer levy""),""Electronic Money"&amp;" Transfer Levy"",IF(REGEXMATCH(LOWER(Raw_Data!C1055),""transfer|trf|send""),""Transfer"",""Other"")))),""Other"")"),"Airtime")</f>
        <v>Airtime</v>
      </c>
      <c r="E1049" s="20">
        <v>200.0</v>
      </c>
      <c r="F1049" s="20">
        <v>0.0</v>
      </c>
      <c r="G1049" s="12" t="str">
        <f t="shared" si="3"/>
        <v>Withdrawal</v>
      </c>
      <c r="H1049" s="12" t="str">
        <f>TEXT(Raw_Data!A1055,"hh:mm:ss")
</f>
        <v>11:42:51</v>
      </c>
      <c r="I1049" s="20">
        <f t="shared" si="4"/>
        <v>200</v>
      </c>
    </row>
    <row r="1050">
      <c r="A1050" s="12" t="str">
        <f>Raw_Data!A1056</f>
        <v>11 Jun 2025 12:36:44</v>
      </c>
      <c r="B1050" s="12" t="str">
        <f t="shared" si="1"/>
        <v>June</v>
      </c>
      <c r="C1050" s="12">
        <f t="shared" si="2"/>
        <v>6</v>
      </c>
      <c r="D1050" s="12" t="str">
        <f>IFERROR(__xludf.DUMMYFUNCTION("IFERROR(IF(REGEXMATCH(LOWER(Raw_Data!C1056),""fixed deposit|owealth|savings|target""),""Fixed Deposit"",IF(REGEXMATCH(LOWER(Raw_Data!C1056),""airtime""),""Airtime"",IF(REGEXMATCH(LOWER(Raw_Data!C1056),""electronic money transfer levy""),""Electronic Money"&amp;" Transfer Levy"",IF(REGEXMATCH(LOWER(Raw_Data!C1056),""transfer|trf|send""),""Transfer"",""Other"")))),""Other"")"),"Transfer")</f>
        <v>Transfer</v>
      </c>
      <c r="E1050" s="20">
        <v>0.0</v>
      </c>
      <c r="F1050" s="20">
        <v>3000.0</v>
      </c>
      <c r="G1050" s="12" t="str">
        <f t="shared" si="3"/>
        <v>Deposit</v>
      </c>
      <c r="H1050" s="12" t="str">
        <f>TEXT(Raw_Data!A1056,"hh:mm:ss")
</f>
        <v>12:36:44</v>
      </c>
      <c r="I1050" s="20">
        <f t="shared" si="4"/>
        <v>3000</v>
      </c>
    </row>
    <row r="1051">
      <c r="A1051" s="12" t="str">
        <f>Raw_Data!A1057</f>
        <v>11 Jun 2025 13:26:41</v>
      </c>
      <c r="B1051" s="12" t="str">
        <f t="shared" si="1"/>
        <v>June</v>
      </c>
      <c r="C1051" s="12">
        <f t="shared" si="2"/>
        <v>6</v>
      </c>
      <c r="D1051" s="12" t="str">
        <f>IFERROR(__xludf.DUMMYFUNCTION("IFERROR(IF(REGEXMATCH(LOWER(Raw_Data!C1057),""fixed deposit|owealth|savings|target""),""Fixed Deposit"",IF(REGEXMATCH(LOWER(Raw_Data!C1057),""airtime""),""Airtime"",IF(REGEXMATCH(LOWER(Raw_Data!C1057),""electronic money transfer levy""),""Electronic Money"&amp;" Transfer Levy"",IF(REGEXMATCH(LOWER(Raw_Data!C1057),""transfer|trf|send""),""Transfer"",""Other"")))),""Other"")"),"Airtime")</f>
        <v>Airtime</v>
      </c>
      <c r="E1051" s="20">
        <v>300.0</v>
      </c>
      <c r="F1051" s="20">
        <v>0.0</v>
      </c>
      <c r="G1051" s="12" t="str">
        <f t="shared" si="3"/>
        <v>Withdrawal</v>
      </c>
      <c r="H1051" s="12" t="str">
        <f>TEXT(Raw_Data!A1057,"hh:mm:ss")
</f>
        <v>13:26:41</v>
      </c>
      <c r="I1051" s="20">
        <f t="shared" si="4"/>
        <v>300</v>
      </c>
    </row>
    <row r="1052">
      <c r="A1052" s="12" t="str">
        <f>Raw_Data!A1058</f>
        <v>11 Jun 2025 19:27:24</v>
      </c>
      <c r="B1052" s="12" t="str">
        <f t="shared" si="1"/>
        <v>June</v>
      </c>
      <c r="C1052" s="12">
        <f t="shared" si="2"/>
        <v>6</v>
      </c>
      <c r="D1052" s="12" t="str">
        <f>IFERROR(__xludf.DUMMYFUNCTION("IFERROR(IF(REGEXMATCH(LOWER(Raw_Data!C1058),""fixed deposit|owealth|savings|target""),""Fixed Deposit"",IF(REGEXMATCH(LOWER(Raw_Data!C1058),""airtime""),""Airtime"",IF(REGEXMATCH(LOWER(Raw_Data!C1058),""electronic money transfer levy""),""Electronic Money"&amp;" Transfer Levy"",IF(REGEXMATCH(LOWER(Raw_Data!C1058),""transfer|trf|send""),""Transfer"",""Other"")))),""Other"")"),"Transfer")</f>
        <v>Transfer</v>
      </c>
      <c r="E1052" s="20">
        <v>800.0</v>
      </c>
      <c r="F1052" s="20">
        <v>0.0</v>
      </c>
      <c r="G1052" s="12" t="str">
        <f t="shared" si="3"/>
        <v>Withdrawal</v>
      </c>
      <c r="H1052" s="12" t="str">
        <f>TEXT(Raw_Data!A1058,"hh:mm:ss")
</f>
        <v>19:27:24</v>
      </c>
      <c r="I1052" s="20">
        <f t="shared" si="4"/>
        <v>800</v>
      </c>
    </row>
    <row r="1053">
      <c r="A1053" s="12" t="str">
        <f>Raw_Data!A1059</f>
        <v>11 Jun 2025 21:51:33</v>
      </c>
      <c r="B1053" s="12" t="str">
        <f t="shared" si="1"/>
        <v>June</v>
      </c>
      <c r="C1053" s="12">
        <f t="shared" si="2"/>
        <v>6</v>
      </c>
      <c r="D1053" s="12" t="str">
        <f>IFERROR(__xludf.DUMMYFUNCTION("IFERROR(IF(REGEXMATCH(LOWER(Raw_Data!C1059),""fixed deposit|owealth|savings|target""),""Fixed Deposit"",IF(REGEXMATCH(LOWER(Raw_Data!C1059),""airtime""),""Airtime"",IF(REGEXMATCH(LOWER(Raw_Data!C1059),""electronic money transfer levy""),""Electronic Money"&amp;" Transfer Levy"",IF(REGEXMATCH(LOWER(Raw_Data!C1059),""transfer|trf|send""),""Transfer"",""Other"")))),""Other"")"),"Airtime")</f>
        <v>Airtime</v>
      </c>
      <c r="E1053" s="20">
        <v>200.0</v>
      </c>
      <c r="F1053" s="20">
        <v>0.0</v>
      </c>
      <c r="G1053" s="12" t="str">
        <f t="shared" si="3"/>
        <v>Withdrawal</v>
      </c>
      <c r="H1053" s="12" t="str">
        <f>TEXT(Raw_Data!A1059,"hh:mm:ss")
</f>
        <v>21:51:33</v>
      </c>
      <c r="I1053" s="20">
        <f t="shared" si="4"/>
        <v>200</v>
      </c>
    </row>
    <row r="1054">
      <c r="A1054" s="12" t="str">
        <f>Raw_Data!A1060</f>
        <v>12 Jun 2025 07:25:25</v>
      </c>
      <c r="B1054" s="12" t="str">
        <f t="shared" si="1"/>
        <v>June</v>
      </c>
      <c r="C1054" s="12">
        <f t="shared" si="2"/>
        <v>6</v>
      </c>
      <c r="D1054" s="12" t="str">
        <f>IFERROR(__xludf.DUMMYFUNCTION("IFERROR(IF(REGEXMATCH(LOWER(Raw_Data!C1060),""fixed deposit|owealth|savings|target""),""Fixed Deposit"",IF(REGEXMATCH(LOWER(Raw_Data!C1060),""airtime""),""Airtime"",IF(REGEXMATCH(LOWER(Raw_Data!C1060),""electronic money transfer levy""),""Electronic Money"&amp;" Transfer Levy"",IF(REGEXMATCH(LOWER(Raw_Data!C1060),""transfer|trf|send""),""Transfer"",""Other"")))),""Other"")"),"Transfer")</f>
        <v>Transfer</v>
      </c>
      <c r="E1054" s="20">
        <v>1000.0</v>
      </c>
      <c r="F1054" s="20">
        <v>0.0</v>
      </c>
      <c r="G1054" s="12" t="str">
        <f t="shared" si="3"/>
        <v>Withdrawal</v>
      </c>
      <c r="H1054" s="12" t="str">
        <f>TEXT(Raw_Data!A1060,"hh:mm:ss")
</f>
        <v>07:25:25</v>
      </c>
      <c r="I1054" s="20">
        <f t="shared" si="4"/>
        <v>1000</v>
      </c>
    </row>
    <row r="1055">
      <c r="A1055" s="12" t="str">
        <f>Raw_Data!A1061</f>
        <v>12 Jun 2025 08:05:30</v>
      </c>
      <c r="B1055" s="12" t="str">
        <f t="shared" si="1"/>
        <v>June</v>
      </c>
      <c r="C1055" s="12">
        <f t="shared" si="2"/>
        <v>6</v>
      </c>
      <c r="D1055" s="12" t="str">
        <f>IFERROR(__xludf.DUMMYFUNCTION("IFERROR(IF(REGEXMATCH(LOWER(Raw_Data!C1061),""fixed deposit|owealth|savings|target""),""Fixed Deposit"",IF(REGEXMATCH(LOWER(Raw_Data!C1061),""airtime""),""Airtime"",IF(REGEXMATCH(LOWER(Raw_Data!C1061),""electronic money transfer levy""),""Electronic Money"&amp;" Transfer Levy"",IF(REGEXMATCH(LOWER(Raw_Data!C1061),""transfer|trf|send""),""Transfer"",""Other"")))),""Other"")"),"Transfer")</f>
        <v>Transfer</v>
      </c>
      <c r="E1055" s="20">
        <v>2000.0</v>
      </c>
      <c r="F1055" s="20">
        <v>0.0</v>
      </c>
      <c r="G1055" s="12" t="str">
        <f t="shared" si="3"/>
        <v>Withdrawal</v>
      </c>
      <c r="H1055" s="12" t="str">
        <f>TEXT(Raw_Data!A1061,"hh:mm:ss")
</f>
        <v>08:05:30</v>
      </c>
      <c r="I1055" s="20">
        <f t="shared" si="4"/>
        <v>2000</v>
      </c>
    </row>
    <row r="1056">
      <c r="A1056" s="12" t="str">
        <f>Raw_Data!A1062</f>
        <v>12 Jun 2025 08:29:21</v>
      </c>
      <c r="B1056" s="12" t="str">
        <f t="shared" si="1"/>
        <v>June</v>
      </c>
      <c r="C1056" s="12">
        <f t="shared" si="2"/>
        <v>6</v>
      </c>
      <c r="D1056" s="12" t="str">
        <f>IFERROR(__xludf.DUMMYFUNCTION("IFERROR(IF(REGEXMATCH(LOWER(Raw_Data!C1062),""fixed deposit|owealth|savings|target""),""Fixed Deposit"",IF(REGEXMATCH(LOWER(Raw_Data!C1062),""airtime""),""Airtime"",IF(REGEXMATCH(LOWER(Raw_Data!C1062),""electronic money transfer levy""),""Electronic Money"&amp;" Transfer Levy"",IF(REGEXMATCH(LOWER(Raw_Data!C1062),""transfer|trf|send""),""Transfer"",""Other"")))),""Other"")"),"Transfer")</f>
        <v>Transfer</v>
      </c>
      <c r="E1056" s="20">
        <v>350.0</v>
      </c>
      <c r="F1056" s="20">
        <v>0.0</v>
      </c>
      <c r="G1056" s="12" t="str">
        <f t="shared" si="3"/>
        <v>Withdrawal</v>
      </c>
      <c r="H1056" s="12" t="str">
        <f>TEXT(Raw_Data!A1062,"hh:mm:ss")
</f>
        <v>08:29:21</v>
      </c>
      <c r="I1056" s="20">
        <f t="shared" si="4"/>
        <v>350</v>
      </c>
    </row>
    <row r="1057">
      <c r="A1057" s="12" t="str">
        <f>Raw_Data!A1063</f>
        <v>12 Jun 2025 08:57:24</v>
      </c>
      <c r="B1057" s="12" t="str">
        <f t="shared" si="1"/>
        <v>June</v>
      </c>
      <c r="C1057" s="12">
        <f t="shared" si="2"/>
        <v>6</v>
      </c>
      <c r="D1057" s="12" t="str">
        <f>IFERROR(__xludf.DUMMYFUNCTION("IFERROR(IF(REGEXMATCH(LOWER(Raw_Data!C1063),""fixed deposit|owealth|savings|target""),""Fixed Deposit"",IF(REGEXMATCH(LOWER(Raw_Data!C1063),""airtime""),""Airtime"",IF(REGEXMATCH(LOWER(Raw_Data!C1063),""electronic money transfer levy""),""Electronic Money"&amp;" Transfer Levy"",IF(REGEXMATCH(LOWER(Raw_Data!C1063),""transfer|trf|send""),""Transfer"",""Other"")))),""Other"")"),"Transfer")</f>
        <v>Transfer</v>
      </c>
      <c r="E1057" s="20">
        <v>0.0</v>
      </c>
      <c r="F1057" s="20">
        <v>1500.0</v>
      </c>
      <c r="G1057" s="12" t="str">
        <f t="shared" si="3"/>
        <v>Deposit</v>
      </c>
      <c r="H1057" s="12" t="str">
        <f>TEXT(Raw_Data!A1063,"hh:mm:ss")
</f>
        <v>08:57:24</v>
      </c>
      <c r="I1057" s="20">
        <f t="shared" si="4"/>
        <v>1500</v>
      </c>
    </row>
    <row r="1058">
      <c r="A1058" s="12" t="str">
        <f>Raw_Data!A1064</f>
        <v>13 Jun 2025 09:35:18</v>
      </c>
      <c r="B1058" s="12" t="str">
        <f t="shared" si="1"/>
        <v>June</v>
      </c>
      <c r="C1058" s="12">
        <f t="shared" si="2"/>
        <v>6</v>
      </c>
      <c r="D1058" s="12" t="str">
        <f>IFERROR(__xludf.DUMMYFUNCTION("IFERROR(IF(REGEXMATCH(LOWER(Raw_Data!C1064),""fixed deposit|owealth|savings|target""),""Fixed Deposit"",IF(REGEXMATCH(LOWER(Raw_Data!C1064),""airtime""),""Airtime"",IF(REGEXMATCH(LOWER(Raw_Data!C1064),""electronic money transfer levy""),""Electronic Money"&amp;" Transfer Levy"",IF(REGEXMATCH(LOWER(Raw_Data!C1064),""transfer|trf|send""),""Transfer"",""Other"")))),""Other"")"),"Airtime")</f>
        <v>Airtime</v>
      </c>
      <c r="E1058" s="20">
        <v>200.0</v>
      </c>
      <c r="F1058" s="20">
        <v>0.0</v>
      </c>
      <c r="G1058" s="12" t="str">
        <f t="shared" si="3"/>
        <v>Withdrawal</v>
      </c>
      <c r="H1058" s="12" t="str">
        <f>TEXT(Raw_Data!A1064,"hh:mm:ss")
</f>
        <v>09:35:18</v>
      </c>
      <c r="I1058" s="20">
        <f t="shared" si="4"/>
        <v>200</v>
      </c>
    </row>
    <row r="1059">
      <c r="A1059" s="12" t="str">
        <f>Raw_Data!A1065</f>
        <v>13 Jun 2025 13:16:25</v>
      </c>
      <c r="B1059" s="12" t="str">
        <f t="shared" si="1"/>
        <v>June</v>
      </c>
      <c r="C1059" s="12">
        <f t="shared" si="2"/>
        <v>6</v>
      </c>
      <c r="D1059" s="12" t="str">
        <f>IFERROR(__xludf.DUMMYFUNCTION("IFERROR(IF(REGEXMATCH(LOWER(Raw_Data!C1065),""fixed deposit|owealth|savings|target""),""Fixed Deposit"",IF(REGEXMATCH(LOWER(Raw_Data!C1065),""airtime""),""Airtime"",IF(REGEXMATCH(LOWER(Raw_Data!C1065),""electronic money transfer levy""),""Electronic Money"&amp;" Transfer Levy"",IF(REGEXMATCH(LOWER(Raw_Data!C1065),""transfer|trf|send""),""Transfer"",""Other"")))),""Other"")"),"Transfer")</f>
        <v>Transfer</v>
      </c>
      <c r="E1059" s="20">
        <v>100.0</v>
      </c>
      <c r="F1059" s="20">
        <v>0.0</v>
      </c>
      <c r="G1059" s="12" t="str">
        <f t="shared" si="3"/>
        <v>Withdrawal</v>
      </c>
      <c r="H1059" s="12" t="str">
        <f>TEXT(Raw_Data!A1065,"hh:mm:ss")
</f>
        <v>13:16:25</v>
      </c>
      <c r="I1059" s="20">
        <f t="shared" si="4"/>
        <v>100</v>
      </c>
    </row>
    <row r="1060">
      <c r="A1060" s="12" t="str">
        <f>Raw_Data!A1066</f>
        <v>13 Jun 2025 15:19:49</v>
      </c>
      <c r="B1060" s="12" t="str">
        <f t="shared" si="1"/>
        <v>June</v>
      </c>
      <c r="C1060" s="12">
        <f t="shared" si="2"/>
        <v>6</v>
      </c>
      <c r="D1060" s="12" t="str">
        <f>IFERROR(__xludf.DUMMYFUNCTION("IFERROR(IF(REGEXMATCH(LOWER(Raw_Data!C1066),""fixed deposit|owealth|savings|target""),""Fixed Deposit"",IF(REGEXMATCH(LOWER(Raw_Data!C1066),""airtime""),""Airtime"",IF(REGEXMATCH(LOWER(Raw_Data!C1066),""electronic money transfer levy""),""Electronic Money"&amp;" Transfer Levy"",IF(REGEXMATCH(LOWER(Raw_Data!C1066),""transfer|trf|send""),""Transfer"",""Other"")))),""Other"")"),"Transfer")</f>
        <v>Transfer</v>
      </c>
      <c r="E1060" s="20">
        <v>300.0</v>
      </c>
      <c r="F1060" s="20">
        <v>0.0</v>
      </c>
      <c r="G1060" s="12" t="str">
        <f t="shared" si="3"/>
        <v>Withdrawal</v>
      </c>
      <c r="H1060" s="12" t="str">
        <f>TEXT(Raw_Data!A1066,"hh:mm:ss")
</f>
        <v>15:19:49</v>
      </c>
      <c r="I1060" s="20">
        <f t="shared" si="4"/>
        <v>300</v>
      </c>
    </row>
    <row r="1061">
      <c r="A1061" s="12" t="str">
        <f>Raw_Data!A1067</f>
        <v>14 Jun 2025 18:18:11</v>
      </c>
      <c r="B1061" s="12" t="str">
        <f t="shared" si="1"/>
        <v>June</v>
      </c>
      <c r="C1061" s="12">
        <f t="shared" si="2"/>
        <v>6</v>
      </c>
      <c r="D1061" s="12" t="str">
        <f>IFERROR(__xludf.DUMMYFUNCTION("IFERROR(IF(REGEXMATCH(LOWER(Raw_Data!C1067),""fixed deposit|owealth|savings|target""),""Fixed Deposit"",IF(REGEXMATCH(LOWER(Raw_Data!C1067),""airtime""),""Airtime"",IF(REGEXMATCH(LOWER(Raw_Data!C1067),""electronic money transfer levy""),""Electronic Money"&amp;" Transfer Levy"",IF(REGEXMATCH(LOWER(Raw_Data!C1067),""transfer|trf|send""),""Transfer"",""Other"")))),""Other"")"),"Transfer")</f>
        <v>Transfer</v>
      </c>
      <c r="E1061" s="20">
        <v>100.0</v>
      </c>
      <c r="F1061" s="20">
        <v>0.0</v>
      </c>
      <c r="G1061" s="12" t="str">
        <f t="shared" si="3"/>
        <v>Withdrawal</v>
      </c>
      <c r="H1061" s="12" t="str">
        <f>TEXT(Raw_Data!A1067,"hh:mm:ss")
</f>
        <v>18:18:11</v>
      </c>
      <c r="I1061" s="20">
        <f t="shared" si="4"/>
        <v>100</v>
      </c>
    </row>
    <row r="1062">
      <c r="A1062" s="12" t="str">
        <f>Raw_Data!A1068</f>
        <v>15 Jun 2025 13:18:02</v>
      </c>
      <c r="B1062" s="12" t="str">
        <f t="shared" si="1"/>
        <v>June</v>
      </c>
      <c r="C1062" s="12">
        <f t="shared" si="2"/>
        <v>6</v>
      </c>
      <c r="D1062" s="12" t="str">
        <f>IFERROR(__xludf.DUMMYFUNCTION("IFERROR(IF(REGEXMATCH(LOWER(Raw_Data!C1068),""fixed deposit|owealth|savings|target""),""Fixed Deposit"",IF(REGEXMATCH(LOWER(Raw_Data!C1068),""airtime""),""Airtime"",IF(REGEXMATCH(LOWER(Raw_Data!C1068),""electronic money transfer levy""),""Electronic Money"&amp;" Transfer Levy"",IF(REGEXMATCH(LOWER(Raw_Data!C1068),""transfer|trf|send""),""Transfer"",""Other"")))),""Other"")"),"Airtime")</f>
        <v>Airtime</v>
      </c>
      <c r="E1062" s="20">
        <v>200.0</v>
      </c>
      <c r="F1062" s="20">
        <v>0.0</v>
      </c>
      <c r="G1062" s="12" t="str">
        <f t="shared" si="3"/>
        <v>Withdrawal</v>
      </c>
      <c r="H1062" s="12" t="str">
        <f>TEXT(Raw_Data!A1068,"hh:mm:ss")
</f>
        <v>13:18:02</v>
      </c>
      <c r="I1062" s="20">
        <f t="shared" si="4"/>
        <v>200</v>
      </c>
    </row>
    <row r="1063">
      <c r="A1063" s="12" t="str">
        <f>Raw_Data!A1069</f>
        <v>15 Jun 2025 13:31:18</v>
      </c>
      <c r="B1063" s="12" t="str">
        <f t="shared" si="1"/>
        <v>June</v>
      </c>
      <c r="C1063" s="12">
        <f t="shared" si="2"/>
        <v>6</v>
      </c>
      <c r="D1063" s="12" t="str">
        <f>IFERROR(__xludf.DUMMYFUNCTION("IFERROR(IF(REGEXMATCH(LOWER(Raw_Data!C1069),""fixed deposit|owealth|savings|target""),""Fixed Deposit"",IF(REGEXMATCH(LOWER(Raw_Data!C1069),""airtime""),""Airtime"",IF(REGEXMATCH(LOWER(Raw_Data!C1069),""electronic money transfer levy""),""Electronic Money"&amp;" Transfer Levy"",IF(REGEXMATCH(LOWER(Raw_Data!C1069),""transfer|trf|send""),""Transfer"",""Other"")))),""Other"")"),"Transfer")</f>
        <v>Transfer</v>
      </c>
      <c r="E1063" s="20">
        <v>650.0</v>
      </c>
      <c r="F1063" s="20">
        <v>0.0</v>
      </c>
      <c r="G1063" s="12" t="str">
        <f t="shared" si="3"/>
        <v>Withdrawal</v>
      </c>
      <c r="H1063" s="12" t="str">
        <f>TEXT(Raw_Data!A1069,"hh:mm:ss")
</f>
        <v>13:31:18</v>
      </c>
      <c r="I1063" s="20">
        <f t="shared" si="4"/>
        <v>650</v>
      </c>
    </row>
    <row r="1064">
      <c r="A1064" s="12" t="str">
        <f>Raw_Data!A1070</f>
        <v>15 Jun 2025 15:25:27</v>
      </c>
      <c r="B1064" s="12" t="str">
        <f t="shared" si="1"/>
        <v>June</v>
      </c>
      <c r="C1064" s="12">
        <f t="shared" si="2"/>
        <v>6</v>
      </c>
      <c r="D1064" s="12" t="str">
        <f>IFERROR(__xludf.DUMMYFUNCTION("IFERROR(IF(REGEXMATCH(LOWER(Raw_Data!C1070),""fixed deposit|owealth|savings|target""),""Fixed Deposit"",IF(REGEXMATCH(LOWER(Raw_Data!C1070),""airtime""),""Airtime"",IF(REGEXMATCH(LOWER(Raw_Data!C1070),""electronic money transfer levy""),""Electronic Money"&amp;" Transfer Levy"",IF(REGEXMATCH(LOWER(Raw_Data!C1070),""transfer|trf|send""),""Transfer"",""Other"")))),""Other"")"),"Airtime")</f>
        <v>Airtime</v>
      </c>
      <c r="E1064" s="20">
        <v>200.0</v>
      </c>
      <c r="F1064" s="20">
        <v>0.0</v>
      </c>
      <c r="G1064" s="12" t="str">
        <f t="shared" si="3"/>
        <v>Withdrawal</v>
      </c>
      <c r="H1064" s="12" t="str">
        <f>TEXT(Raw_Data!A1070,"hh:mm:ss")
</f>
        <v>15:25:27</v>
      </c>
      <c r="I1064" s="20">
        <f t="shared" si="4"/>
        <v>200</v>
      </c>
    </row>
    <row r="1065">
      <c r="A1065" s="12" t="str">
        <f>Raw_Data!A1071</f>
        <v>16 Jun 2025 08:18:16</v>
      </c>
      <c r="B1065" s="12" t="str">
        <f t="shared" si="1"/>
        <v>June</v>
      </c>
      <c r="C1065" s="12">
        <f t="shared" si="2"/>
        <v>6</v>
      </c>
      <c r="D1065" s="12" t="str">
        <f>IFERROR(__xludf.DUMMYFUNCTION("IFERROR(IF(REGEXMATCH(LOWER(Raw_Data!C1071),""fixed deposit|owealth|savings|target""),""Fixed Deposit"",IF(REGEXMATCH(LOWER(Raw_Data!C1071),""airtime""),""Airtime"",IF(REGEXMATCH(LOWER(Raw_Data!C1071),""electronic money transfer levy""),""Electronic Money"&amp;" Transfer Levy"",IF(REGEXMATCH(LOWER(Raw_Data!C1071),""transfer|trf|send""),""Transfer"",""Other"")))),""Other"")"),"Transfer")</f>
        <v>Transfer</v>
      </c>
      <c r="E1065" s="20">
        <v>550.0</v>
      </c>
      <c r="F1065" s="20">
        <v>0.0</v>
      </c>
      <c r="G1065" s="12" t="str">
        <f t="shared" si="3"/>
        <v>Withdrawal</v>
      </c>
      <c r="H1065" s="12" t="str">
        <f>TEXT(Raw_Data!A1071,"hh:mm:ss")
</f>
        <v>08:18:16</v>
      </c>
      <c r="I1065" s="20">
        <f t="shared" si="4"/>
        <v>550</v>
      </c>
    </row>
    <row r="1066">
      <c r="A1066" s="12" t="str">
        <f>Raw_Data!A1072</f>
        <v>16 Jun 2025 14:34:04</v>
      </c>
      <c r="B1066" s="12" t="str">
        <f t="shared" si="1"/>
        <v>June</v>
      </c>
      <c r="C1066" s="12">
        <f t="shared" si="2"/>
        <v>6</v>
      </c>
      <c r="D1066" s="12" t="str">
        <f>IFERROR(__xludf.DUMMYFUNCTION("IFERROR(IF(REGEXMATCH(LOWER(Raw_Data!C1072),""fixed deposit|owealth|savings|target""),""Fixed Deposit"",IF(REGEXMATCH(LOWER(Raw_Data!C1072),""airtime""),""Airtime"",IF(REGEXMATCH(LOWER(Raw_Data!C1072),""electronic money transfer levy""),""Electronic Money"&amp;" Transfer Levy"",IF(REGEXMATCH(LOWER(Raw_Data!C1072),""transfer|trf|send""),""Transfer"",""Other"")))),""Other"")"),"Transfer")</f>
        <v>Transfer</v>
      </c>
      <c r="E1066" s="20">
        <v>0.0</v>
      </c>
      <c r="F1066" s="20">
        <v>19950.0</v>
      </c>
      <c r="G1066" s="12" t="str">
        <f t="shared" si="3"/>
        <v>Deposit</v>
      </c>
      <c r="H1066" s="12" t="str">
        <f>TEXT(Raw_Data!A1072,"hh:mm:ss")
</f>
        <v>14:34:04</v>
      </c>
      <c r="I1066" s="20">
        <f t="shared" si="4"/>
        <v>19950</v>
      </c>
    </row>
    <row r="1067">
      <c r="A1067" s="12" t="str">
        <f>Raw_Data!A1073</f>
        <v>16 Jun 2025 14:34:05</v>
      </c>
      <c r="B1067" s="12" t="str">
        <f t="shared" si="1"/>
        <v>June</v>
      </c>
      <c r="C1067" s="12">
        <f t="shared" si="2"/>
        <v>6</v>
      </c>
      <c r="D1067" s="12" t="str">
        <f>IFERROR(__xludf.DUMMYFUNCTION("IFERROR(IF(REGEXMATCH(LOWER(Raw_Data!C1073),""fixed deposit|owealth|savings|target""),""Fixed Deposit"",IF(REGEXMATCH(LOWER(Raw_Data!C1073),""airtime""),""Airtime"",IF(REGEXMATCH(LOWER(Raw_Data!C1073),""electronic money transfer levy""),""Electronic Money"&amp;" Transfer Levy"",IF(REGEXMATCH(LOWER(Raw_Data!C1073),""transfer|trf|send""),""Transfer"",""Other"")))),""Other"")"),"Electronic Money Transfer Levy")</f>
        <v>Electronic Money Transfer Levy</v>
      </c>
      <c r="E1067" s="20">
        <v>50.0</v>
      </c>
      <c r="F1067" s="20">
        <v>0.0</v>
      </c>
      <c r="G1067" s="12" t="str">
        <f t="shared" si="3"/>
        <v>Withdrawal</v>
      </c>
      <c r="H1067" s="12" t="str">
        <f>TEXT(Raw_Data!A1073,"hh:mm:ss")
</f>
        <v>14:34:05</v>
      </c>
      <c r="I1067" s="20">
        <f t="shared" si="4"/>
        <v>50</v>
      </c>
    </row>
    <row r="1068">
      <c r="A1068" s="12" t="str">
        <f>Raw_Data!A1074</f>
        <v>16 Jun 2025 14:46:40</v>
      </c>
      <c r="B1068" s="12" t="str">
        <f t="shared" si="1"/>
        <v>June</v>
      </c>
      <c r="C1068" s="12">
        <f t="shared" si="2"/>
        <v>6</v>
      </c>
      <c r="D1068" s="12" t="str">
        <f>IFERROR(__xludf.DUMMYFUNCTION("IFERROR(IF(REGEXMATCH(LOWER(Raw_Data!C1074),""fixed deposit|owealth|savings|target""),""Fixed Deposit"",IF(REGEXMATCH(LOWER(Raw_Data!C1074),""airtime""),""Airtime"",IF(REGEXMATCH(LOWER(Raw_Data!C1074),""electronic money transfer levy""),""Electronic Money"&amp;" Transfer Levy"",IF(REGEXMATCH(LOWER(Raw_Data!C1074),""transfer|trf|send""),""Transfer"",""Other"")))),""Other"")"),"Airtime")</f>
        <v>Airtime</v>
      </c>
      <c r="E1068" s="20">
        <v>11000.0</v>
      </c>
      <c r="F1068" s="20">
        <v>0.0</v>
      </c>
      <c r="G1068" s="12" t="str">
        <f t="shared" si="3"/>
        <v>Withdrawal</v>
      </c>
      <c r="H1068" s="12" t="str">
        <f>TEXT(Raw_Data!A1074,"hh:mm:ss")
</f>
        <v>14:46:40</v>
      </c>
      <c r="I1068" s="20">
        <f t="shared" si="4"/>
        <v>11000</v>
      </c>
    </row>
    <row r="1069">
      <c r="A1069" s="12" t="str">
        <f>Raw_Data!A1075</f>
        <v>16 Jun 2025 14:49:14</v>
      </c>
      <c r="B1069" s="12" t="str">
        <f t="shared" si="1"/>
        <v>June</v>
      </c>
      <c r="C1069" s="12">
        <f t="shared" si="2"/>
        <v>6</v>
      </c>
      <c r="D1069" s="12" t="str">
        <f>IFERROR(__xludf.DUMMYFUNCTION("IFERROR(IF(REGEXMATCH(LOWER(Raw_Data!C1075),""fixed deposit|owealth|savings|target""),""Fixed Deposit"",IF(REGEXMATCH(LOWER(Raw_Data!C1075),""airtime""),""Airtime"",IF(REGEXMATCH(LOWER(Raw_Data!C1075),""electronic money transfer levy""),""Electronic Money"&amp;" Transfer Levy"",IF(REGEXMATCH(LOWER(Raw_Data!C1075),""transfer|trf|send""),""Transfer"",""Other"")))),""Other"")"),"Airtime")</f>
        <v>Airtime</v>
      </c>
      <c r="E1069" s="20">
        <v>250.0</v>
      </c>
      <c r="F1069" s="20">
        <v>0.0</v>
      </c>
      <c r="G1069" s="12" t="str">
        <f t="shared" si="3"/>
        <v>Withdrawal</v>
      </c>
      <c r="H1069" s="12" t="str">
        <f>TEXT(Raw_Data!A1075,"hh:mm:ss")
</f>
        <v>14:49:14</v>
      </c>
      <c r="I1069" s="20">
        <f t="shared" si="4"/>
        <v>250</v>
      </c>
    </row>
    <row r="1070">
      <c r="A1070" s="12" t="str">
        <f>Raw_Data!A1076</f>
        <v>16 Jun 2025 14:50:54</v>
      </c>
      <c r="B1070" s="12" t="str">
        <f t="shared" si="1"/>
        <v>June</v>
      </c>
      <c r="C1070" s="12">
        <f t="shared" si="2"/>
        <v>6</v>
      </c>
      <c r="D1070" s="12" t="str">
        <f>IFERROR(__xludf.DUMMYFUNCTION("IFERROR(IF(REGEXMATCH(LOWER(Raw_Data!C1076),""fixed deposit|owealth|savings|target""),""Fixed Deposit"",IF(REGEXMATCH(LOWER(Raw_Data!C1076),""airtime""),""Airtime"",IF(REGEXMATCH(LOWER(Raw_Data!C1076),""electronic money transfer levy""),""Electronic Money"&amp;" Transfer Levy"",IF(REGEXMATCH(LOWER(Raw_Data!C1076),""transfer|trf|send""),""Transfer"",""Other"")))),""Other"")"),"Airtime")</f>
        <v>Airtime</v>
      </c>
      <c r="E1070" s="20">
        <v>1000.0</v>
      </c>
      <c r="F1070" s="20">
        <v>0.0</v>
      </c>
      <c r="G1070" s="12" t="str">
        <f t="shared" si="3"/>
        <v>Withdrawal</v>
      </c>
      <c r="H1070" s="12" t="str">
        <f>TEXT(Raw_Data!A1076,"hh:mm:ss")
</f>
        <v>14:50:54</v>
      </c>
      <c r="I1070" s="20">
        <f t="shared" si="4"/>
        <v>1000</v>
      </c>
    </row>
    <row r="1071">
      <c r="A1071" s="12" t="str">
        <f>Raw_Data!A1077</f>
        <v>16 Jun 2025 15:20:03</v>
      </c>
      <c r="B1071" s="12" t="str">
        <f t="shared" si="1"/>
        <v>June</v>
      </c>
      <c r="C1071" s="12">
        <f t="shared" si="2"/>
        <v>6</v>
      </c>
      <c r="D1071" s="12" t="str">
        <f>IFERROR(__xludf.DUMMYFUNCTION("IFERROR(IF(REGEXMATCH(LOWER(Raw_Data!C1077),""fixed deposit|owealth|savings|target""),""Fixed Deposit"",IF(REGEXMATCH(LOWER(Raw_Data!C1077),""airtime""),""Airtime"",IF(REGEXMATCH(LOWER(Raw_Data!C1077),""electronic money transfer levy""),""Electronic Money"&amp;" Transfer Levy"",IF(REGEXMATCH(LOWER(Raw_Data!C1077),""transfer|trf|send""),""Transfer"",""Other"")))),""Other"")"),"Transfer")</f>
        <v>Transfer</v>
      </c>
      <c r="E1071" s="20">
        <v>3000.0</v>
      </c>
      <c r="F1071" s="20">
        <v>0.0</v>
      </c>
      <c r="G1071" s="12" t="str">
        <f t="shared" si="3"/>
        <v>Withdrawal</v>
      </c>
      <c r="H1071" s="12" t="str">
        <f>TEXT(Raw_Data!A1077,"hh:mm:ss")
</f>
        <v>15:20:03</v>
      </c>
      <c r="I1071" s="20">
        <f t="shared" si="4"/>
        <v>3000</v>
      </c>
    </row>
    <row r="1072">
      <c r="A1072" s="12" t="str">
        <f>Raw_Data!A1078</f>
        <v>16 Jun 2025 16:53:16</v>
      </c>
      <c r="B1072" s="12" t="str">
        <f t="shared" si="1"/>
        <v>June</v>
      </c>
      <c r="C1072" s="12">
        <f t="shared" si="2"/>
        <v>6</v>
      </c>
      <c r="D1072" s="12" t="str">
        <f>IFERROR(__xludf.DUMMYFUNCTION("IFERROR(IF(REGEXMATCH(LOWER(Raw_Data!C1078),""fixed deposit|owealth|savings|target""),""Fixed Deposit"",IF(REGEXMATCH(LOWER(Raw_Data!C1078),""airtime""),""Airtime"",IF(REGEXMATCH(LOWER(Raw_Data!C1078),""electronic money transfer levy""),""Electronic Money"&amp;" Transfer Levy"",IF(REGEXMATCH(LOWER(Raw_Data!C1078),""transfer|trf|send""),""Transfer"",""Other"")))),""Other"")"),"Airtime")</f>
        <v>Airtime</v>
      </c>
      <c r="E1072" s="20">
        <v>200.0</v>
      </c>
      <c r="F1072" s="20">
        <v>0.0</v>
      </c>
      <c r="G1072" s="12" t="str">
        <f t="shared" si="3"/>
        <v>Withdrawal</v>
      </c>
      <c r="H1072" s="12" t="str">
        <f>TEXT(Raw_Data!A1078,"hh:mm:ss")
</f>
        <v>16:53:16</v>
      </c>
      <c r="I1072" s="20">
        <f t="shared" si="4"/>
        <v>200</v>
      </c>
    </row>
    <row r="1073">
      <c r="A1073" s="12" t="str">
        <f>Raw_Data!A1079</f>
        <v>16 Jun 2025 18:17:17</v>
      </c>
      <c r="B1073" s="12" t="str">
        <f t="shared" si="1"/>
        <v>June</v>
      </c>
      <c r="C1073" s="12">
        <f t="shared" si="2"/>
        <v>6</v>
      </c>
      <c r="D1073" s="12" t="str">
        <f>IFERROR(__xludf.DUMMYFUNCTION("IFERROR(IF(REGEXMATCH(LOWER(Raw_Data!C1079),""fixed deposit|owealth|savings|target""),""Fixed Deposit"",IF(REGEXMATCH(LOWER(Raw_Data!C1079),""airtime""),""Airtime"",IF(REGEXMATCH(LOWER(Raw_Data!C1079),""electronic money transfer levy""),""Electronic Money"&amp;" Transfer Levy"",IF(REGEXMATCH(LOWER(Raw_Data!C1079),""transfer|trf|send""),""Transfer"",""Other"")))),""Other"")"),"Transfer")</f>
        <v>Transfer</v>
      </c>
      <c r="E1073" s="20">
        <v>1700.0</v>
      </c>
      <c r="F1073" s="20">
        <v>0.0</v>
      </c>
      <c r="G1073" s="12" t="str">
        <f t="shared" si="3"/>
        <v>Withdrawal</v>
      </c>
      <c r="H1073" s="12" t="str">
        <f>TEXT(Raw_Data!A1079,"hh:mm:ss")
</f>
        <v>18:17:17</v>
      </c>
      <c r="I1073" s="20">
        <f t="shared" si="4"/>
        <v>1700</v>
      </c>
    </row>
    <row r="1074">
      <c r="A1074" s="12" t="str">
        <f>Raw_Data!A1080</f>
        <v>17 Jun 2025 13:55:47</v>
      </c>
      <c r="B1074" s="12" t="str">
        <f t="shared" si="1"/>
        <v>June</v>
      </c>
      <c r="C1074" s="12">
        <f t="shared" si="2"/>
        <v>6</v>
      </c>
      <c r="D1074" s="12" t="str">
        <f>IFERROR(__xludf.DUMMYFUNCTION("IFERROR(IF(REGEXMATCH(LOWER(Raw_Data!C1080),""fixed deposit|owealth|savings|target""),""Fixed Deposit"",IF(REGEXMATCH(LOWER(Raw_Data!C1080),""airtime""),""Airtime"",IF(REGEXMATCH(LOWER(Raw_Data!C1080),""electronic money transfer levy""),""Electronic Money"&amp;" Transfer Levy"",IF(REGEXMATCH(LOWER(Raw_Data!C1080),""transfer|trf|send""),""Transfer"",""Other"")))),""Other"")"),"Transfer")</f>
        <v>Transfer</v>
      </c>
      <c r="E1074" s="20">
        <v>400.0</v>
      </c>
      <c r="F1074" s="20">
        <v>0.0</v>
      </c>
      <c r="G1074" s="12" t="str">
        <f t="shared" si="3"/>
        <v>Withdrawal</v>
      </c>
      <c r="H1074" s="12" t="str">
        <f>TEXT(Raw_Data!A1080,"hh:mm:ss")
</f>
        <v>13:55:47</v>
      </c>
      <c r="I1074" s="20">
        <f t="shared" si="4"/>
        <v>400</v>
      </c>
    </row>
    <row r="1075">
      <c r="A1075" s="12" t="str">
        <f>Raw_Data!A1081</f>
        <v>17 Jun 2025 17:29:01</v>
      </c>
      <c r="B1075" s="12" t="str">
        <f t="shared" si="1"/>
        <v>June</v>
      </c>
      <c r="C1075" s="12">
        <f t="shared" si="2"/>
        <v>6</v>
      </c>
      <c r="D1075" s="12" t="str">
        <f>IFERROR(__xludf.DUMMYFUNCTION("IFERROR(IF(REGEXMATCH(LOWER(Raw_Data!C1081),""fixed deposit|owealth|savings|target""),""Fixed Deposit"",IF(REGEXMATCH(LOWER(Raw_Data!C1081),""airtime""),""Airtime"",IF(REGEXMATCH(LOWER(Raw_Data!C1081),""electronic money transfer levy""),""Electronic Money"&amp;" Transfer Levy"",IF(REGEXMATCH(LOWER(Raw_Data!C1081),""transfer|trf|send""),""Transfer"",""Other"")))),""Other"")"),"Transfer")</f>
        <v>Transfer</v>
      </c>
      <c r="E1075" s="20">
        <v>0.0</v>
      </c>
      <c r="F1075" s="20">
        <v>3000.0</v>
      </c>
      <c r="G1075" s="12" t="str">
        <f t="shared" si="3"/>
        <v>Deposit</v>
      </c>
      <c r="H1075" s="12" t="str">
        <f>TEXT(Raw_Data!A1081,"hh:mm:ss")
</f>
        <v>17:29:01</v>
      </c>
      <c r="I1075" s="20">
        <f t="shared" si="4"/>
        <v>3000</v>
      </c>
    </row>
    <row r="1076">
      <c r="A1076" s="12" t="str">
        <f>Raw_Data!A1082</f>
        <v>17 Jun 2025 20:39:22</v>
      </c>
      <c r="B1076" s="12" t="str">
        <f t="shared" si="1"/>
        <v>June</v>
      </c>
      <c r="C1076" s="12">
        <f t="shared" si="2"/>
        <v>6</v>
      </c>
      <c r="D1076" s="12" t="str">
        <f>IFERROR(__xludf.DUMMYFUNCTION("IFERROR(IF(REGEXMATCH(LOWER(Raw_Data!C1082),""fixed deposit|owealth|savings|target""),""Fixed Deposit"",IF(REGEXMATCH(LOWER(Raw_Data!C1082),""airtime""),""Airtime"",IF(REGEXMATCH(LOWER(Raw_Data!C1082),""electronic money transfer levy""),""Electronic Money"&amp;" Transfer Levy"",IF(REGEXMATCH(LOWER(Raw_Data!C1082),""transfer|trf|send""),""Transfer"",""Other"")))),""Other"")"),"Transfer")</f>
        <v>Transfer</v>
      </c>
      <c r="E1076" s="20">
        <v>1150.0</v>
      </c>
      <c r="F1076" s="20">
        <v>0.0</v>
      </c>
      <c r="G1076" s="12" t="str">
        <f t="shared" si="3"/>
        <v>Withdrawal</v>
      </c>
      <c r="H1076" s="12" t="str">
        <f>TEXT(Raw_Data!A1082,"hh:mm:ss")
</f>
        <v>20:39:22</v>
      </c>
      <c r="I1076" s="20">
        <f t="shared" si="4"/>
        <v>1150</v>
      </c>
    </row>
    <row r="1077">
      <c r="A1077" s="12" t="str">
        <f>Raw_Data!A1083</f>
        <v>18 Jun 2025 06:50:31</v>
      </c>
      <c r="B1077" s="12" t="str">
        <f t="shared" si="1"/>
        <v>June</v>
      </c>
      <c r="C1077" s="12">
        <f t="shared" si="2"/>
        <v>6</v>
      </c>
      <c r="D1077" s="12" t="str">
        <f>IFERROR(__xludf.DUMMYFUNCTION("IFERROR(IF(REGEXMATCH(LOWER(Raw_Data!C1083),""fixed deposit|owealth|savings|target""),""Fixed Deposit"",IF(REGEXMATCH(LOWER(Raw_Data!C1083),""airtime""),""Airtime"",IF(REGEXMATCH(LOWER(Raw_Data!C1083),""electronic money transfer levy""),""Electronic Money"&amp;" Transfer Levy"",IF(REGEXMATCH(LOWER(Raw_Data!C1083),""transfer|trf|send""),""Transfer"",""Other"")))),""Other"")"),"Transfer")</f>
        <v>Transfer</v>
      </c>
      <c r="E1077" s="20">
        <v>600.0</v>
      </c>
      <c r="F1077" s="20">
        <v>0.0</v>
      </c>
      <c r="G1077" s="12" t="str">
        <f t="shared" si="3"/>
        <v>Withdrawal</v>
      </c>
      <c r="H1077" s="12" t="str">
        <f>TEXT(Raw_Data!A1083,"hh:mm:ss")
</f>
        <v>06:50:31</v>
      </c>
      <c r="I1077" s="20">
        <f t="shared" si="4"/>
        <v>600</v>
      </c>
    </row>
    <row r="1078">
      <c r="A1078" s="12" t="str">
        <f>Raw_Data!A1084</f>
        <v>18 Jun 2025 10:36:58</v>
      </c>
      <c r="B1078" s="12" t="str">
        <f t="shared" si="1"/>
        <v>June</v>
      </c>
      <c r="C1078" s="12">
        <f t="shared" si="2"/>
        <v>6</v>
      </c>
      <c r="D1078" s="12" t="str">
        <f>IFERROR(__xludf.DUMMYFUNCTION("IFERROR(IF(REGEXMATCH(LOWER(Raw_Data!C1084),""fixed deposit|owealth|savings|target""),""Fixed Deposit"",IF(REGEXMATCH(LOWER(Raw_Data!C1084),""airtime""),""Airtime"",IF(REGEXMATCH(LOWER(Raw_Data!C1084),""electronic money transfer levy""),""Electronic Money"&amp;" Transfer Levy"",IF(REGEXMATCH(LOWER(Raw_Data!C1084),""transfer|trf|send""),""Transfer"",""Other"")))),""Other"")"),"Other")</f>
        <v>Other</v>
      </c>
      <c r="E1078" s="20">
        <v>600.0</v>
      </c>
      <c r="F1078" s="20">
        <v>0.0</v>
      </c>
      <c r="G1078" s="12" t="str">
        <f t="shared" si="3"/>
        <v>Withdrawal</v>
      </c>
      <c r="H1078" s="12" t="str">
        <f>TEXT(Raw_Data!A1084,"hh:mm:ss")
</f>
        <v>10:36:58</v>
      </c>
      <c r="I1078" s="20">
        <f t="shared" si="4"/>
        <v>600</v>
      </c>
    </row>
    <row r="1079">
      <c r="A1079" s="12" t="str">
        <f>Raw_Data!A1085</f>
        <v>19 Jun 2025 10:39:44</v>
      </c>
      <c r="B1079" s="12" t="str">
        <f t="shared" si="1"/>
        <v>June</v>
      </c>
      <c r="C1079" s="12">
        <f t="shared" si="2"/>
        <v>6</v>
      </c>
      <c r="D1079" s="12" t="str">
        <f>IFERROR(__xludf.DUMMYFUNCTION("IFERROR(IF(REGEXMATCH(LOWER(Raw_Data!C1085),""fixed deposit|owealth|savings|target""),""Fixed Deposit"",IF(REGEXMATCH(LOWER(Raw_Data!C1085),""airtime""),""Airtime"",IF(REGEXMATCH(LOWER(Raw_Data!C1085),""electronic money transfer levy""),""Electronic Money"&amp;" Transfer Levy"",IF(REGEXMATCH(LOWER(Raw_Data!C1085),""transfer|trf|send""),""Transfer"",""Other"")))),""Other"")"),"Transfer")</f>
        <v>Transfer</v>
      </c>
      <c r="E1079" s="20">
        <v>1100.0</v>
      </c>
      <c r="F1079" s="20">
        <v>0.0</v>
      </c>
      <c r="G1079" s="12" t="str">
        <f t="shared" si="3"/>
        <v>Withdrawal</v>
      </c>
      <c r="H1079" s="12" t="str">
        <f>TEXT(Raw_Data!A1085,"hh:mm:ss")
</f>
        <v>10:39:44</v>
      </c>
      <c r="I1079" s="20">
        <f t="shared" si="4"/>
        <v>1100</v>
      </c>
    </row>
    <row r="1080">
      <c r="A1080" s="12" t="str">
        <f>Raw_Data!A1086</f>
        <v>19 Jun 2025 17:03:31</v>
      </c>
      <c r="B1080" s="12" t="str">
        <f t="shared" si="1"/>
        <v>June</v>
      </c>
      <c r="C1080" s="12">
        <f t="shared" si="2"/>
        <v>6</v>
      </c>
      <c r="D1080" s="12" t="str">
        <f>IFERROR(__xludf.DUMMYFUNCTION("IFERROR(IF(REGEXMATCH(LOWER(Raw_Data!C1086),""fixed deposit|owealth|savings|target""),""Fixed Deposit"",IF(REGEXMATCH(LOWER(Raw_Data!C1086),""airtime""),""Airtime"",IF(REGEXMATCH(LOWER(Raw_Data!C1086),""electronic money transfer levy""),""Electronic Money"&amp;" Transfer Levy"",IF(REGEXMATCH(LOWER(Raw_Data!C1086),""transfer|trf|send""),""Transfer"",""Other"")))),""Other"")"),"Transfer")</f>
        <v>Transfer</v>
      </c>
      <c r="E1080" s="20">
        <v>360.0</v>
      </c>
      <c r="F1080" s="20">
        <v>0.0</v>
      </c>
      <c r="G1080" s="12" t="str">
        <f t="shared" si="3"/>
        <v>Withdrawal</v>
      </c>
      <c r="H1080" s="12" t="str">
        <f>TEXT(Raw_Data!A1086,"hh:mm:ss")
</f>
        <v>17:03:31</v>
      </c>
      <c r="I1080" s="20">
        <f t="shared" si="4"/>
        <v>360</v>
      </c>
    </row>
    <row r="1081">
      <c r="A1081" s="12" t="str">
        <f>Raw_Data!A1087</f>
        <v>19 Jun 2025 18:09:27</v>
      </c>
      <c r="B1081" s="12" t="str">
        <f t="shared" si="1"/>
        <v>June</v>
      </c>
      <c r="C1081" s="12">
        <f t="shared" si="2"/>
        <v>6</v>
      </c>
      <c r="D1081" s="12" t="str">
        <f>IFERROR(__xludf.DUMMYFUNCTION("IFERROR(IF(REGEXMATCH(LOWER(Raw_Data!C1087),""fixed deposit|owealth|savings|target""),""Fixed Deposit"",IF(REGEXMATCH(LOWER(Raw_Data!C1087),""airtime""),""Airtime"",IF(REGEXMATCH(LOWER(Raw_Data!C1087),""electronic money transfer levy""),""Electronic Money"&amp;" Transfer Levy"",IF(REGEXMATCH(LOWER(Raw_Data!C1087),""transfer|trf|send""),""Transfer"",""Other"")))),""Other"")"),"Transfer")</f>
        <v>Transfer</v>
      </c>
      <c r="E1081" s="20">
        <v>0.0</v>
      </c>
      <c r="F1081" s="20">
        <v>1000.0</v>
      </c>
      <c r="G1081" s="12" t="str">
        <f t="shared" si="3"/>
        <v>Deposit</v>
      </c>
      <c r="H1081" s="12" t="str">
        <f>TEXT(Raw_Data!A1087,"hh:mm:ss")
</f>
        <v>18:09:27</v>
      </c>
      <c r="I1081" s="20">
        <f t="shared" si="4"/>
        <v>1000</v>
      </c>
    </row>
    <row r="1082">
      <c r="A1082" s="12" t="str">
        <f>Raw_Data!A1088</f>
        <v>19 Jun 2025 19:04:19</v>
      </c>
      <c r="B1082" s="12" t="str">
        <f t="shared" si="1"/>
        <v>June</v>
      </c>
      <c r="C1082" s="12">
        <f t="shared" si="2"/>
        <v>6</v>
      </c>
      <c r="D1082" s="12" t="str">
        <f>IFERROR(__xludf.DUMMYFUNCTION("IFERROR(IF(REGEXMATCH(LOWER(Raw_Data!C1088),""fixed deposit|owealth|savings|target""),""Fixed Deposit"",IF(REGEXMATCH(LOWER(Raw_Data!C1088),""airtime""),""Airtime"",IF(REGEXMATCH(LOWER(Raw_Data!C1088),""electronic money transfer levy""),""Electronic Money"&amp;" Transfer Levy"",IF(REGEXMATCH(LOWER(Raw_Data!C1088),""transfer|trf|send""),""Transfer"",""Other"")))),""Other"")"),"Transfer")</f>
        <v>Transfer</v>
      </c>
      <c r="E1082" s="20">
        <v>200.0</v>
      </c>
      <c r="F1082" s="20">
        <v>0.0</v>
      </c>
      <c r="G1082" s="12" t="str">
        <f t="shared" si="3"/>
        <v>Withdrawal</v>
      </c>
      <c r="H1082" s="12" t="str">
        <f>TEXT(Raw_Data!A1088,"hh:mm:ss")
</f>
        <v>19:04:19</v>
      </c>
      <c r="I1082" s="20">
        <f t="shared" si="4"/>
        <v>200</v>
      </c>
    </row>
    <row r="1083">
      <c r="A1083" s="12" t="str">
        <f>Raw_Data!A1089</f>
        <v>20 Jun 2025 08:07:28</v>
      </c>
      <c r="B1083" s="12" t="str">
        <f t="shared" si="1"/>
        <v>June</v>
      </c>
      <c r="C1083" s="12">
        <f t="shared" si="2"/>
        <v>6</v>
      </c>
      <c r="D1083" s="12" t="str">
        <f>IFERROR(__xludf.DUMMYFUNCTION("IFERROR(IF(REGEXMATCH(LOWER(Raw_Data!C1089),""fixed deposit|owealth|savings|target""),""Fixed Deposit"",IF(REGEXMATCH(LOWER(Raw_Data!C1089),""airtime""),""Airtime"",IF(REGEXMATCH(LOWER(Raw_Data!C1089),""electronic money transfer levy""),""Electronic Money"&amp;" Transfer Levy"",IF(REGEXMATCH(LOWER(Raw_Data!C1089),""transfer|trf|send""),""Transfer"",""Other"")))),""Other"")"),"Transfer")</f>
        <v>Transfer</v>
      </c>
      <c r="E1083" s="20">
        <v>200.0</v>
      </c>
      <c r="F1083" s="20">
        <v>0.0</v>
      </c>
      <c r="G1083" s="12" t="str">
        <f t="shared" si="3"/>
        <v>Withdrawal</v>
      </c>
      <c r="H1083" s="12" t="str">
        <f>TEXT(Raw_Data!A1089,"hh:mm:ss")
</f>
        <v>08:07:28</v>
      </c>
      <c r="I1083" s="20">
        <f t="shared" si="4"/>
        <v>200</v>
      </c>
    </row>
    <row r="1084">
      <c r="A1084" s="12" t="str">
        <f>Raw_Data!A1090</f>
        <v>20 Jun 2025 11:35:08</v>
      </c>
      <c r="B1084" s="12" t="str">
        <f t="shared" si="1"/>
        <v>June</v>
      </c>
      <c r="C1084" s="12">
        <f t="shared" si="2"/>
        <v>6</v>
      </c>
      <c r="D1084" s="12" t="str">
        <f>IFERROR(__xludf.DUMMYFUNCTION("IFERROR(IF(REGEXMATCH(LOWER(Raw_Data!C1090),""fixed deposit|owealth|savings|target""),""Fixed Deposit"",IF(REGEXMATCH(LOWER(Raw_Data!C1090),""airtime""),""Airtime"",IF(REGEXMATCH(LOWER(Raw_Data!C1090),""electronic money transfer levy""),""Electronic Money"&amp;" Transfer Levy"",IF(REGEXMATCH(LOWER(Raw_Data!C1090),""transfer|trf|send""),""Transfer"",""Other"")))),""Other"")"),"Transfer")</f>
        <v>Transfer</v>
      </c>
      <c r="E1084" s="20">
        <v>0.0</v>
      </c>
      <c r="F1084" s="20">
        <v>2900.0</v>
      </c>
      <c r="G1084" s="12" t="str">
        <f t="shared" si="3"/>
        <v>Deposit</v>
      </c>
      <c r="H1084" s="12" t="str">
        <f>TEXT(Raw_Data!A1090,"hh:mm:ss")
</f>
        <v>11:35:08</v>
      </c>
      <c r="I1084" s="20">
        <f t="shared" si="4"/>
        <v>2900</v>
      </c>
    </row>
    <row r="1085">
      <c r="A1085" s="12" t="str">
        <f>Raw_Data!A1091</f>
        <v>20 Jun 2025 13:50:07</v>
      </c>
      <c r="B1085" s="12" t="str">
        <f t="shared" si="1"/>
        <v>June</v>
      </c>
      <c r="C1085" s="12">
        <f t="shared" si="2"/>
        <v>6</v>
      </c>
      <c r="D1085" s="12" t="str">
        <f>IFERROR(__xludf.DUMMYFUNCTION("IFERROR(IF(REGEXMATCH(LOWER(Raw_Data!C1091),""fixed deposit|owealth|savings|target""),""Fixed Deposit"",IF(REGEXMATCH(LOWER(Raw_Data!C1091),""airtime""),""Airtime"",IF(REGEXMATCH(LOWER(Raw_Data!C1091),""electronic money transfer levy""),""Electronic Money"&amp;" Transfer Levy"",IF(REGEXMATCH(LOWER(Raw_Data!C1091),""transfer|trf|send""),""Transfer"",""Other"")))),""Other"")"),"Transfer")</f>
        <v>Transfer</v>
      </c>
      <c r="E1085" s="20">
        <v>3500.0</v>
      </c>
      <c r="F1085" s="20">
        <v>0.0</v>
      </c>
      <c r="G1085" s="12" t="str">
        <f t="shared" si="3"/>
        <v>Withdrawal</v>
      </c>
      <c r="H1085" s="12" t="str">
        <f>TEXT(Raw_Data!A1091,"hh:mm:ss")
</f>
        <v>13:50:07</v>
      </c>
      <c r="I1085" s="20">
        <f t="shared" si="4"/>
        <v>3500</v>
      </c>
    </row>
    <row r="1086">
      <c r="A1086" s="12" t="str">
        <f>Raw_Data!A1092</f>
        <v>21 Jun 2025 09:51:09</v>
      </c>
      <c r="B1086" s="12" t="str">
        <f t="shared" si="1"/>
        <v>June</v>
      </c>
      <c r="C1086" s="12">
        <f t="shared" si="2"/>
        <v>6</v>
      </c>
      <c r="D1086" s="12" t="str">
        <f>IFERROR(__xludf.DUMMYFUNCTION("IFERROR(IF(REGEXMATCH(LOWER(Raw_Data!C1092),""fixed deposit|owealth|savings|target""),""Fixed Deposit"",IF(REGEXMATCH(LOWER(Raw_Data!C1092),""airtime""),""Airtime"",IF(REGEXMATCH(LOWER(Raw_Data!C1092),""electronic money transfer levy""),""Electronic Money"&amp;" Transfer Levy"",IF(REGEXMATCH(LOWER(Raw_Data!C1092),""transfer|trf|send""),""Transfer"",""Other"")))),""Other"")"),"Transfer")</f>
        <v>Transfer</v>
      </c>
      <c r="E1086" s="20">
        <v>800.0</v>
      </c>
      <c r="F1086" s="20">
        <v>0.0</v>
      </c>
      <c r="G1086" s="12" t="str">
        <f t="shared" si="3"/>
        <v>Withdrawal</v>
      </c>
      <c r="H1086" s="12" t="str">
        <f>TEXT(Raw_Data!A1092,"hh:mm:ss")
</f>
        <v>09:51:09</v>
      </c>
      <c r="I1086" s="20">
        <f t="shared" si="4"/>
        <v>800</v>
      </c>
    </row>
    <row r="1087">
      <c r="A1087" s="12" t="str">
        <f>Raw_Data!A1093</f>
        <v>22 Jun 2025 11:43:19</v>
      </c>
      <c r="B1087" s="12" t="str">
        <f t="shared" si="1"/>
        <v>June</v>
      </c>
      <c r="C1087" s="12">
        <f t="shared" si="2"/>
        <v>6</v>
      </c>
      <c r="D1087" s="12" t="str">
        <f>IFERROR(__xludf.DUMMYFUNCTION("IFERROR(IF(REGEXMATCH(LOWER(Raw_Data!C1093),""fixed deposit|owealth|savings|target""),""Fixed Deposit"",IF(REGEXMATCH(LOWER(Raw_Data!C1093),""airtime""),""Airtime"",IF(REGEXMATCH(LOWER(Raw_Data!C1093),""electronic money transfer levy""),""Electronic Money"&amp;" Transfer Levy"",IF(REGEXMATCH(LOWER(Raw_Data!C1093),""transfer|trf|send""),""Transfer"",""Other"")))),""Other"")"),"Transfer")</f>
        <v>Transfer</v>
      </c>
      <c r="E1087" s="20">
        <v>0.0</v>
      </c>
      <c r="F1087" s="20">
        <v>10000.0</v>
      </c>
      <c r="G1087" s="12" t="str">
        <f t="shared" si="3"/>
        <v>Deposit</v>
      </c>
      <c r="H1087" s="12" t="str">
        <f>TEXT(Raw_Data!A1093,"hh:mm:ss")
</f>
        <v>11:43:19</v>
      </c>
      <c r="I1087" s="20">
        <f t="shared" si="4"/>
        <v>10000</v>
      </c>
    </row>
    <row r="1088">
      <c r="A1088" s="12" t="str">
        <f>Raw_Data!A1094</f>
        <v>22 Jun 2025 11:43:20</v>
      </c>
      <c r="B1088" s="12" t="str">
        <f t="shared" si="1"/>
        <v>June</v>
      </c>
      <c r="C1088" s="12">
        <f t="shared" si="2"/>
        <v>6</v>
      </c>
      <c r="D1088" s="12" t="str">
        <f>IFERROR(__xludf.DUMMYFUNCTION("IFERROR(IF(REGEXMATCH(LOWER(Raw_Data!C1094),""fixed deposit|owealth|savings|target""),""Fixed Deposit"",IF(REGEXMATCH(LOWER(Raw_Data!C1094),""airtime""),""Airtime"",IF(REGEXMATCH(LOWER(Raw_Data!C1094),""electronic money transfer levy""),""Electronic Money"&amp;" Transfer Levy"",IF(REGEXMATCH(LOWER(Raw_Data!C1094),""transfer|trf|send""),""Transfer"",""Other"")))),""Other"")"),"Electronic Money Transfer Levy")</f>
        <v>Electronic Money Transfer Levy</v>
      </c>
      <c r="E1088" s="20">
        <v>50.0</v>
      </c>
      <c r="F1088" s="20">
        <v>0.0</v>
      </c>
      <c r="G1088" s="12" t="str">
        <f t="shared" si="3"/>
        <v>Withdrawal</v>
      </c>
      <c r="H1088" s="12" t="str">
        <f>TEXT(Raw_Data!A1094,"hh:mm:ss")
</f>
        <v>11:43:20</v>
      </c>
      <c r="I1088" s="20">
        <f t="shared" si="4"/>
        <v>50</v>
      </c>
    </row>
    <row r="1089">
      <c r="A1089" s="12" t="str">
        <f>Raw_Data!A1095</f>
        <v>22 Jun 2025 11:48:41</v>
      </c>
      <c r="B1089" s="12" t="str">
        <f t="shared" si="1"/>
        <v>June</v>
      </c>
      <c r="C1089" s="12">
        <f t="shared" si="2"/>
        <v>6</v>
      </c>
      <c r="D1089" s="12" t="str">
        <f>IFERROR(__xludf.DUMMYFUNCTION("IFERROR(IF(REGEXMATCH(LOWER(Raw_Data!C1095),""fixed deposit|owealth|savings|target""),""Fixed Deposit"",IF(REGEXMATCH(LOWER(Raw_Data!C1095),""airtime""),""Airtime"",IF(REGEXMATCH(LOWER(Raw_Data!C1095),""electronic money transfer levy""),""Electronic Money"&amp;" Transfer Levy"",IF(REGEXMATCH(LOWER(Raw_Data!C1095),""transfer|trf|send""),""Transfer"",""Other"")))),""Other"")"),"Transfer")</f>
        <v>Transfer</v>
      </c>
      <c r="E1089" s="20">
        <v>10100.0</v>
      </c>
      <c r="F1089" s="20">
        <v>0.0</v>
      </c>
      <c r="G1089" s="12" t="str">
        <f t="shared" si="3"/>
        <v>Withdrawal</v>
      </c>
      <c r="H1089" s="12" t="str">
        <f>TEXT(Raw_Data!A1095,"hh:mm:ss")
</f>
        <v>11:48:41</v>
      </c>
      <c r="I1089" s="20">
        <f t="shared" si="4"/>
        <v>10100</v>
      </c>
    </row>
    <row r="1090">
      <c r="A1090" s="12" t="str">
        <f>Raw_Data!A1096</f>
        <v>22 Jun 2025 15:17:07</v>
      </c>
      <c r="B1090" s="12" t="str">
        <f t="shared" si="1"/>
        <v>June</v>
      </c>
      <c r="C1090" s="12">
        <f t="shared" si="2"/>
        <v>6</v>
      </c>
      <c r="D1090" s="12" t="str">
        <f>IFERROR(__xludf.DUMMYFUNCTION("IFERROR(IF(REGEXMATCH(LOWER(Raw_Data!C1096),""fixed deposit|owealth|savings|target""),""Fixed Deposit"",IF(REGEXMATCH(LOWER(Raw_Data!C1096),""airtime""),""Airtime"",IF(REGEXMATCH(LOWER(Raw_Data!C1096),""electronic money transfer levy""),""Electronic Money"&amp;" Transfer Levy"",IF(REGEXMATCH(LOWER(Raw_Data!C1096),""transfer|trf|send""),""Transfer"",""Other"")))),""Other"")"),"Transfer")</f>
        <v>Transfer</v>
      </c>
      <c r="E1090" s="20">
        <v>700.0</v>
      </c>
      <c r="F1090" s="20">
        <v>0.0</v>
      </c>
      <c r="G1090" s="12" t="str">
        <f t="shared" si="3"/>
        <v>Withdrawal</v>
      </c>
      <c r="H1090" s="12" t="str">
        <f>TEXT(Raw_Data!A1096,"hh:mm:ss")
</f>
        <v>15:17:07</v>
      </c>
      <c r="I1090" s="20">
        <f t="shared" si="4"/>
        <v>700</v>
      </c>
    </row>
    <row r="1091">
      <c r="A1091" s="12" t="str">
        <f>Raw_Data!A1097</f>
        <v>22 Jun 2025 15:20:04</v>
      </c>
      <c r="B1091" s="12" t="str">
        <f t="shared" si="1"/>
        <v>June</v>
      </c>
      <c r="C1091" s="12">
        <f t="shared" si="2"/>
        <v>6</v>
      </c>
      <c r="D1091" s="12" t="str">
        <f>IFERROR(__xludf.DUMMYFUNCTION("IFERROR(IF(REGEXMATCH(LOWER(Raw_Data!C1097),""fixed deposit|owealth|savings|target""),""Fixed Deposit"",IF(REGEXMATCH(LOWER(Raw_Data!C1097),""airtime""),""Airtime"",IF(REGEXMATCH(LOWER(Raw_Data!C1097),""electronic money transfer levy""),""Electronic Money"&amp;" Transfer Levy"",IF(REGEXMATCH(LOWER(Raw_Data!C1097),""transfer|trf|send""),""Transfer"",""Other"")))),""Other"")"),"Transfer")</f>
        <v>Transfer</v>
      </c>
      <c r="E1091" s="20">
        <v>150.0</v>
      </c>
      <c r="F1091" s="20">
        <v>0.0</v>
      </c>
      <c r="G1091" s="12" t="str">
        <f t="shared" si="3"/>
        <v>Withdrawal</v>
      </c>
      <c r="H1091" s="12" t="str">
        <f>TEXT(Raw_Data!A1097,"hh:mm:ss")
</f>
        <v>15:20:04</v>
      </c>
      <c r="I1091" s="20">
        <f t="shared" si="4"/>
        <v>150</v>
      </c>
    </row>
    <row r="1092">
      <c r="A1092" s="12" t="str">
        <f>Raw_Data!A1098</f>
        <v>24 Jun 2025 07:49:36</v>
      </c>
      <c r="B1092" s="12" t="str">
        <f t="shared" si="1"/>
        <v>June</v>
      </c>
      <c r="C1092" s="12">
        <f t="shared" si="2"/>
        <v>6</v>
      </c>
      <c r="D1092" s="12" t="str">
        <f>IFERROR(__xludf.DUMMYFUNCTION("IFERROR(IF(REGEXMATCH(LOWER(Raw_Data!C1098),""fixed deposit|owealth|savings|target""),""Fixed Deposit"",IF(REGEXMATCH(LOWER(Raw_Data!C1098),""airtime""),""Airtime"",IF(REGEXMATCH(LOWER(Raw_Data!C1098),""electronic money transfer levy""),""Electronic Money"&amp;" Transfer Levy"",IF(REGEXMATCH(LOWER(Raw_Data!C1098),""transfer|trf|send""),""Transfer"",""Other"")))),""Other"")"),"Transfer")</f>
        <v>Transfer</v>
      </c>
      <c r="E1092" s="20">
        <v>0.0</v>
      </c>
      <c r="F1092" s="20">
        <v>25000.0</v>
      </c>
      <c r="G1092" s="12" t="str">
        <f t="shared" si="3"/>
        <v>Deposit</v>
      </c>
      <c r="H1092" s="12" t="str">
        <f>TEXT(Raw_Data!A1098,"hh:mm:ss")
</f>
        <v>07:49:36</v>
      </c>
      <c r="I1092" s="20">
        <f t="shared" si="4"/>
        <v>25000</v>
      </c>
    </row>
    <row r="1093">
      <c r="A1093" s="12" t="str">
        <f>Raw_Data!A1099</f>
        <v>24 Jun 2025 07:49:41</v>
      </c>
      <c r="B1093" s="12" t="str">
        <f t="shared" si="1"/>
        <v>June</v>
      </c>
      <c r="C1093" s="12">
        <f t="shared" si="2"/>
        <v>6</v>
      </c>
      <c r="D1093" s="12" t="str">
        <f>IFERROR(__xludf.DUMMYFUNCTION("IFERROR(IF(REGEXMATCH(LOWER(Raw_Data!C1099),""fixed deposit|owealth|savings|target""),""Fixed Deposit"",IF(REGEXMATCH(LOWER(Raw_Data!C1099),""airtime""),""Airtime"",IF(REGEXMATCH(LOWER(Raw_Data!C1099),""electronic money transfer levy""),""Electronic Money"&amp;" Transfer Levy"",IF(REGEXMATCH(LOWER(Raw_Data!C1099),""transfer|trf|send""),""Transfer"",""Other"")))),""Other"")"),"Electronic Money Transfer Levy")</f>
        <v>Electronic Money Transfer Levy</v>
      </c>
      <c r="E1093" s="20">
        <v>50.0</v>
      </c>
      <c r="F1093" s="20">
        <v>0.0</v>
      </c>
      <c r="G1093" s="12" t="str">
        <f t="shared" si="3"/>
        <v>Withdrawal</v>
      </c>
      <c r="H1093" s="12" t="str">
        <f>TEXT(Raw_Data!A1099,"hh:mm:ss")
</f>
        <v>07:49:41</v>
      </c>
      <c r="I1093" s="20">
        <f t="shared" si="4"/>
        <v>50</v>
      </c>
    </row>
    <row r="1094">
      <c r="A1094" s="12" t="str">
        <f>Raw_Data!A1100</f>
        <v>24 Jun 2025 08:19:39</v>
      </c>
      <c r="B1094" s="12" t="str">
        <f t="shared" si="1"/>
        <v>June</v>
      </c>
      <c r="C1094" s="12">
        <f t="shared" si="2"/>
        <v>6</v>
      </c>
      <c r="D1094" s="12" t="str">
        <f>IFERROR(__xludf.DUMMYFUNCTION("IFERROR(IF(REGEXMATCH(LOWER(Raw_Data!C1100),""fixed deposit|owealth|savings|target""),""Fixed Deposit"",IF(REGEXMATCH(LOWER(Raw_Data!C1100),""airtime""),""Airtime"",IF(REGEXMATCH(LOWER(Raw_Data!C1100),""electronic money transfer levy""),""Electronic Money"&amp;" Transfer Levy"",IF(REGEXMATCH(LOWER(Raw_Data!C1100),""transfer|trf|send""),""Transfer"",""Other"")))),""Other"")"),"Transfer")</f>
        <v>Transfer</v>
      </c>
      <c r="E1094" s="20">
        <v>23255.55</v>
      </c>
      <c r="F1094" s="20">
        <v>0.0</v>
      </c>
      <c r="G1094" s="12" t="str">
        <f t="shared" si="3"/>
        <v>Withdrawal</v>
      </c>
      <c r="H1094" s="12" t="str">
        <f>TEXT(Raw_Data!A1100,"hh:mm:ss")
</f>
        <v>08:19:39</v>
      </c>
      <c r="I1094" s="20">
        <f t="shared" si="4"/>
        <v>23255.55</v>
      </c>
    </row>
    <row r="1095">
      <c r="A1095" s="12" t="str">
        <f>Raw_Data!A1101</f>
        <v>24 Jun 2025 15:50:51</v>
      </c>
      <c r="B1095" s="12" t="str">
        <f t="shared" si="1"/>
        <v>June</v>
      </c>
      <c r="C1095" s="12">
        <f t="shared" si="2"/>
        <v>6</v>
      </c>
      <c r="D1095" s="12" t="str">
        <f>IFERROR(__xludf.DUMMYFUNCTION("IFERROR(IF(REGEXMATCH(LOWER(Raw_Data!C1101),""fixed deposit|owealth|savings|target""),""Fixed Deposit"",IF(REGEXMATCH(LOWER(Raw_Data!C1101),""airtime""),""Airtime"",IF(REGEXMATCH(LOWER(Raw_Data!C1101),""electronic money transfer levy""),""Electronic Money"&amp;" Transfer Levy"",IF(REGEXMATCH(LOWER(Raw_Data!C1101),""transfer|trf|send""),""Transfer"",""Other"")))),""Other"")"),"Transfer")</f>
        <v>Transfer</v>
      </c>
      <c r="E1095" s="20">
        <v>500.0</v>
      </c>
      <c r="F1095" s="20">
        <v>0.0</v>
      </c>
      <c r="G1095" s="12" t="str">
        <f t="shared" si="3"/>
        <v>Withdrawal</v>
      </c>
      <c r="H1095" s="12" t="str">
        <f>TEXT(Raw_Data!A1101,"hh:mm:ss")
</f>
        <v>15:50:51</v>
      </c>
      <c r="I1095" s="20">
        <f t="shared" si="4"/>
        <v>500</v>
      </c>
    </row>
    <row r="1096">
      <c r="A1096" s="12" t="str">
        <f>Raw_Data!A1102</f>
        <v>25 Jun 2025 11:26:31</v>
      </c>
      <c r="B1096" s="12" t="str">
        <f t="shared" si="1"/>
        <v>June</v>
      </c>
      <c r="C1096" s="12">
        <f t="shared" si="2"/>
        <v>6</v>
      </c>
      <c r="D1096" s="12" t="str">
        <f>IFERROR(__xludf.DUMMYFUNCTION("IFERROR(IF(REGEXMATCH(LOWER(Raw_Data!C1102),""fixed deposit|owealth|savings|target""),""Fixed Deposit"",IF(REGEXMATCH(LOWER(Raw_Data!C1102),""airtime""),""Airtime"",IF(REGEXMATCH(LOWER(Raw_Data!C1102),""electronic money transfer levy""),""Electronic Money"&amp;" Transfer Levy"",IF(REGEXMATCH(LOWER(Raw_Data!C1102),""transfer|trf|send""),""Transfer"",""Other"")))),""Other"")"),"Transfer")</f>
        <v>Transfer</v>
      </c>
      <c r="E1096" s="20">
        <v>150.0</v>
      </c>
      <c r="F1096" s="20">
        <v>0.0</v>
      </c>
      <c r="G1096" s="12" t="str">
        <f t="shared" si="3"/>
        <v>Withdrawal</v>
      </c>
      <c r="H1096" s="12" t="str">
        <f>TEXT(Raw_Data!A1102,"hh:mm:ss")
</f>
        <v>11:26:31</v>
      </c>
      <c r="I1096" s="20">
        <f t="shared" si="4"/>
        <v>150</v>
      </c>
    </row>
    <row r="1097">
      <c r="A1097" s="12" t="str">
        <f>Raw_Data!A1103</f>
        <v>25 Jun 2025 12:32:02</v>
      </c>
      <c r="B1097" s="12" t="str">
        <f t="shared" si="1"/>
        <v>June</v>
      </c>
      <c r="C1097" s="12">
        <f t="shared" si="2"/>
        <v>6</v>
      </c>
      <c r="D1097" s="12" t="str">
        <f>IFERROR(__xludf.DUMMYFUNCTION("IFERROR(IF(REGEXMATCH(LOWER(Raw_Data!C1103),""fixed deposit|owealth|savings|target""),""Fixed Deposit"",IF(REGEXMATCH(LOWER(Raw_Data!C1103),""airtime""),""Airtime"",IF(REGEXMATCH(LOWER(Raw_Data!C1103),""electronic money transfer levy""),""Electronic Money"&amp;" Transfer Levy"",IF(REGEXMATCH(LOWER(Raw_Data!C1103),""transfer|trf|send""),""Transfer"",""Other"")))),""Other"")"),"Transfer")</f>
        <v>Transfer</v>
      </c>
      <c r="E1097" s="20">
        <v>200.0</v>
      </c>
      <c r="F1097" s="20">
        <v>0.0</v>
      </c>
      <c r="G1097" s="12" t="str">
        <f t="shared" si="3"/>
        <v>Withdrawal</v>
      </c>
      <c r="H1097" s="12" t="str">
        <f>TEXT(Raw_Data!A1103,"hh:mm:ss")
</f>
        <v>12:32:02</v>
      </c>
      <c r="I1097" s="20">
        <f t="shared" si="4"/>
        <v>200</v>
      </c>
    </row>
    <row r="1098">
      <c r="A1098" s="12" t="str">
        <f>Raw_Data!A1104</f>
        <v>25 Jun 2025 16:10:03</v>
      </c>
      <c r="B1098" s="12" t="str">
        <f t="shared" si="1"/>
        <v>June</v>
      </c>
      <c r="C1098" s="12">
        <f t="shared" si="2"/>
        <v>6</v>
      </c>
      <c r="D1098" s="12" t="str">
        <f>IFERROR(__xludf.DUMMYFUNCTION("IFERROR(IF(REGEXMATCH(LOWER(Raw_Data!C1104),""fixed deposit|owealth|savings|target""),""Fixed Deposit"",IF(REGEXMATCH(LOWER(Raw_Data!C1104),""airtime""),""Airtime"",IF(REGEXMATCH(LOWER(Raw_Data!C1104),""electronic money transfer levy""),""Electronic Money"&amp;" Transfer Levy"",IF(REGEXMATCH(LOWER(Raw_Data!C1104),""transfer|trf|send""),""Transfer"",""Other"")))),""Other"")"),"Airtime")</f>
        <v>Airtime</v>
      </c>
      <c r="E1098" s="20">
        <v>200.0</v>
      </c>
      <c r="F1098" s="20">
        <v>0.0</v>
      </c>
      <c r="G1098" s="12" t="str">
        <f t="shared" si="3"/>
        <v>Withdrawal</v>
      </c>
      <c r="H1098" s="12" t="str">
        <f>TEXT(Raw_Data!A1104,"hh:mm:ss")
</f>
        <v>16:10:03</v>
      </c>
      <c r="I1098" s="20">
        <f t="shared" si="4"/>
        <v>200</v>
      </c>
    </row>
    <row r="1099">
      <c r="A1099" s="12" t="str">
        <f>Raw_Data!A1105</f>
        <v>25 Jun 2025 18:19:17</v>
      </c>
      <c r="B1099" s="12" t="str">
        <f t="shared" si="1"/>
        <v>June</v>
      </c>
      <c r="C1099" s="12">
        <f t="shared" si="2"/>
        <v>6</v>
      </c>
      <c r="D1099" s="12" t="str">
        <f>IFERROR(__xludf.DUMMYFUNCTION("IFERROR(IF(REGEXMATCH(LOWER(Raw_Data!C1105),""fixed deposit|owealth|savings|target""),""Fixed Deposit"",IF(REGEXMATCH(LOWER(Raw_Data!C1105),""airtime""),""Airtime"",IF(REGEXMATCH(LOWER(Raw_Data!C1105),""electronic money transfer levy""),""Electronic Money"&amp;" Transfer Levy"",IF(REGEXMATCH(LOWER(Raw_Data!C1105),""transfer|trf|send""),""Transfer"",""Other"")))),""Other"")"),"Transfer")</f>
        <v>Transfer</v>
      </c>
      <c r="E1099" s="20">
        <v>500.0</v>
      </c>
      <c r="F1099" s="20">
        <v>0.0</v>
      </c>
      <c r="G1099" s="12" t="str">
        <f t="shared" si="3"/>
        <v>Withdrawal</v>
      </c>
      <c r="H1099" s="12" t="str">
        <f>TEXT(Raw_Data!A1105,"hh:mm:ss")
</f>
        <v>18:19:17</v>
      </c>
      <c r="I1099" s="20">
        <f t="shared" si="4"/>
        <v>500</v>
      </c>
    </row>
    <row r="1100">
      <c r="A1100" s="12" t="str">
        <f>Raw_Data!A1106</f>
        <v>25 Jun 2025 19:28:59</v>
      </c>
      <c r="B1100" s="12" t="str">
        <f t="shared" si="1"/>
        <v>June</v>
      </c>
      <c r="C1100" s="12">
        <f t="shared" si="2"/>
        <v>6</v>
      </c>
      <c r="D1100" s="12" t="str">
        <f>IFERROR(__xludf.DUMMYFUNCTION("IFERROR(IF(REGEXMATCH(LOWER(Raw_Data!C1106),""fixed deposit|owealth|savings|target""),""Fixed Deposit"",IF(REGEXMATCH(LOWER(Raw_Data!C1106),""airtime""),""Airtime"",IF(REGEXMATCH(LOWER(Raw_Data!C1106),""electronic money transfer levy""),""Electronic Money"&amp;" Transfer Levy"",IF(REGEXMATCH(LOWER(Raw_Data!C1106),""transfer|trf|send""),""Transfer"",""Other"")))),""Other"")"),"Transfer")</f>
        <v>Transfer</v>
      </c>
      <c r="E1100" s="20">
        <v>0.0</v>
      </c>
      <c r="F1100" s="20">
        <v>2000.0</v>
      </c>
      <c r="G1100" s="12" t="str">
        <f t="shared" si="3"/>
        <v>Deposit</v>
      </c>
      <c r="H1100" s="12" t="str">
        <f>TEXT(Raw_Data!A1106,"hh:mm:ss")
</f>
        <v>19:28:59</v>
      </c>
      <c r="I1100" s="20">
        <f t="shared" si="4"/>
        <v>2000</v>
      </c>
    </row>
    <row r="1101">
      <c r="A1101" s="12" t="str">
        <f>Raw_Data!A1107</f>
        <v>25 Jun 2025 20:01:56</v>
      </c>
      <c r="B1101" s="12" t="str">
        <f t="shared" si="1"/>
        <v>June</v>
      </c>
      <c r="C1101" s="12">
        <f t="shared" si="2"/>
        <v>6</v>
      </c>
      <c r="D1101" s="12" t="str">
        <f>IFERROR(__xludf.DUMMYFUNCTION("IFERROR(IF(REGEXMATCH(LOWER(Raw_Data!C1107),""fixed deposit|owealth|savings|target""),""Fixed Deposit"",IF(REGEXMATCH(LOWER(Raw_Data!C1107),""airtime""),""Airtime"",IF(REGEXMATCH(LOWER(Raw_Data!C1107),""electronic money transfer levy""),""Electronic Money"&amp;" Transfer Levy"",IF(REGEXMATCH(LOWER(Raw_Data!C1107),""transfer|trf|send""),""Transfer"",""Other"")))),""Other"")"),"Other")</f>
        <v>Other</v>
      </c>
      <c r="E1101" s="20">
        <v>1000.0</v>
      </c>
      <c r="F1101" s="20">
        <v>0.0</v>
      </c>
      <c r="G1101" s="12" t="str">
        <f t="shared" si="3"/>
        <v>Withdrawal</v>
      </c>
      <c r="H1101" s="12" t="str">
        <f>TEXT(Raw_Data!A1107,"hh:mm:ss")
</f>
        <v>20:01:56</v>
      </c>
      <c r="I1101" s="20">
        <f t="shared" si="4"/>
        <v>1000</v>
      </c>
    </row>
    <row r="1102">
      <c r="A1102" s="12" t="str">
        <f>Raw_Data!A1108</f>
        <v>27 Jun 2025 04:30:27</v>
      </c>
      <c r="B1102" s="12" t="str">
        <f t="shared" si="1"/>
        <v>June</v>
      </c>
      <c r="C1102" s="12">
        <f t="shared" si="2"/>
        <v>6</v>
      </c>
      <c r="D1102" s="12" t="str">
        <f>IFERROR(__xludf.DUMMYFUNCTION("IFERROR(IF(REGEXMATCH(LOWER(Raw_Data!C1108),""fixed deposit|owealth|savings|target""),""Fixed Deposit"",IF(REGEXMATCH(LOWER(Raw_Data!C1108),""airtime""),""Airtime"",IF(REGEXMATCH(LOWER(Raw_Data!C1108),""electronic money transfer levy""),""Electronic Money"&amp;" Transfer Levy"",IF(REGEXMATCH(LOWER(Raw_Data!C1108),""transfer|trf|send""),""Transfer"",""Other"")))),""Other"")"),"Airtime")</f>
        <v>Airtime</v>
      </c>
      <c r="E1102" s="20">
        <v>200.0</v>
      </c>
      <c r="F1102" s="20">
        <v>0.0</v>
      </c>
      <c r="G1102" s="12" t="str">
        <f t="shared" si="3"/>
        <v>Withdrawal</v>
      </c>
      <c r="H1102" s="12" t="str">
        <f>TEXT(Raw_Data!A1108,"hh:mm:ss")
</f>
        <v>04:30:27</v>
      </c>
      <c r="I1102" s="20">
        <f t="shared" si="4"/>
        <v>200</v>
      </c>
    </row>
    <row r="1103">
      <c r="A1103" s="12" t="str">
        <f>Raw_Data!A1109</f>
        <v>27 Jun 2025 11:40:15</v>
      </c>
      <c r="B1103" s="12" t="str">
        <f t="shared" si="1"/>
        <v>June</v>
      </c>
      <c r="C1103" s="12">
        <f t="shared" si="2"/>
        <v>6</v>
      </c>
      <c r="D1103" s="12" t="str">
        <f>IFERROR(__xludf.DUMMYFUNCTION("IFERROR(IF(REGEXMATCH(LOWER(Raw_Data!C1109),""fixed deposit|owealth|savings|target""),""Fixed Deposit"",IF(REGEXMATCH(LOWER(Raw_Data!C1109),""airtime""),""Airtime"",IF(REGEXMATCH(LOWER(Raw_Data!C1109),""electronic money transfer levy""),""Electronic Money"&amp;" Transfer Levy"",IF(REGEXMATCH(LOWER(Raw_Data!C1109),""transfer|trf|send""),""Transfer"",""Other"")))),""Other"")"),"Transfer")</f>
        <v>Transfer</v>
      </c>
      <c r="E1103" s="20">
        <v>500.0</v>
      </c>
      <c r="F1103" s="20">
        <v>0.0</v>
      </c>
      <c r="G1103" s="12" t="str">
        <f t="shared" si="3"/>
        <v>Withdrawal</v>
      </c>
      <c r="H1103" s="12" t="str">
        <f>TEXT(Raw_Data!A1109,"hh:mm:ss")
</f>
        <v>11:40:15</v>
      </c>
      <c r="I1103" s="20">
        <f t="shared" si="4"/>
        <v>500</v>
      </c>
    </row>
    <row r="1104">
      <c r="A1104" s="12" t="str">
        <f>Raw_Data!A1110</f>
        <v>27 Jun 2025 20:44:26</v>
      </c>
      <c r="B1104" s="12" t="str">
        <f t="shared" si="1"/>
        <v>June</v>
      </c>
      <c r="C1104" s="12">
        <f t="shared" si="2"/>
        <v>6</v>
      </c>
      <c r="D1104" s="12" t="str">
        <f>IFERROR(__xludf.DUMMYFUNCTION("IFERROR(IF(REGEXMATCH(LOWER(Raw_Data!C1110),""fixed deposit|owealth|savings|target""),""Fixed Deposit"",IF(REGEXMATCH(LOWER(Raw_Data!C1110),""airtime""),""Airtime"",IF(REGEXMATCH(LOWER(Raw_Data!C1110),""electronic money transfer levy""),""Electronic Money"&amp;" Transfer Levy"",IF(REGEXMATCH(LOWER(Raw_Data!C1110),""transfer|trf|send""),""Transfer"",""Other"")))),""Other"")"),"Transfer")</f>
        <v>Transfer</v>
      </c>
      <c r="E1104" s="20">
        <v>0.0</v>
      </c>
      <c r="F1104" s="20">
        <v>79000.0</v>
      </c>
      <c r="G1104" s="12" t="str">
        <f t="shared" si="3"/>
        <v>Deposit</v>
      </c>
      <c r="H1104" s="12" t="str">
        <f>TEXT(Raw_Data!A1110,"hh:mm:ss")
</f>
        <v>20:44:26</v>
      </c>
      <c r="I1104" s="20">
        <f t="shared" si="4"/>
        <v>79000</v>
      </c>
    </row>
    <row r="1105">
      <c r="A1105" s="12" t="str">
        <f>Raw_Data!A1111</f>
        <v>27 Jun 2025 20:44:28</v>
      </c>
      <c r="B1105" s="12" t="str">
        <f t="shared" si="1"/>
        <v>June</v>
      </c>
      <c r="C1105" s="12">
        <f t="shared" si="2"/>
        <v>6</v>
      </c>
      <c r="D1105" s="12" t="str">
        <f>IFERROR(__xludf.DUMMYFUNCTION("IFERROR(IF(REGEXMATCH(LOWER(Raw_Data!C1111),""fixed deposit|owealth|savings|target""),""Fixed Deposit"",IF(REGEXMATCH(LOWER(Raw_Data!C1111),""airtime""),""Airtime"",IF(REGEXMATCH(LOWER(Raw_Data!C1111),""electronic money transfer levy""),""Electronic Money"&amp;" Transfer Levy"",IF(REGEXMATCH(LOWER(Raw_Data!C1111),""transfer|trf|send""),""Transfer"",""Other"")))),""Other"")"),"Electronic Money Transfer Levy")</f>
        <v>Electronic Money Transfer Levy</v>
      </c>
      <c r="E1105" s="20">
        <v>50.0</v>
      </c>
      <c r="F1105" s="20">
        <v>0.0</v>
      </c>
      <c r="G1105" s="12" t="str">
        <f t="shared" si="3"/>
        <v>Withdrawal</v>
      </c>
      <c r="H1105" s="12" t="str">
        <f>TEXT(Raw_Data!A1111,"hh:mm:ss")
</f>
        <v>20:44:28</v>
      </c>
      <c r="I1105" s="20">
        <f t="shared" si="4"/>
        <v>50</v>
      </c>
    </row>
    <row r="1106">
      <c r="A1106" s="12" t="str">
        <f>Raw_Data!A1112</f>
        <v>27 Jun 2025 21:53:10</v>
      </c>
      <c r="B1106" s="12" t="str">
        <f t="shared" si="1"/>
        <v>June</v>
      </c>
      <c r="C1106" s="12">
        <f t="shared" si="2"/>
        <v>6</v>
      </c>
      <c r="D1106" s="12" t="str">
        <f>IFERROR(__xludf.DUMMYFUNCTION("IFERROR(IF(REGEXMATCH(LOWER(Raw_Data!C1112),""fixed deposit|owealth|savings|target""),""Fixed Deposit"",IF(REGEXMATCH(LOWER(Raw_Data!C1112),""airtime""),""Airtime"",IF(REGEXMATCH(LOWER(Raw_Data!C1112),""electronic money transfer levy""),""Electronic Money"&amp;" Transfer Levy"",IF(REGEXMATCH(LOWER(Raw_Data!C1112),""transfer|trf|send""),""Transfer"",""Other"")))),""Other"")"),"Transfer")</f>
        <v>Transfer</v>
      </c>
      <c r="E1106" s="20">
        <v>25000.0</v>
      </c>
      <c r="F1106" s="20">
        <v>0.0</v>
      </c>
      <c r="G1106" s="12" t="str">
        <f t="shared" si="3"/>
        <v>Withdrawal</v>
      </c>
      <c r="H1106" s="12" t="str">
        <f>TEXT(Raw_Data!A1112,"hh:mm:ss")
</f>
        <v>21:53:10</v>
      </c>
      <c r="I1106" s="20">
        <f t="shared" si="4"/>
        <v>25000</v>
      </c>
    </row>
    <row r="1107">
      <c r="A1107" s="12" t="str">
        <f>Raw_Data!A1113</f>
        <v>27 Jun 2025 22:07:50</v>
      </c>
      <c r="B1107" s="12" t="str">
        <f t="shared" si="1"/>
        <v>June</v>
      </c>
      <c r="C1107" s="12">
        <f t="shared" si="2"/>
        <v>6</v>
      </c>
      <c r="D1107" s="12" t="str">
        <f>IFERROR(__xludf.DUMMYFUNCTION("IFERROR(IF(REGEXMATCH(LOWER(Raw_Data!C1113),""fixed deposit|owealth|savings|target""),""Fixed Deposit"",IF(REGEXMATCH(LOWER(Raw_Data!C1113),""airtime""),""Airtime"",IF(REGEXMATCH(LOWER(Raw_Data!C1113),""electronic money transfer levy""),""Electronic Money"&amp;" Transfer Levy"",IF(REGEXMATCH(LOWER(Raw_Data!C1113),""transfer|trf|send""),""Transfer"",""Other"")))),""Other"")"),"Transfer")</f>
        <v>Transfer</v>
      </c>
      <c r="E1107" s="20">
        <v>23146.35</v>
      </c>
      <c r="F1107" s="20">
        <v>0.0</v>
      </c>
      <c r="G1107" s="12" t="str">
        <f t="shared" si="3"/>
        <v>Withdrawal</v>
      </c>
      <c r="H1107" s="12" t="str">
        <f>TEXT(Raw_Data!A1113,"hh:mm:ss")
</f>
        <v>22:07:50</v>
      </c>
      <c r="I1107" s="20">
        <f t="shared" si="4"/>
        <v>23146.35</v>
      </c>
    </row>
    <row r="1108">
      <c r="A1108" s="12" t="str">
        <f>Raw_Data!A1114</f>
        <v>27 Jun 2025 22:10:51</v>
      </c>
      <c r="B1108" s="12" t="str">
        <f t="shared" si="1"/>
        <v>June</v>
      </c>
      <c r="C1108" s="12">
        <f t="shared" si="2"/>
        <v>6</v>
      </c>
      <c r="D1108" s="12" t="str">
        <f>IFERROR(__xludf.DUMMYFUNCTION("IFERROR(IF(REGEXMATCH(LOWER(Raw_Data!C1114),""fixed deposit|owealth|savings|target""),""Fixed Deposit"",IF(REGEXMATCH(LOWER(Raw_Data!C1114),""airtime""),""Airtime"",IF(REGEXMATCH(LOWER(Raw_Data!C1114),""electronic money transfer levy""),""Electronic Money"&amp;" Transfer Levy"",IF(REGEXMATCH(LOWER(Raw_Data!C1114),""transfer|trf|send""),""Transfer"",""Other"")))),""Other"")"),"Transfer")</f>
        <v>Transfer</v>
      </c>
      <c r="E1108" s="20">
        <v>800.0</v>
      </c>
      <c r="F1108" s="20">
        <v>0.0</v>
      </c>
      <c r="G1108" s="12" t="str">
        <f t="shared" si="3"/>
        <v>Withdrawal</v>
      </c>
      <c r="H1108" s="12" t="str">
        <f>TEXT(Raw_Data!A1114,"hh:mm:ss")
</f>
        <v>22:10:51</v>
      </c>
      <c r="I1108" s="20">
        <f t="shared" si="4"/>
        <v>800</v>
      </c>
    </row>
    <row r="1109">
      <c r="A1109" s="12" t="str">
        <f>Raw_Data!A1115</f>
        <v>27 Jun 2025 22:57:16</v>
      </c>
      <c r="B1109" s="12" t="str">
        <f t="shared" si="1"/>
        <v>June</v>
      </c>
      <c r="C1109" s="12">
        <f t="shared" si="2"/>
        <v>6</v>
      </c>
      <c r="D1109" s="12" t="str">
        <f>IFERROR(__xludf.DUMMYFUNCTION("IFERROR(IF(REGEXMATCH(LOWER(Raw_Data!C1115),""fixed deposit|owealth|savings|target""),""Fixed Deposit"",IF(REGEXMATCH(LOWER(Raw_Data!C1115),""airtime""),""Airtime"",IF(REGEXMATCH(LOWER(Raw_Data!C1115),""electronic money transfer levy""),""Electronic Money"&amp;" Transfer Levy"",IF(REGEXMATCH(LOWER(Raw_Data!C1115),""transfer|trf|send""),""Transfer"",""Other"")))),""Other"")"),"Transfer")</f>
        <v>Transfer</v>
      </c>
      <c r="E1109" s="20">
        <v>0.0</v>
      </c>
      <c r="F1109" s="20">
        <v>81335.0</v>
      </c>
      <c r="G1109" s="12" t="str">
        <f t="shared" si="3"/>
        <v>Deposit</v>
      </c>
      <c r="H1109" s="12" t="str">
        <f>TEXT(Raw_Data!A1115,"hh:mm:ss")
</f>
        <v>22:57:16</v>
      </c>
      <c r="I1109" s="20">
        <f t="shared" si="4"/>
        <v>81335</v>
      </c>
    </row>
    <row r="1110">
      <c r="A1110" s="12" t="str">
        <f>Raw_Data!A1116</f>
        <v>27 Jun 2025 22:57:18</v>
      </c>
      <c r="B1110" s="12" t="str">
        <f t="shared" si="1"/>
        <v>June</v>
      </c>
      <c r="C1110" s="12">
        <f t="shared" si="2"/>
        <v>6</v>
      </c>
      <c r="D1110" s="12" t="str">
        <f>IFERROR(__xludf.DUMMYFUNCTION("IFERROR(IF(REGEXMATCH(LOWER(Raw_Data!C1116),""fixed deposit|owealth|savings|target""),""Fixed Deposit"",IF(REGEXMATCH(LOWER(Raw_Data!C1116),""airtime""),""Airtime"",IF(REGEXMATCH(LOWER(Raw_Data!C1116),""electronic money transfer levy""),""Electronic Money"&amp;" Transfer Levy"",IF(REGEXMATCH(LOWER(Raw_Data!C1116),""transfer|trf|send""),""Transfer"",""Other"")))),""Other"")"),"Electronic Money Transfer Levy")</f>
        <v>Electronic Money Transfer Levy</v>
      </c>
      <c r="E1110" s="20">
        <v>50.0</v>
      </c>
      <c r="F1110" s="20">
        <v>0.0</v>
      </c>
      <c r="G1110" s="12" t="str">
        <f t="shared" si="3"/>
        <v>Withdrawal</v>
      </c>
      <c r="H1110" s="12" t="str">
        <f>TEXT(Raw_Data!A1116,"hh:mm:ss")
</f>
        <v>22:57:18</v>
      </c>
      <c r="I1110" s="20">
        <f t="shared" si="4"/>
        <v>50</v>
      </c>
    </row>
    <row r="1111">
      <c r="A1111" s="12" t="str">
        <f>Raw_Data!A1117</f>
        <v>27 Jun 2025 22:58:23</v>
      </c>
      <c r="B1111" s="12" t="str">
        <f t="shared" si="1"/>
        <v>June</v>
      </c>
      <c r="C1111" s="12">
        <f t="shared" si="2"/>
        <v>6</v>
      </c>
      <c r="D1111" s="12" t="str">
        <f>IFERROR(__xludf.DUMMYFUNCTION("IFERROR(IF(REGEXMATCH(LOWER(Raw_Data!C1117),""fixed deposit|owealth|savings|target""),""Fixed Deposit"",IF(REGEXMATCH(LOWER(Raw_Data!C1117),""airtime""),""Airtime"",IF(REGEXMATCH(LOWER(Raw_Data!C1117),""electronic money transfer levy""),""Electronic Money"&amp;" Transfer Levy"",IF(REGEXMATCH(LOWER(Raw_Data!C1117),""transfer|trf|send""),""Transfer"",""Other"")))),""Other"")"),"Transfer")</f>
        <v>Transfer</v>
      </c>
      <c r="E1111" s="20">
        <v>81000.0</v>
      </c>
      <c r="F1111" s="20">
        <v>0.0</v>
      </c>
      <c r="G1111" s="12" t="str">
        <f t="shared" si="3"/>
        <v>Withdrawal</v>
      </c>
      <c r="H1111" s="12" t="str">
        <f>TEXT(Raw_Data!A1117,"hh:mm:ss")
</f>
        <v>22:58:23</v>
      </c>
      <c r="I1111" s="20">
        <f t="shared" si="4"/>
        <v>81000</v>
      </c>
    </row>
    <row r="1112">
      <c r="A1112" s="12" t="str">
        <f>Raw_Data!A1118</f>
        <v>28 Jun 2025 09:30:02</v>
      </c>
      <c r="B1112" s="12" t="str">
        <f t="shared" si="1"/>
        <v>June</v>
      </c>
      <c r="C1112" s="12">
        <f t="shared" si="2"/>
        <v>6</v>
      </c>
      <c r="D1112" s="12" t="str">
        <f>IFERROR(__xludf.DUMMYFUNCTION("IFERROR(IF(REGEXMATCH(LOWER(Raw_Data!C1118),""fixed deposit|owealth|savings|target""),""Fixed Deposit"",IF(REGEXMATCH(LOWER(Raw_Data!C1118),""airtime""),""Airtime"",IF(REGEXMATCH(LOWER(Raw_Data!C1118),""electronic money transfer levy""),""Electronic Money"&amp;" Transfer Levy"",IF(REGEXMATCH(LOWER(Raw_Data!C1118),""transfer|trf|send""),""Transfer"",""Other"")))),""Other"")"),"Transfer")</f>
        <v>Transfer</v>
      </c>
      <c r="E1112" s="20">
        <v>700.0</v>
      </c>
      <c r="F1112" s="20">
        <v>0.0</v>
      </c>
      <c r="G1112" s="12" t="str">
        <f t="shared" si="3"/>
        <v>Withdrawal</v>
      </c>
      <c r="H1112" s="12" t="str">
        <f>TEXT(Raw_Data!A1118,"hh:mm:ss")
</f>
        <v>09:30:02</v>
      </c>
      <c r="I1112" s="20">
        <f t="shared" si="4"/>
        <v>700</v>
      </c>
    </row>
    <row r="1113">
      <c r="A1113" s="12" t="str">
        <f>Raw_Data!A1119</f>
        <v>28 Jun 2025 12:22:24</v>
      </c>
      <c r="B1113" s="12" t="str">
        <f t="shared" si="1"/>
        <v>June</v>
      </c>
      <c r="C1113" s="12">
        <f t="shared" si="2"/>
        <v>6</v>
      </c>
      <c r="D1113" s="12" t="str">
        <f>IFERROR(__xludf.DUMMYFUNCTION("IFERROR(IF(REGEXMATCH(LOWER(Raw_Data!C1119),""fixed deposit|owealth|savings|target""),""Fixed Deposit"",IF(REGEXMATCH(LOWER(Raw_Data!C1119),""airtime""),""Airtime"",IF(REGEXMATCH(LOWER(Raw_Data!C1119),""electronic money transfer levy""),""Electronic Money"&amp;" Transfer Levy"",IF(REGEXMATCH(LOWER(Raw_Data!C1119),""transfer|trf|send""),""Transfer"",""Other"")))),""Other"")"),"Transfer")</f>
        <v>Transfer</v>
      </c>
      <c r="E1113" s="20">
        <v>5100.0</v>
      </c>
      <c r="F1113" s="20">
        <v>0.0</v>
      </c>
      <c r="G1113" s="12" t="str">
        <f t="shared" si="3"/>
        <v>Withdrawal</v>
      </c>
      <c r="H1113" s="12" t="str">
        <f>TEXT(Raw_Data!A1119,"hh:mm:ss")
</f>
        <v>12:22:24</v>
      </c>
      <c r="I1113" s="20">
        <f t="shared" si="4"/>
        <v>5100</v>
      </c>
    </row>
    <row r="1114">
      <c r="A1114" s="12" t="str">
        <f>Raw_Data!A1120</f>
        <v>28 Jun 2025 12:32:18</v>
      </c>
      <c r="B1114" s="12" t="str">
        <f t="shared" si="1"/>
        <v>June</v>
      </c>
      <c r="C1114" s="12">
        <f t="shared" si="2"/>
        <v>6</v>
      </c>
      <c r="D1114" s="12" t="str">
        <f>IFERROR(__xludf.DUMMYFUNCTION("IFERROR(IF(REGEXMATCH(LOWER(Raw_Data!C1120),""fixed deposit|owealth|savings|target""),""Fixed Deposit"",IF(REGEXMATCH(LOWER(Raw_Data!C1120),""airtime""),""Airtime"",IF(REGEXMATCH(LOWER(Raw_Data!C1120),""electronic money transfer levy""),""Electronic Money"&amp;" Transfer Levy"",IF(REGEXMATCH(LOWER(Raw_Data!C1120),""transfer|trf|send""),""Transfer"",""Other"")))),""Other"")"),"Airtime")</f>
        <v>Airtime</v>
      </c>
      <c r="E1114" s="20">
        <v>300.0</v>
      </c>
      <c r="F1114" s="20">
        <v>0.0</v>
      </c>
      <c r="G1114" s="12" t="str">
        <f t="shared" si="3"/>
        <v>Withdrawal</v>
      </c>
      <c r="H1114" s="12" t="str">
        <f>TEXT(Raw_Data!A1120,"hh:mm:ss")
</f>
        <v>12:32:18</v>
      </c>
      <c r="I1114" s="20">
        <f t="shared" si="4"/>
        <v>300</v>
      </c>
    </row>
    <row r="1115">
      <c r="A1115" s="12" t="str">
        <f>Raw_Data!A1121</f>
        <v>28 Jun 2025 14:06:42</v>
      </c>
      <c r="B1115" s="12" t="str">
        <f t="shared" si="1"/>
        <v>June</v>
      </c>
      <c r="C1115" s="12">
        <f t="shared" si="2"/>
        <v>6</v>
      </c>
      <c r="D1115" s="12" t="str">
        <f>IFERROR(__xludf.DUMMYFUNCTION("IFERROR(IF(REGEXMATCH(LOWER(Raw_Data!C1121),""fixed deposit|owealth|savings|target""),""Fixed Deposit"",IF(REGEXMATCH(LOWER(Raw_Data!C1121),""airtime""),""Airtime"",IF(REGEXMATCH(LOWER(Raw_Data!C1121),""electronic money transfer levy""),""Electronic Money"&amp;" Transfer Levy"",IF(REGEXMATCH(LOWER(Raw_Data!C1121),""transfer|trf|send""),""Transfer"",""Other"")))),""Other"")"),"Transfer")</f>
        <v>Transfer</v>
      </c>
      <c r="E1115" s="20">
        <v>7300.0</v>
      </c>
      <c r="F1115" s="20">
        <v>0.0</v>
      </c>
      <c r="G1115" s="12" t="str">
        <f t="shared" si="3"/>
        <v>Withdrawal</v>
      </c>
      <c r="H1115" s="12" t="str">
        <f>TEXT(Raw_Data!A1121,"hh:mm:ss")
</f>
        <v>14:06:42</v>
      </c>
      <c r="I1115" s="20">
        <f t="shared" si="4"/>
        <v>7300</v>
      </c>
    </row>
    <row r="1116">
      <c r="A1116" s="12" t="str">
        <f>Raw_Data!A1122</f>
        <v>28 Jun 2025 14:09:59</v>
      </c>
      <c r="B1116" s="12" t="str">
        <f t="shared" si="1"/>
        <v>June</v>
      </c>
      <c r="C1116" s="12">
        <f t="shared" si="2"/>
        <v>6</v>
      </c>
      <c r="D1116" s="12" t="str">
        <f>IFERROR(__xludf.DUMMYFUNCTION("IFERROR(IF(REGEXMATCH(LOWER(Raw_Data!C1122),""fixed deposit|owealth|savings|target""),""Fixed Deposit"",IF(REGEXMATCH(LOWER(Raw_Data!C1122),""airtime""),""Airtime"",IF(REGEXMATCH(LOWER(Raw_Data!C1122),""electronic money transfer levy""),""Electronic Money"&amp;" Transfer Levy"",IF(REGEXMATCH(LOWER(Raw_Data!C1122),""transfer|trf|send""),""Transfer"",""Other"")))),""Other"")"),"Transfer")</f>
        <v>Transfer</v>
      </c>
      <c r="E1116" s="20">
        <v>5510.0</v>
      </c>
      <c r="F1116" s="20">
        <v>0.0</v>
      </c>
      <c r="G1116" s="12" t="str">
        <f t="shared" si="3"/>
        <v>Withdrawal</v>
      </c>
      <c r="H1116" s="12" t="str">
        <f>TEXT(Raw_Data!A1122,"hh:mm:ss")
</f>
        <v>14:09:59</v>
      </c>
      <c r="I1116" s="20">
        <f t="shared" si="4"/>
        <v>5510</v>
      </c>
    </row>
    <row r="1117">
      <c r="A1117" s="12" t="str">
        <f>Raw_Data!A1123</f>
        <v>28 Jun 2025 14:13:45</v>
      </c>
      <c r="B1117" s="12" t="str">
        <f t="shared" si="1"/>
        <v>June</v>
      </c>
      <c r="C1117" s="12">
        <f t="shared" si="2"/>
        <v>6</v>
      </c>
      <c r="D1117" s="12" t="str">
        <f>IFERROR(__xludf.DUMMYFUNCTION("IFERROR(IF(REGEXMATCH(LOWER(Raw_Data!C1123),""fixed deposit|owealth|savings|target""),""Fixed Deposit"",IF(REGEXMATCH(LOWER(Raw_Data!C1123),""airtime""),""Airtime"",IF(REGEXMATCH(LOWER(Raw_Data!C1123),""electronic money transfer levy""),""Electronic Money"&amp;" Transfer Levy"",IF(REGEXMATCH(LOWER(Raw_Data!C1123),""transfer|trf|send""),""Transfer"",""Other"")))),""Other"")"),"Transfer")</f>
        <v>Transfer</v>
      </c>
      <c r="E1117" s="20">
        <v>1010.0</v>
      </c>
      <c r="F1117" s="20">
        <v>0.0</v>
      </c>
      <c r="G1117" s="12" t="str">
        <f t="shared" si="3"/>
        <v>Withdrawal</v>
      </c>
      <c r="H1117" s="12" t="str">
        <f>TEXT(Raw_Data!A1123,"hh:mm:ss")
</f>
        <v>14:13:45</v>
      </c>
      <c r="I1117" s="20">
        <f t="shared" si="4"/>
        <v>1010</v>
      </c>
    </row>
    <row r="1118">
      <c r="A1118" s="12" t="str">
        <f>Raw_Data!A1124</f>
        <v>28 Jun 2025 18:54:49</v>
      </c>
      <c r="B1118" s="12" t="str">
        <f t="shared" si="1"/>
        <v>June</v>
      </c>
      <c r="C1118" s="12">
        <f t="shared" si="2"/>
        <v>6</v>
      </c>
      <c r="D1118" s="12" t="str">
        <f>IFERROR(__xludf.DUMMYFUNCTION("IFERROR(IF(REGEXMATCH(LOWER(Raw_Data!C1124),""fixed deposit|owealth|savings|target""),""Fixed Deposit"",IF(REGEXMATCH(LOWER(Raw_Data!C1124),""airtime""),""Airtime"",IF(REGEXMATCH(LOWER(Raw_Data!C1124),""electronic money transfer levy""),""Electronic Money"&amp;" Transfer Levy"",IF(REGEXMATCH(LOWER(Raw_Data!C1124),""transfer|trf|send""),""Transfer"",""Other"")))),""Other"")"),"Transfer")</f>
        <v>Transfer</v>
      </c>
      <c r="E1118" s="20">
        <v>0.0</v>
      </c>
      <c r="F1118" s="20">
        <v>5000.0</v>
      </c>
      <c r="G1118" s="12" t="str">
        <f t="shared" si="3"/>
        <v>Deposit</v>
      </c>
      <c r="H1118" s="12" t="str">
        <f>TEXT(Raw_Data!A1124,"hh:mm:ss")
</f>
        <v>18:54:49</v>
      </c>
      <c r="I1118" s="20">
        <f t="shared" si="4"/>
        <v>5000</v>
      </c>
    </row>
    <row r="1119">
      <c r="A1119" s="12" t="str">
        <f>Raw_Data!A1125</f>
        <v>28 Jun 2025 19:50:20</v>
      </c>
      <c r="B1119" s="12" t="str">
        <f t="shared" si="1"/>
        <v>June</v>
      </c>
      <c r="C1119" s="12">
        <f t="shared" si="2"/>
        <v>6</v>
      </c>
      <c r="D1119" s="12" t="str">
        <f>IFERROR(__xludf.DUMMYFUNCTION("IFERROR(IF(REGEXMATCH(LOWER(Raw_Data!C1125),""fixed deposit|owealth|savings|target""),""Fixed Deposit"",IF(REGEXMATCH(LOWER(Raw_Data!C1125),""airtime""),""Airtime"",IF(REGEXMATCH(LOWER(Raw_Data!C1125),""electronic money transfer levy""),""Electronic Money"&amp;" Transfer Levy"",IF(REGEXMATCH(LOWER(Raw_Data!C1125),""transfer|trf|send""),""Transfer"",""Other"")))),""Other"")"),"Transfer")</f>
        <v>Transfer</v>
      </c>
      <c r="E1119" s="20">
        <v>1210.0</v>
      </c>
      <c r="F1119" s="20">
        <v>0.0</v>
      </c>
      <c r="G1119" s="12" t="str">
        <f t="shared" si="3"/>
        <v>Withdrawal</v>
      </c>
      <c r="H1119" s="12" t="str">
        <f>TEXT(Raw_Data!A1125,"hh:mm:ss")
</f>
        <v>19:50:20</v>
      </c>
      <c r="I1119" s="20">
        <f t="shared" si="4"/>
        <v>1210</v>
      </c>
    </row>
    <row r="1120">
      <c r="A1120" s="12" t="str">
        <f>Raw_Data!A1126</f>
        <v>28 Jun 2025 20:24:31</v>
      </c>
      <c r="B1120" s="12" t="str">
        <f t="shared" si="1"/>
        <v>June</v>
      </c>
      <c r="C1120" s="12">
        <f t="shared" si="2"/>
        <v>6</v>
      </c>
      <c r="D1120" s="12" t="str">
        <f>IFERROR(__xludf.DUMMYFUNCTION("IFERROR(IF(REGEXMATCH(LOWER(Raw_Data!C1126),""fixed deposit|owealth|savings|target""),""Fixed Deposit"",IF(REGEXMATCH(LOWER(Raw_Data!C1126),""airtime""),""Airtime"",IF(REGEXMATCH(LOWER(Raw_Data!C1126),""electronic money transfer levy""),""Electronic Money"&amp;" Transfer Levy"",IF(REGEXMATCH(LOWER(Raw_Data!C1126),""transfer|trf|send""),""Transfer"",""Other"")))),""Other"")"),"Transfer")</f>
        <v>Transfer</v>
      </c>
      <c r="E1120" s="20">
        <v>510.0</v>
      </c>
      <c r="F1120" s="20">
        <v>0.0</v>
      </c>
      <c r="G1120" s="12" t="str">
        <f t="shared" si="3"/>
        <v>Withdrawal</v>
      </c>
      <c r="H1120" s="12" t="str">
        <f>TEXT(Raw_Data!A1126,"hh:mm:ss")
</f>
        <v>20:24:31</v>
      </c>
      <c r="I1120" s="20">
        <f t="shared" si="4"/>
        <v>510</v>
      </c>
    </row>
    <row r="1121">
      <c r="A1121" s="12" t="str">
        <f>Raw_Data!A1127</f>
        <v>29 Jun 2025 08:01:50</v>
      </c>
      <c r="B1121" s="12" t="str">
        <f t="shared" si="1"/>
        <v>June</v>
      </c>
      <c r="C1121" s="12">
        <f t="shared" si="2"/>
        <v>6</v>
      </c>
      <c r="D1121" s="12" t="str">
        <f>IFERROR(__xludf.DUMMYFUNCTION("IFERROR(IF(REGEXMATCH(LOWER(Raw_Data!C1127),""fixed deposit|owealth|savings|target""),""Fixed Deposit"",IF(REGEXMATCH(LOWER(Raw_Data!C1127),""airtime""),""Airtime"",IF(REGEXMATCH(LOWER(Raw_Data!C1127),""electronic money transfer levy""),""Electronic Money"&amp;" Transfer Levy"",IF(REGEXMATCH(LOWER(Raw_Data!C1127),""transfer|trf|send""),""Transfer"",""Other"")))),""Other"")"),"Airtime")</f>
        <v>Airtime</v>
      </c>
      <c r="E1121" s="20">
        <v>11000.0</v>
      </c>
      <c r="F1121" s="20">
        <v>0.0</v>
      </c>
      <c r="G1121" s="12" t="str">
        <f t="shared" si="3"/>
        <v>Withdrawal</v>
      </c>
      <c r="H1121" s="12" t="str">
        <f>TEXT(Raw_Data!A1127,"hh:mm:ss")
</f>
        <v>08:01:50</v>
      </c>
      <c r="I1121" s="20">
        <f t="shared" si="4"/>
        <v>11000</v>
      </c>
    </row>
    <row r="1122">
      <c r="A1122" s="12" t="str">
        <f>Raw_Data!A1128</f>
        <v>29 Jun 2025 10:04:39</v>
      </c>
      <c r="B1122" s="12" t="str">
        <f t="shared" si="1"/>
        <v>June</v>
      </c>
      <c r="C1122" s="12">
        <f t="shared" si="2"/>
        <v>6</v>
      </c>
      <c r="D1122" s="12" t="str">
        <f>IFERROR(__xludf.DUMMYFUNCTION("IFERROR(IF(REGEXMATCH(LOWER(Raw_Data!C1128),""fixed deposit|owealth|savings|target""),""Fixed Deposit"",IF(REGEXMATCH(LOWER(Raw_Data!C1128),""airtime""),""Airtime"",IF(REGEXMATCH(LOWER(Raw_Data!C1128),""electronic money transfer levy""),""Electronic Money"&amp;" Transfer Levy"",IF(REGEXMATCH(LOWER(Raw_Data!C1128),""transfer|trf|send""),""Transfer"",""Other"")))),""Other"")"),"Transfer")</f>
        <v>Transfer</v>
      </c>
      <c r="E1122" s="20">
        <v>0.0</v>
      </c>
      <c r="F1122" s="20">
        <v>156181.0</v>
      </c>
      <c r="G1122" s="12" t="str">
        <f t="shared" si="3"/>
        <v>Deposit</v>
      </c>
      <c r="H1122" s="12" t="str">
        <f>TEXT(Raw_Data!A1128,"hh:mm:ss")
</f>
        <v>10:04:39</v>
      </c>
      <c r="I1122" s="20">
        <f t="shared" si="4"/>
        <v>156181</v>
      </c>
    </row>
    <row r="1123">
      <c r="A1123" s="12" t="str">
        <f>Raw_Data!A1129</f>
        <v>29 Jun 2025 10:04:42</v>
      </c>
      <c r="B1123" s="12" t="str">
        <f t="shared" si="1"/>
        <v>June</v>
      </c>
      <c r="C1123" s="12">
        <f t="shared" si="2"/>
        <v>6</v>
      </c>
      <c r="D1123" s="12" t="str">
        <f>IFERROR(__xludf.DUMMYFUNCTION("IFERROR(IF(REGEXMATCH(LOWER(Raw_Data!C1129),""fixed deposit|owealth|savings|target""),""Fixed Deposit"",IF(REGEXMATCH(LOWER(Raw_Data!C1129),""airtime""),""Airtime"",IF(REGEXMATCH(LOWER(Raw_Data!C1129),""electronic money transfer levy""),""Electronic Money"&amp;" Transfer Levy"",IF(REGEXMATCH(LOWER(Raw_Data!C1129),""transfer|trf|send""),""Transfer"",""Other"")))),""Other"")"),"Electronic Money Transfer Levy")</f>
        <v>Electronic Money Transfer Levy</v>
      </c>
      <c r="E1123" s="20">
        <v>50.0</v>
      </c>
      <c r="F1123" s="20">
        <v>0.0</v>
      </c>
      <c r="G1123" s="12" t="str">
        <f t="shared" si="3"/>
        <v>Withdrawal</v>
      </c>
      <c r="H1123" s="12" t="str">
        <f>TEXT(Raw_Data!A1129,"hh:mm:ss")
</f>
        <v>10:04:42</v>
      </c>
      <c r="I1123" s="20">
        <f t="shared" si="4"/>
        <v>50</v>
      </c>
    </row>
    <row r="1124">
      <c r="A1124" s="12" t="str">
        <f>Raw_Data!A1130</f>
        <v>29 Jun 2025 10:19:34</v>
      </c>
      <c r="B1124" s="12" t="str">
        <f t="shared" si="1"/>
        <v>June</v>
      </c>
      <c r="C1124" s="12">
        <f t="shared" si="2"/>
        <v>6</v>
      </c>
      <c r="D1124" s="12" t="str">
        <f>IFERROR(__xludf.DUMMYFUNCTION("IFERROR(IF(REGEXMATCH(LOWER(Raw_Data!C1130),""fixed deposit|owealth|savings|target""),""Fixed Deposit"",IF(REGEXMATCH(LOWER(Raw_Data!C1130),""airtime""),""Airtime"",IF(REGEXMATCH(LOWER(Raw_Data!C1130),""electronic money transfer levy""),""Electronic Money"&amp;" Transfer Levy"",IF(REGEXMATCH(LOWER(Raw_Data!C1130),""transfer|trf|send""),""Transfer"",""Other"")))),""Other"")"),"Transfer")</f>
        <v>Transfer</v>
      </c>
      <c r="E1124" s="20">
        <v>156000.0</v>
      </c>
      <c r="F1124" s="20">
        <v>0.0</v>
      </c>
      <c r="G1124" s="12" t="str">
        <f t="shared" si="3"/>
        <v>Withdrawal</v>
      </c>
      <c r="H1124" s="12" t="str">
        <f>TEXT(Raw_Data!A1130,"hh:mm:ss")
</f>
        <v>10:19:34</v>
      </c>
      <c r="I1124" s="20">
        <f t="shared" si="4"/>
        <v>156000</v>
      </c>
    </row>
    <row r="1125">
      <c r="A1125" s="12" t="str">
        <f>Raw_Data!A1131</f>
        <v>30 Jun 2025 15:42:57</v>
      </c>
      <c r="B1125" s="12" t="str">
        <f t="shared" si="1"/>
        <v>June</v>
      </c>
      <c r="C1125" s="12">
        <f t="shared" si="2"/>
        <v>6</v>
      </c>
      <c r="D1125" s="12" t="str">
        <f>IFERROR(__xludf.DUMMYFUNCTION("IFERROR(IF(REGEXMATCH(LOWER(Raw_Data!C1131),""fixed deposit|owealth|savings|target""),""Fixed Deposit"",IF(REGEXMATCH(LOWER(Raw_Data!C1131),""airtime""),""Airtime"",IF(REGEXMATCH(LOWER(Raw_Data!C1131),""electronic money transfer levy""),""Electronic Money"&amp;" Transfer Levy"",IF(REGEXMATCH(LOWER(Raw_Data!C1131),""transfer|trf|send""),""Transfer"",""Other"")))),""Other"")"),"Transfer")</f>
        <v>Transfer</v>
      </c>
      <c r="E1125" s="20">
        <v>0.0</v>
      </c>
      <c r="F1125" s="20">
        <v>5000.0</v>
      </c>
      <c r="G1125" s="12" t="str">
        <f t="shared" si="3"/>
        <v>Deposit</v>
      </c>
      <c r="H1125" s="12" t="str">
        <f>TEXT(Raw_Data!A1131,"hh:mm:ss")
</f>
        <v>15:42:57</v>
      </c>
      <c r="I1125" s="20">
        <f t="shared" si="4"/>
        <v>5000</v>
      </c>
    </row>
    <row r="1126">
      <c r="A1126" s="12" t="str">
        <f>Raw_Data!A1132</f>
        <v>30 Jun 2025 15:51:14</v>
      </c>
      <c r="B1126" s="12" t="str">
        <f t="shared" si="1"/>
        <v>June</v>
      </c>
      <c r="C1126" s="12">
        <f t="shared" si="2"/>
        <v>6</v>
      </c>
      <c r="D1126" s="12" t="str">
        <f>IFERROR(__xludf.DUMMYFUNCTION("IFERROR(IF(REGEXMATCH(LOWER(Raw_Data!C1132),""fixed deposit|owealth|savings|target""),""Fixed Deposit"",IF(REGEXMATCH(LOWER(Raw_Data!C1132),""airtime""),""Airtime"",IF(REGEXMATCH(LOWER(Raw_Data!C1132),""electronic money transfer levy""),""Electronic Money"&amp;" Transfer Levy"",IF(REGEXMATCH(LOWER(Raw_Data!C1132),""transfer|trf|send""),""Transfer"",""Other"")))),""Other"")"),"Airtime")</f>
        <v>Airtime</v>
      </c>
      <c r="E1126" s="20">
        <v>500.0</v>
      </c>
      <c r="F1126" s="20">
        <v>0.0</v>
      </c>
      <c r="G1126" s="12" t="str">
        <f t="shared" si="3"/>
        <v>Withdrawal</v>
      </c>
      <c r="H1126" s="12" t="str">
        <f>TEXT(Raw_Data!A1132,"hh:mm:ss")
</f>
        <v>15:51:14</v>
      </c>
      <c r="I1126" s="20">
        <f t="shared" si="4"/>
        <v>500</v>
      </c>
    </row>
    <row r="1127">
      <c r="A1127" s="12" t="str">
        <f>Raw_Data!A1133</f>
        <v>30 Jun 2025 15:52:23</v>
      </c>
      <c r="B1127" s="12" t="str">
        <f t="shared" si="1"/>
        <v>June</v>
      </c>
      <c r="C1127" s="12">
        <f t="shared" si="2"/>
        <v>6</v>
      </c>
      <c r="D1127" s="12" t="str">
        <f>IFERROR(__xludf.DUMMYFUNCTION("IFERROR(IF(REGEXMATCH(LOWER(Raw_Data!C1133),""fixed deposit|owealth|savings|target""),""Fixed Deposit"",IF(REGEXMATCH(LOWER(Raw_Data!C1133),""airtime""),""Airtime"",IF(REGEXMATCH(LOWER(Raw_Data!C1133),""electronic money transfer levy""),""Electronic Money"&amp;" Transfer Levy"",IF(REGEXMATCH(LOWER(Raw_Data!C1133),""transfer|trf|send""),""Transfer"",""Other"")))),""Other"")"),"Transfer")</f>
        <v>Transfer</v>
      </c>
      <c r="E1127" s="20">
        <v>0.0</v>
      </c>
      <c r="F1127" s="20">
        <v>13000.0</v>
      </c>
      <c r="G1127" s="12" t="str">
        <f t="shared" si="3"/>
        <v>Deposit</v>
      </c>
      <c r="H1127" s="12" t="str">
        <f>TEXT(Raw_Data!A1133,"hh:mm:ss")
</f>
        <v>15:52:23</v>
      </c>
      <c r="I1127" s="20">
        <f t="shared" si="4"/>
        <v>13000</v>
      </c>
    </row>
    <row r="1128">
      <c r="A1128" s="12" t="str">
        <f>Raw_Data!A1134</f>
        <v>30 Jun 2025 15:52:34</v>
      </c>
      <c r="B1128" s="12" t="str">
        <f t="shared" si="1"/>
        <v>June</v>
      </c>
      <c r="C1128" s="12">
        <f t="shared" si="2"/>
        <v>6</v>
      </c>
      <c r="D1128" s="12" t="str">
        <f>IFERROR(__xludf.DUMMYFUNCTION("IFERROR(IF(REGEXMATCH(LOWER(Raw_Data!C1134),""fixed deposit|owealth|savings|target""),""Fixed Deposit"",IF(REGEXMATCH(LOWER(Raw_Data!C1134),""airtime""),""Airtime"",IF(REGEXMATCH(LOWER(Raw_Data!C1134),""electronic money transfer levy""),""Electronic Money"&amp;" Transfer Levy"",IF(REGEXMATCH(LOWER(Raw_Data!C1134),""transfer|trf|send""),""Transfer"",""Other"")))),""Other"")"),"Electronic Money Transfer Levy")</f>
        <v>Electronic Money Transfer Levy</v>
      </c>
      <c r="E1128" s="20">
        <v>50.0</v>
      </c>
      <c r="F1128" s="20">
        <v>0.0</v>
      </c>
      <c r="G1128" s="12" t="str">
        <f t="shared" si="3"/>
        <v>Withdrawal</v>
      </c>
      <c r="H1128" s="12" t="str">
        <f>TEXT(Raw_Data!A1134,"hh:mm:ss")
</f>
        <v>15:52:34</v>
      </c>
      <c r="I1128" s="20">
        <f t="shared" si="4"/>
        <v>50</v>
      </c>
    </row>
    <row r="1129">
      <c r="A1129" s="12" t="str">
        <f>Raw_Data!A1135</f>
        <v>30 Jun 2025 16:10:26</v>
      </c>
      <c r="B1129" s="12" t="str">
        <f t="shared" si="1"/>
        <v>June</v>
      </c>
      <c r="C1129" s="12">
        <f t="shared" si="2"/>
        <v>6</v>
      </c>
      <c r="D1129" s="12" t="str">
        <f>IFERROR(__xludf.DUMMYFUNCTION("IFERROR(IF(REGEXMATCH(LOWER(Raw_Data!C1135),""fixed deposit|owealth|savings|target""),""Fixed Deposit"",IF(REGEXMATCH(LOWER(Raw_Data!C1135),""airtime""),""Airtime"",IF(REGEXMATCH(LOWER(Raw_Data!C1135),""electronic money transfer levy""),""Electronic Money"&amp;" Transfer Levy"",IF(REGEXMATCH(LOWER(Raw_Data!C1135),""transfer|trf|send""),""Transfer"",""Other"")))),""Other"")"),"Other")</f>
        <v>Other</v>
      </c>
      <c r="E1129" s="20">
        <v>13999.0</v>
      </c>
      <c r="F1129" s="20">
        <v>0.0</v>
      </c>
      <c r="G1129" s="12" t="str">
        <f t="shared" si="3"/>
        <v>Withdrawal</v>
      </c>
      <c r="H1129" s="12" t="str">
        <f>TEXT(Raw_Data!A1135,"hh:mm:ss")
</f>
        <v>16:10:26</v>
      </c>
      <c r="I1129" s="20">
        <f t="shared" si="4"/>
        <v>13999</v>
      </c>
    </row>
    <row r="1130">
      <c r="A1130" s="12" t="str">
        <f>Raw_Data!A1136</f>
        <v>30 Jun 2025 16:52:18</v>
      </c>
      <c r="B1130" s="12" t="str">
        <f t="shared" si="1"/>
        <v>June</v>
      </c>
      <c r="C1130" s="12">
        <f t="shared" si="2"/>
        <v>6</v>
      </c>
      <c r="D1130" s="12" t="str">
        <f>IFERROR(__xludf.DUMMYFUNCTION("IFERROR(IF(REGEXMATCH(LOWER(Raw_Data!C1136),""fixed deposit|owealth|savings|target""),""Fixed Deposit"",IF(REGEXMATCH(LOWER(Raw_Data!C1136),""airtime""),""Airtime"",IF(REGEXMATCH(LOWER(Raw_Data!C1136),""electronic money transfer levy""),""Electronic Money"&amp;" Transfer Levy"",IF(REGEXMATCH(LOWER(Raw_Data!C1136),""transfer|trf|send""),""Transfer"",""Other"")))),""Other"")"),"Transfer")</f>
        <v>Transfer</v>
      </c>
      <c r="E1130" s="20">
        <v>0.0</v>
      </c>
      <c r="F1130" s="20">
        <v>5000.0</v>
      </c>
      <c r="G1130" s="12" t="str">
        <f t="shared" si="3"/>
        <v>Deposit</v>
      </c>
      <c r="H1130" s="12" t="str">
        <f>TEXT(Raw_Data!A1136,"hh:mm:ss")
</f>
        <v>16:52:18</v>
      </c>
      <c r="I1130" s="20">
        <f t="shared" si="4"/>
        <v>5000</v>
      </c>
    </row>
    <row r="1131">
      <c r="A1131" s="12" t="str">
        <f>Raw_Data!A1137</f>
        <v>30 Jun 2025 16:54:58</v>
      </c>
      <c r="B1131" s="12" t="str">
        <f t="shared" si="1"/>
        <v>June</v>
      </c>
      <c r="C1131" s="12">
        <f t="shared" si="2"/>
        <v>6</v>
      </c>
      <c r="D1131" s="12" t="str">
        <f>IFERROR(__xludf.DUMMYFUNCTION("IFERROR(IF(REGEXMATCH(LOWER(Raw_Data!C1137),""fixed deposit|owealth|savings|target""),""Fixed Deposit"",IF(REGEXMATCH(LOWER(Raw_Data!C1137),""airtime""),""Airtime"",IF(REGEXMATCH(LOWER(Raw_Data!C1137),""electronic money transfer levy""),""Electronic Money"&amp;" Transfer Levy"",IF(REGEXMATCH(LOWER(Raw_Data!C1137),""transfer|trf|send""),""Transfer"",""Other"")))),""Other"")"),"Transfer")</f>
        <v>Transfer</v>
      </c>
      <c r="E1131" s="20">
        <v>5000.0</v>
      </c>
      <c r="F1131" s="20">
        <v>0.0</v>
      </c>
      <c r="G1131" s="12" t="str">
        <f t="shared" si="3"/>
        <v>Withdrawal</v>
      </c>
      <c r="H1131" s="12" t="str">
        <f>TEXT(Raw_Data!A1137,"hh:mm:ss")
</f>
        <v>16:54:58</v>
      </c>
      <c r="I1131" s="20">
        <f t="shared" si="4"/>
        <v>5000</v>
      </c>
    </row>
    <row r="1132">
      <c r="A1132" s="12" t="str">
        <f>Raw_Data!A1138</f>
        <v>30 Jun 2025 18:27:46</v>
      </c>
      <c r="B1132" s="12" t="str">
        <f t="shared" si="1"/>
        <v>June</v>
      </c>
      <c r="C1132" s="12">
        <f t="shared" si="2"/>
        <v>6</v>
      </c>
      <c r="D1132" s="12" t="str">
        <f>IFERROR(__xludf.DUMMYFUNCTION("IFERROR(IF(REGEXMATCH(LOWER(Raw_Data!C1138),""fixed deposit|owealth|savings|target""),""Fixed Deposit"",IF(REGEXMATCH(LOWER(Raw_Data!C1138),""airtime""),""Airtime"",IF(REGEXMATCH(LOWER(Raw_Data!C1138),""electronic money transfer levy""),""Electronic Money"&amp;" Transfer Levy"",IF(REGEXMATCH(LOWER(Raw_Data!C1138),""transfer|trf|send""),""Transfer"",""Other"")))),""Other"")"),"Transfer")</f>
        <v>Transfer</v>
      </c>
      <c r="E1132" s="20">
        <v>1150.0</v>
      </c>
      <c r="F1132" s="20">
        <v>0.0</v>
      </c>
      <c r="G1132" s="12" t="str">
        <f t="shared" si="3"/>
        <v>Withdrawal</v>
      </c>
      <c r="H1132" s="12" t="str">
        <f>TEXT(Raw_Data!A1138,"hh:mm:ss")
</f>
        <v>18:27:46</v>
      </c>
      <c r="I1132" s="20">
        <f t="shared" si="4"/>
        <v>1150</v>
      </c>
    </row>
    <row r="1133">
      <c r="A1133" s="12" t="str">
        <f>Raw_Data!A1139</f>
        <v>01 Jul 2025 11:06:57</v>
      </c>
      <c r="B1133" s="12" t="str">
        <f t="shared" si="1"/>
        <v>July</v>
      </c>
      <c r="C1133" s="12">
        <f t="shared" si="2"/>
        <v>7</v>
      </c>
      <c r="D1133" s="12" t="str">
        <f>IFERROR(__xludf.DUMMYFUNCTION("IFERROR(IF(REGEXMATCH(LOWER(Raw_Data!C1139),""fixed deposit|owealth|savings|target""),""Fixed Deposit"",IF(REGEXMATCH(LOWER(Raw_Data!C1139),""airtime""),""Airtime"",IF(REGEXMATCH(LOWER(Raw_Data!C1139),""electronic money transfer levy""),""Electronic Money"&amp;" Transfer Levy"",IF(REGEXMATCH(LOWER(Raw_Data!C1139),""transfer|trf|send""),""Transfer"",""Other"")))),""Other"")"),"Transfer")</f>
        <v>Transfer</v>
      </c>
      <c r="E1133" s="20">
        <v>600.0</v>
      </c>
      <c r="F1133" s="20">
        <v>0.0</v>
      </c>
      <c r="G1133" s="12" t="str">
        <f t="shared" si="3"/>
        <v>Withdrawal</v>
      </c>
      <c r="H1133" s="12" t="str">
        <f>TEXT(Raw_Data!A1139,"hh:mm:ss")
</f>
        <v>11:06:57</v>
      </c>
      <c r="I1133" s="20">
        <f t="shared" si="4"/>
        <v>600</v>
      </c>
    </row>
    <row r="1134">
      <c r="A1134" s="12" t="str">
        <f>Raw_Data!A1140</f>
        <v>01 Jul 2025 20:57:30</v>
      </c>
      <c r="B1134" s="12" t="str">
        <f t="shared" si="1"/>
        <v>July</v>
      </c>
      <c r="C1134" s="12">
        <f t="shared" si="2"/>
        <v>7</v>
      </c>
      <c r="D1134" s="12" t="str">
        <f>IFERROR(__xludf.DUMMYFUNCTION("IFERROR(IF(REGEXMATCH(LOWER(Raw_Data!C1140),""fixed deposit|owealth|savings|target""),""Fixed Deposit"",IF(REGEXMATCH(LOWER(Raw_Data!C1140),""airtime""),""Airtime"",IF(REGEXMATCH(LOWER(Raw_Data!C1140),""electronic money transfer levy""),""Electronic Money"&amp;" Transfer Levy"",IF(REGEXMATCH(LOWER(Raw_Data!C1140),""transfer|trf|send""),""Transfer"",""Other"")))),""Other"")"),"Transfer")</f>
        <v>Transfer</v>
      </c>
      <c r="E1134" s="20">
        <v>0.0</v>
      </c>
      <c r="F1134" s="20">
        <v>3000.0</v>
      </c>
      <c r="G1134" s="12" t="str">
        <f t="shared" si="3"/>
        <v>Deposit</v>
      </c>
      <c r="H1134" s="12" t="str">
        <f>TEXT(Raw_Data!A1140,"hh:mm:ss")
</f>
        <v>20:57:30</v>
      </c>
      <c r="I1134" s="20">
        <f t="shared" si="4"/>
        <v>3000</v>
      </c>
    </row>
    <row r="1135">
      <c r="A1135" s="12" t="str">
        <f>Raw_Data!A1141</f>
        <v>02 Jul 2025 08:32:07</v>
      </c>
      <c r="B1135" s="12" t="str">
        <f t="shared" si="1"/>
        <v>July</v>
      </c>
      <c r="C1135" s="12">
        <f t="shared" si="2"/>
        <v>7</v>
      </c>
      <c r="D1135" s="12" t="str">
        <f>IFERROR(__xludf.DUMMYFUNCTION("IFERROR(IF(REGEXMATCH(LOWER(Raw_Data!C1141),""fixed deposit|owealth|savings|target""),""Fixed Deposit"",IF(REGEXMATCH(LOWER(Raw_Data!C1141),""airtime""),""Airtime"",IF(REGEXMATCH(LOWER(Raw_Data!C1141),""electronic money transfer levy""),""Electronic Money"&amp;" Transfer Levy"",IF(REGEXMATCH(LOWER(Raw_Data!C1141),""transfer|trf|send""),""Transfer"",""Other"")))),""Other"")"),"Transfer")</f>
        <v>Transfer</v>
      </c>
      <c r="E1135" s="20">
        <v>2800.0</v>
      </c>
      <c r="F1135" s="20">
        <v>0.0</v>
      </c>
      <c r="G1135" s="12" t="str">
        <f t="shared" si="3"/>
        <v>Withdrawal</v>
      </c>
      <c r="H1135" s="12" t="str">
        <f>TEXT(Raw_Data!A1141,"hh:mm:ss")
</f>
        <v>08:32:07</v>
      </c>
      <c r="I1135" s="20">
        <f t="shared" si="4"/>
        <v>2800</v>
      </c>
    </row>
    <row r="1136">
      <c r="A1136" s="12" t="str">
        <f>Raw_Data!A1142</f>
        <v>02 Jul 2025 12:17:55</v>
      </c>
      <c r="B1136" s="12" t="str">
        <f t="shared" si="1"/>
        <v>July</v>
      </c>
      <c r="C1136" s="12">
        <f t="shared" si="2"/>
        <v>7</v>
      </c>
      <c r="D1136" s="12" t="str">
        <f>IFERROR(__xludf.DUMMYFUNCTION("IFERROR(IF(REGEXMATCH(LOWER(Raw_Data!C1142),""fixed deposit|owealth|savings|target""),""Fixed Deposit"",IF(REGEXMATCH(LOWER(Raw_Data!C1142),""airtime""),""Airtime"",IF(REGEXMATCH(LOWER(Raw_Data!C1142),""electronic money transfer levy""),""Electronic Money"&amp;" Transfer Levy"",IF(REGEXMATCH(LOWER(Raw_Data!C1142),""transfer|trf|send""),""Transfer"",""Other"")))),""Other"")"),"Transfer")</f>
        <v>Transfer</v>
      </c>
      <c r="E1136" s="20">
        <v>300.0</v>
      </c>
      <c r="F1136" s="20">
        <v>0.0</v>
      </c>
      <c r="G1136" s="12" t="str">
        <f t="shared" si="3"/>
        <v>Withdrawal</v>
      </c>
      <c r="H1136" s="12" t="str">
        <f>TEXT(Raw_Data!A1142,"hh:mm:ss")
</f>
        <v>12:17:55</v>
      </c>
      <c r="I1136" s="20">
        <f t="shared" si="4"/>
        <v>300</v>
      </c>
    </row>
    <row r="1137">
      <c r="A1137" s="12" t="str">
        <f>Raw_Data!A1143</f>
        <v>02 Jul 2025 16:05:58</v>
      </c>
      <c r="B1137" s="12" t="str">
        <f t="shared" si="1"/>
        <v>July</v>
      </c>
      <c r="C1137" s="12">
        <f t="shared" si="2"/>
        <v>7</v>
      </c>
      <c r="D1137" s="12" t="str">
        <f>IFERROR(__xludf.DUMMYFUNCTION("IFERROR(IF(REGEXMATCH(LOWER(Raw_Data!C1143),""fixed deposit|owealth|savings|target""),""Fixed Deposit"",IF(REGEXMATCH(LOWER(Raw_Data!C1143),""airtime""),""Airtime"",IF(REGEXMATCH(LOWER(Raw_Data!C1143),""electronic money transfer levy""),""Electronic Money"&amp;" Transfer Levy"",IF(REGEXMATCH(LOWER(Raw_Data!C1143),""transfer|trf|send""),""Transfer"",""Other"")))),""Other"")"),"Transfer")</f>
        <v>Transfer</v>
      </c>
      <c r="E1137" s="20">
        <v>1000.0</v>
      </c>
      <c r="F1137" s="20">
        <v>0.0</v>
      </c>
      <c r="G1137" s="12" t="str">
        <f t="shared" si="3"/>
        <v>Withdrawal</v>
      </c>
      <c r="H1137" s="12" t="str">
        <f>TEXT(Raw_Data!A1143,"hh:mm:ss")
</f>
        <v>16:05:58</v>
      </c>
      <c r="I1137" s="20">
        <f t="shared" si="4"/>
        <v>1000</v>
      </c>
    </row>
    <row r="1138">
      <c r="A1138" s="12" t="str">
        <f>Raw_Data!A1144</f>
        <v>02 Jul 2025 20:24:59</v>
      </c>
      <c r="B1138" s="12" t="str">
        <f t="shared" si="1"/>
        <v>July</v>
      </c>
      <c r="C1138" s="12">
        <f t="shared" si="2"/>
        <v>7</v>
      </c>
      <c r="D1138" s="12" t="str">
        <f>IFERROR(__xludf.DUMMYFUNCTION("IFERROR(IF(REGEXMATCH(LOWER(Raw_Data!C1144),""fixed deposit|owealth|savings|target""),""Fixed Deposit"",IF(REGEXMATCH(LOWER(Raw_Data!C1144),""airtime""),""Airtime"",IF(REGEXMATCH(LOWER(Raw_Data!C1144),""electronic money transfer levy""),""Electronic Money"&amp;" Transfer Levy"",IF(REGEXMATCH(LOWER(Raw_Data!C1144),""transfer|trf|send""),""Transfer"",""Other"")))),""Other"")"),"Transfer")</f>
        <v>Transfer</v>
      </c>
      <c r="E1138" s="20">
        <v>600.0</v>
      </c>
      <c r="F1138" s="20">
        <v>0.0</v>
      </c>
      <c r="G1138" s="12" t="str">
        <f t="shared" si="3"/>
        <v>Withdrawal</v>
      </c>
      <c r="H1138" s="12" t="str">
        <f>TEXT(Raw_Data!A1144,"hh:mm:ss")
</f>
        <v>20:24:59</v>
      </c>
      <c r="I1138" s="20">
        <f t="shared" si="4"/>
        <v>600</v>
      </c>
    </row>
    <row r="1139">
      <c r="A1139" s="12" t="str">
        <f>Raw_Data!A1145</f>
        <v>03 Jul 2025 08:57:56</v>
      </c>
      <c r="B1139" s="12" t="str">
        <f t="shared" si="1"/>
        <v>July</v>
      </c>
      <c r="C1139" s="12">
        <f t="shared" si="2"/>
        <v>7</v>
      </c>
      <c r="D1139" s="12" t="str">
        <f>IFERROR(__xludf.DUMMYFUNCTION("IFERROR(IF(REGEXMATCH(LOWER(Raw_Data!C1145),""fixed deposit|owealth|savings|target""),""Fixed Deposit"",IF(REGEXMATCH(LOWER(Raw_Data!C1145),""airtime""),""Airtime"",IF(REGEXMATCH(LOWER(Raw_Data!C1145),""electronic money transfer levy""),""Electronic Money"&amp;" Transfer Levy"",IF(REGEXMATCH(LOWER(Raw_Data!C1145),""transfer|trf|send""),""Transfer"",""Other"")))),""Other"")"),"Transfer")</f>
        <v>Transfer</v>
      </c>
      <c r="E1139" s="20">
        <v>600.0</v>
      </c>
      <c r="F1139" s="20">
        <v>0.0</v>
      </c>
      <c r="G1139" s="12" t="str">
        <f t="shared" si="3"/>
        <v>Withdrawal</v>
      </c>
      <c r="H1139" s="12" t="str">
        <f>TEXT(Raw_Data!A1145,"hh:mm:ss")
</f>
        <v>08:57:56</v>
      </c>
      <c r="I1139" s="20">
        <f t="shared" si="4"/>
        <v>600</v>
      </c>
    </row>
    <row r="1140">
      <c r="A1140" s="12" t="str">
        <f>Raw_Data!A1146</f>
        <v>04 Jul 2025 10:03:03</v>
      </c>
      <c r="B1140" s="12" t="str">
        <f t="shared" si="1"/>
        <v>July</v>
      </c>
      <c r="C1140" s="12">
        <f t="shared" si="2"/>
        <v>7</v>
      </c>
      <c r="D1140" s="12" t="str">
        <f>IFERROR(__xludf.DUMMYFUNCTION("IFERROR(IF(REGEXMATCH(LOWER(Raw_Data!C1146),""fixed deposit|owealth|savings|target""),""Fixed Deposit"",IF(REGEXMATCH(LOWER(Raw_Data!C1146),""airtime""),""Airtime"",IF(REGEXMATCH(LOWER(Raw_Data!C1146),""electronic money transfer levy""),""Electronic Money"&amp;" Transfer Levy"",IF(REGEXMATCH(LOWER(Raw_Data!C1146),""transfer|trf|send""),""Transfer"",""Other"")))),""Other"")"),"Transfer")</f>
        <v>Transfer</v>
      </c>
      <c r="E1140" s="20">
        <v>1000.0</v>
      </c>
      <c r="F1140" s="20">
        <v>0.0</v>
      </c>
      <c r="G1140" s="12" t="str">
        <f t="shared" si="3"/>
        <v>Withdrawal</v>
      </c>
      <c r="H1140" s="12" t="str">
        <f>TEXT(Raw_Data!A1146,"hh:mm:ss")
</f>
        <v>10:03:03</v>
      </c>
      <c r="I1140" s="20">
        <f t="shared" si="4"/>
        <v>1000</v>
      </c>
    </row>
    <row r="1141">
      <c r="A1141" s="12" t="str">
        <f>Raw_Data!A1147</f>
        <v>05 Jul 2025 16:23:42</v>
      </c>
      <c r="B1141" s="12" t="str">
        <f t="shared" si="1"/>
        <v>July</v>
      </c>
      <c r="C1141" s="12">
        <f t="shared" si="2"/>
        <v>7</v>
      </c>
      <c r="D1141" s="12" t="str">
        <f>IFERROR(__xludf.DUMMYFUNCTION("IFERROR(IF(REGEXMATCH(LOWER(Raw_Data!C1147),""fixed deposit|owealth|savings|target""),""Fixed Deposit"",IF(REGEXMATCH(LOWER(Raw_Data!C1147),""airtime""),""Airtime"",IF(REGEXMATCH(LOWER(Raw_Data!C1147),""electronic money transfer levy""),""Electronic Money"&amp;" Transfer Levy"",IF(REGEXMATCH(LOWER(Raw_Data!C1147),""transfer|trf|send""),""Transfer"",""Other"")))),""Other"")"),"Transfer")</f>
        <v>Transfer</v>
      </c>
      <c r="E1141" s="20">
        <v>400.0</v>
      </c>
      <c r="F1141" s="20">
        <v>0.0</v>
      </c>
      <c r="G1141" s="12" t="str">
        <f t="shared" si="3"/>
        <v>Withdrawal</v>
      </c>
      <c r="H1141" s="12" t="str">
        <f>TEXT(Raw_Data!A1147,"hh:mm:ss")
</f>
        <v>16:23:42</v>
      </c>
      <c r="I1141" s="20">
        <f t="shared" si="4"/>
        <v>400</v>
      </c>
    </row>
    <row r="1142">
      <c r="A1142" s="12" t="str">
        <f>Raw_Data!A1148</f>
        <v>06 Jul 2025 16:34:56</v>
      </c>
      <c r="B1142" s="12" t="str">
        <f t="shared" si="1"/>
        <v>July</v>
      </c>
      <c r="C1142" s="12">
        <f t="shared" si="2"/>
        <v>7</v>
      </c>
      <c r="D1142" s="12" t="str">
        <f>IFERROR(__xludf.DUMMYFUNCTION("IFERROR(IF(REGEXMATCH(LOWER(Raw_Data!C1148),""fixed deposit|owealth|savings|target""),""Fixed Deposit"",IF(REGEXMATCH(LOWER(Raw_Data!C1148),""airtime""),""Airtime"",IF(REGEXMATCH(LOWER(Raw_Data!C1148),""electronic money transfer levy""),""Electronic Money"&amp;" Transfer Levy"",IF(REGEXMATCH(LOWER(Raw_Data!C1148),""transfer|trf|send""),""Transfer"",""Other"")))),""Other"")"),"Transfer")</f>
        <v>Transfer</v>
      </c>
      <c r="E1142" s="20">
        <v>300.0</v>
      </c>
      <c r="F1142" s="20">
        <v>0.0</v>
      </c>
      <c r="G1142" s="12" t="str">
        <f t="shared" si="3"/>
        <v>Withdrawal</v>
      </c>
      <c r="H1142" s="12" t="str">
        <f>TEXT(Raw_Data!A1148,"hh:mm:ss")
</f>
        <v>16:34:56</v>
      </c>
      <c r="I1142" s="20">
        <f t="shared" si="4"/>
        <v>300</v>
      </c>
    </row>
    <row r="1143">
      <c r="A1143" s="12" t="str">
        <f>Raw_Data!A1149</f>
        <v>07 Jul 2025 10:00:31</v>
      </c>
      <c r="B1143" s="12" t="str">
        <f t="shared" si="1"/>
        <v>July</v>
      </c>
      <c r="C1143" s="12">
        <f t="shared" si="2"/>
        <v>7</v>
      </c>
      <c r="D1143" s="12" t="str">
        <f>IFERROR(__xludf.DUMMYFUNCTION("IFERROR(IF(REGEXMATCH(LOWER(Raw_Data!C1149),""fixed deposit|owealth|savings|target""),""Fixed Deposit"",IF(REGEXMATCH(LOWER(Raw_Data!C1149),""airtime""),""Airtime"",IF(REGEXMATCH(LOWER(Raw_Data!C1149),""electronic money transfer levy""),""Electronic Money"&amp;" Transfer Levy"",IF(REGEXMATCH(LOWER(Raw_Data!C1149),""transfer|trf|send""),""Transfer"",""Other"")))),""Other"")"),"Transfer")</f>
        <v>Transfer</v>
      </c>
      <c r="E1143" s="20">
        <v>200.0</v>
      </c>
      <c r="F1143" s="20">
        <v>0.0</v>
      </c>
      <c r="G1143" s="12" t="str">
        <f t="shared" si="3"/>
        <v>Withdrawal</v>
      </c>
      <c r="H1143" s="12" t="str">
        <f>TEXT(Raw_Data!A1149,"hh:mm:ss")
</f>
        <v>10:00:31</v>
      </c>
      <c r="I1143" s="20">
        <f t="shared" si="4"/>
        <v>200</v>
      </c>
    </row>
    <row r="1144">
      <c r="A1144" s="12" t="str">
        <f>Raw_Data!A1150</f>
        <v>07 Jul 2025 12:37:30</v>
      </c>
      <c r="B1144" s="12" t="str">
        <f t="shared" si="1"/>
        <v>July</v>
      </c>
      <c r="C1144" s="12">
        <f t="shared" si="2"/>
        <v>7</v>
      </c>
      <c r="D1144" s="12" t="str">
        <f>IFERROR(__xludf.DUMMYFUNCTION("IFERROR(IF(REGEXMATCH(LOWER(Raw_Data!C1150),""fixed deposit|owealth|savings|target""),""Fixed Deposit"",IF(REGEXMATCH(LOWER(Raw_Data!C1150),""airtime""),""Airtime"",IF(REGEXMATCH(LOWER(Raw_Data!C1150),""electronic money transfer levy""),""Electronic Money"&amp;" Transfer Levy"",IF(REGEXMATCH(LOWER(Raw_Data!C1150),""transfer|trf|send""),""Transfer"",""Other"")))),""Other"")"),"Transfer")</f>
        <v>Transfer</v>
      </c>
      <c r="E1144" s="20">
        <v>500.0</v>
      </c>
      <c r="F1144" s="20">
        <v>0.0</v>
      </c>
      <c r="G1144" s="12" t="str">
        <f t="shared" si="3"/>
        <v>Withdrawal</v>
      </c>
      <c r="H1144" s="12" t="str">
        <f>TEXT(Raw_Data!A1150,"hh:mm:ss")
</f>
        <v>12:37:30</v>
      </c>
      <c r="I1144" s="20">
        <f t="shared" si="4"/>
        <v>500</v>
      </c>
    </row>
    <row r="1145">
      <c r="A1145" s="12" t="str">
        <f>Raw_Data!A1151</f>
        <v>07 Jul 2025 20:14:16</v>
      </c>
      <c r="B1145" s="12" t="str">
        <f t="shared" si="1"/>
        <v>July</v>
      </c>
      <c r="C1145" s="12">
        <f t="shared" si="2"/>
        <v>7</v>
      </c>
      <c r="D1145" s="12" t="str">
        <f>IFERROR(__xludf.DUMMYFUNCTION("IFERROR(IF(REGEXMATCH(LOWER(Raw_Data!C1151),""fixed deposit|owealth|savings|target""),""Fixed Deposit"",IF(REGEXMATCH(LOWER(Raw_Data!C1151),""airtime""),""Airtime"",IF(REGEXMATCH(LOWER(Raw_Data!C1151),""electronic money transfer levy""),""Electronic Money"&amp;" Transfer Levy"",IF(REGEXMATCH(LOWER(Raw_Data!C1151),""transfer|trf|send""),""Transfer"",""Other"")))),""Other"")"),"Airtime")</f>
        <v>Airtime</v>
      </c>
      <c r="E1145" s="20">
        <v>300.0</v>
      </c>
      <c r="F1145" s="20">
        <v>0.0</v>
      </c>
      <c r="G1145" s="12" t="str">
        <f t="shared" si="3"/>
        <v>Withdrawal</v>
      </c>
      <c r="H1145" s="12" t="str">
        <f>TEXT(Raw_Data!A1151,"hh:mm:ss")
</f>
        <v>20:14:16</v>
      </c>
      <c r="I1145" s="20">
        <f t="shared" si="4"/>
        <v>300</v>
      </c>
    </row>
    <row r="1146">
      <c r="A1146" s="12" t="str">
        <f>Raw_Data!A1152</f>
        <v>07 Jul 2025 20:54:15</v>
      </c>
      <c r="B1146" s="12" t="str">
        <f t="shared" si="1"/>
        <v>July</v>
      </c>
      <c r="C1146" s="12">
        <f t="shared" si="2"/>
        <v>7</v>
      </c>
      <c r="D1146" s="12" t="str">
        <f>IFERROR(__xludf.DUMMYFUNCTION("IFERROR(IF(REGEXMATCH(LOWER(Raw_Data!C1152),""fixed deposit|owealth|savings|target""),""Fixed Deposit"",IF(REGEXMATCH(LOWER(Raw_Data!C1152),""airtime""),""Airtime"",IF(REGEXMATCH(LOWER(Raw_Data!C1152),""electronic money transfer levy""),""Electronic Money"&amp;" Transfer Levy"",IF(REGEXMATCH(LOWER(Raw_Data!C1152),""transfer|trf|send""),""Transfer"",""Other"")))),""Other"")"),"Transfer")</f>
        <v>Transfer</v>
      </c>
      <c r="E1146" s="20">
        <v>0.0</v>
      </c>
      <c r="F1146" s="20">
        <v>2000.0</v>
      </c>
      <c r="G1146" s="12" t="str">
        <f t="shared" si="3"/>
        <v>Deposit</v>
      </c>
      <c r="H1146" s="12" t="str">
        <f>TEXT(Raw_Data!A1152,"hh:mm:ss")
</f>
        <v>20:54:15</v>
      </c>
      <c r="I1146" s="20">
        <f t="shared" si="4"/>
        <v>2000</v>
      </c>
    </row>
    <row r="1147">
      <c r="A1147" s="12" t="str">
        <f>Raw_Data!A1153</f>
        <v>07 Jul 2025 21:03:35</v>
      </c>
      <c r="B1147" s="12" t="str">
        <f t="shared" si="1"/>
        <v>July</v>
      </c>
      <c r="C1147" s="12">
        <f t="shared" si="2"/>
        <v>7</v>
      </c>
      <c r="D1147" s="12" t="str">
        <f>IFERROR(__xludf.DUMMYFUNCTION("IFERROR(IF(REGEXMATCH(LOWER(Raw_Data!C1153),""fixed deposit|owealth|savings|target""),""Fixed Deposit"",IF(REGEXMATCH(LOWER(Raw_Data!C1153),""airtime""),""Airtime"",IF(REGEXMATCH(LOWER(Raw_Data!C1153),""electronic money transfer levy""),""Electronic Money"&amp;" Transfer Levy"",IF(REGEXMATCH(LOWER(Raw_Data!C1153),""transfer|trf|send""),""Transfer"",""Other"")))),""Other"")"),"Transfer")</f>
        <v>Transfer</v>
      </c>
      <c r="E1147" s="20">
        <v>900.0</v>
      </c>
      <c r="F1147" s="20">
        <v>0.0</v>
      </c>
      <c r="G1147" s="12" t="str">
        <f t="shared" si="3"/>
        <v>Withdrawal</v>
      </c>
      <c r="H1147" s="12" t="str">
        <f>TEXT(Raw_Data!A1153,"hh:mm:ss")
</f>
        <v>21:03:35</v>
      </c>
      <c r="I1147" s="20">
        <f t="shared" si="4"/>
        <v>900</v>
      </c>
    </row>
    <row r="1148">
      <c r="A1148" s="12" t="str">
        <f>Raw_Data!A1154</f>
        <v>08 Jul 2025 13:41:20</v>
      </c>
      <c r="B1148" s="12" t="str">
        <f t="shared" si="1"/>
        <v>July</v>
      </c>
      <c r="C1148" s="12">
        <f t="shared" si="2"/>
        <v>7</v>
      </c>
      <c r="D1148" s="12" t="str">
        <f>IFERROR(__xludf.DUMMYFUNCTION("IFERROR(IF(REGEXMATCH(LOWER(Raw_Data!C1154),""fixed deposit|owealth|savings|target""),""Fixed Deposit"",IF(REGEXMATCH(LOWER(Raw_Data!C1154),""airtime""),""Airtime"",IF(REGEXMATCH(LOWER(Raw_Data!C1154),""electronic money transfer levy""),""Electronic Money"&amp;" Transfer Levy"",IF(REGEXMATCH(LOWER(Raw_Data!C1154),""transfer|trf|send""),""Transfer"",""Other"")))),""Other"")"),"Transfer")</f>
        <v>Transfer</v>
      </c>
      <c r="E1148" s="20">
        <v>1150.0</v>
      </c>
      <c r="F1148" s="20">
        <v>0.0</v>
      </c>
      <c r="G1148" s="12" t="str">
        <f t="shared" si="3"/>
        <v>Withdrawal</v>
      </c>
      <c r="H1148" s="12" t="str">
        <f>TEXT(Raw_Data!A1154,"hh:mm:ss")
</f>
        <v>13:41:20</v>
      </c>
      <c r="I1148" s="20">
        <f t="shared" si="4"/>
        <v>1150</v>
      </c>
    </row>
    <row r="1149">
      <c r="A1149" s="12" t="str">
        <f>Raw_Data!A1155</f>
        <v>08 Jul 2025 13:42:42</v>
      </c>
      <c r="B1149" s="12" t="str">
        <f t="shared" si="1"/>
        <v>July</v>
      </c>
      <c r="C1149" s="12">
        <f t="shared" si="2"/>
        <v>7</v>
      </c>
      <c r="D1149" s="12" t="str">
        <f>IFERROR(__xludf.DUMMYFUNCTION("IFERROR(IF(REGEXMATCH(LOWER(Raw_Data!C1155),""fixed deposit|owealth|savings|target""),""Fixed Deposit"",IF(REGEXMATCH(LOWER(Raw_Data!C1155),""airtime""),""Airtime"",IF(REGEXMATCH(LOWER(Raw_Data!C1155),""electronic money transfer levy""),""Electronic Money"&amp;" Transfer Levy"",IF(REGEXMATCH(LOWER(Raw_Data!C1155),""transfer|trf|send""),""Transfer"",""Other"")))),""Other"")"),"Transfer")</f>
        <v>Transfer</v>
      </c>
      <c r="E1149" s="20">
        <v>200.0</v>
      </c>
      <c r="F1149" s="20">
        <v>0.0</v>
      </c>
      <c r="G1149" s="12" t="str">
        <f t="shared" si="3"/>
        <v>Withdrawal</v>
      </c>
      <c r="H1149" s="12" t="str">
        <f>TEXT(Raw_Data!A1155,"hh:mm:ss")
</f>
        <v>13:42:42</v>
      </c>
      <c r="I1149" s="20">
        <f t="shared" si="4"/>
        <v>200</v>
      </c>
    </row>
    <row r="1150">
      <c r="A1150" s="12" t="str">
        <f>Raw_Data!A1156</f>
        <v>09 Jul 2025 11:24:40</v>
      </c>
      <c r="B1150" s="12" t="str">
        <f t="shared" si="1"/>
        <v>July</v>
      </c>
      <c r="C1150" s="12">
        <f t="shared" si="2"/>
        <v>7</v>
      </c>
      <c r="D1150" s="12" t="str">
        <f>IFERROR(__xludf.DUMMYFUNCTION("IFERROR(IF(REGEXMATCH(LOWER(Raw_Data!C1156),""fixed deposit|owealth|savings|target""),""Fixed Deposit"",IF(REGEXMATCH(LOWER(Raw_Data!C1156),""airtime""),""Airtime"",IF(REGEXMATCH(LOWER(Raw_Data!C1156),""electronic money transfer levy""),""Electronic Money"&amp;" Transfer Levy"",IF(REGEXMATCH(LOWER(Raw_Data!C1156),""transfer|trf|send""),""Transfer"",""Other"")))),""Other"")"),"Transfer")</f>
        <v>Transfer</v>
      </c>
      <c r="E1150" s="20">
        <v>0.0</v>
      </c>
      <c r="F1150" s="20">
        <v>2000.0</v>
      </c>
      <c r="G1150" s="12" t="str">
        <f t="shared" si="3"/>
        <v>Deposit</v>
      </c>
      <c r="H1150" s="12" t="str">
        <f>TEXT(Raw_Data!A1156,"hh:mm:ss")
</f>
        <v>11:24:40</v>
      </c>
      <c r="I1150" s="20">
        <f t="shared" si="4"/>
        <v>2000</v>
      </c>
    </row>
    <row r="1151">
      <c r="A1151" s="12" t="str">
        <f>Raw_Data!A1157</f>
        <v>09 Jul 2025 11:25:59</v>
      </c>
      <c r="B1151" s="12" t="str">
        <f t="shared" si="1"/>
        <v>July</v>
      </c>
      <c r="C1151" s="12">
        <f t="shared" si="2"/>
        <v>7</v>
      </c>
      <c r="D1151" s="12" t="str">
        <f>IFERROR(__xludf.DUMMYFUNCTION("IFERROR(IF(REGEXMATCH(LOWER(Raw_Data!C1157),""fixed deposit|owealth|savings|target""),""Fixed Deposit"",IF(REGEXMATCH(LOWER(Raw_Data!C1157),""airtime""),""Airtime"",IF(REGEXMATCH(LOWER(Raw_Data!C1157),""electronic money transfer levy""),""Electronic Money"&amp;" Transfer Levy"",IF(REGEXMATCH(LOWER(Raw_Data!C1157),""transfer|trf|send""),""Transfer"",""Other"")))),""Other"")"),"Transfer")</f>
        <v>Transfer</v>
      </c>
      <c r="E1151" s="20">
        <v>1150.0</v>
      </c>
      <c r="F1151" s="20">
        <v>0.0</v>
      </c>
      <c r="G1151" s="12" t="str">
        <f t="shared" si="3"/>
        <v>Withdrawal</v>
      </c>
      <c r="H1151" s="12" t="str">
        <f>TEXT(Raw_Data!A1157,"hh:mm:ss")
</f>
        <v>11:25:59</v>
      </c>
      <c r="I1151" s="20">
        <f t="shared" si="4"/>
        <v>1150</v>
      </c>
    </row>
    <row r="1152">
      <c r="A1152" s="12" t="str">
        <f>Raw_Data!A1158</f>
        <v>09 Jul 2025 19:16:05</v>
      </c>
      <c r="B1152" s="12" t="str">
        <f t="shared" si="1"/>
        <v>July</v>
      </c>
      <c r="C1152" s="12">
        <f t="shared" si="2"/>
        <v>7</v>
      </c>
      <c r="D1152" s="12" t="str">
        <f>IFERROR(__xludf.DUMMYFUNCTION("IFERROR(IF(REGEXMATCH(LOWER(Raw_Data!C1158),""fixed deposit|owealth|savings|target""),""Fixed Deposit"",IF(REGEXMATCH(LOWER(Raw_Data!C1158),""airtime""),""Airtime"",IF(REGEXMATCH(LOWER(Raw_Data!C1158),""electronic money transfer levy""),""Electronic Money"&amp;" Transfer Levy"",IF(REGEXMATCH(LOWER(Raw_Data!C1158),""transfer|trf|send""),""Transfer"",""Other"")))),""Other"")"),"Transfer")</f>
        <v>Transfer</v>
      </c>
      <c r="E1152" s="20">
        <v>0.0</v>
      </c>
      <c r="F1152" s="20">
        <v>1000.0</v>
      </c>
      <c r="G1152" s="12" t="str">
        <f t="shared" si="3"/>
        <v>Deposit</v>
      </c>
      <c r="H1152" s="12" t="str">
        <f>TEXT(Raw_Data!A1158,"hh:mm:ss")
</f>
        <v>19:16:05</v>
      </c>
      <c r="I1152" s="20">
        <f t="shared" si="4"/>
        <v>1000</v>
      </c>
    </row>
    <row r="1153">
      <c r="A1153" s="12" t="str">
        <f>Raw_Data!A1159</f>
        <v>10 Jul 2025 10:16:11</v>
      </c>
      <c r="B1153" s="12" t="str">
        <f t="shared" si="1"/>
        <v>July</v>
      </c>
      <c r="C1153" s="12">
        <f t="shared" si="2"/>
        <v>7</v>
      </c>
      <c r="D1153" s="12" t="str">
        <f>IFERROR(__xludf.DUMMYFUNCTION("IFERROR(IF(REGEXMATCH(LOWER(Raw_Data!C1159),""fixed deposit|owealth|savings|target""),""Fixed Deposit"",IF(REGEXMATCH(LOWER(Raw_Data!C1159),""airtime""),""Airtime"",IF(REGEXMATCH(LOWER(Raw_Data!C1159),""electronic money transfer levy""),""Electronic Money"&amp;" Transfer Levy"",IF(REGEXMATCH(LOWER(Raw_Data!C1159),""transfer|trf|send""),""Transfer"",""Other"")))),""Other"")"),"Transfer")</f>
        <v>Transfer</v>
      </c>
      <c r="E1153" s="20">
        <v>1300.0</v>
      </c>
      <c r="F1153" s="20">
        <v>0.0</v>
      </c>
      <c r="G1153" s="12" t="str">
        <f t="shared" si="3"/>
        <v>Withdrawal</v>
      </c>
      <c r="H1153" s="12" t="str">
        <f>TEXT(Raw_Data!A1159,"hh:mm:ss")
</f>
        <v>10:16:11</v>
      </c>
      <c r="I1153" s="20">
        <f t="shared" si="4"/>
        <v>1300</v>
      </c>
    </row>
    <row r="1154">
      <c r="A1154" s="12" t="str">
        <f>Raw_Data!A1160</f>
        <v>10 Jul 2025 15:47:59</v>
      </c>
      <c r="B1154" s="12" t="str">
        <f t="shared" si="1"/>
        <v>July</v>
      </c>
      <c r="C1154" s="12">
        <f t="shared" si="2"/>
        <v>7</v>
      </c>
      <c r="D1154" s="12" t="str">
        <f>IFERROR(__xludf.DUMMYFUNCTION("IFERROR(IF(REGEXMATCH(LOWER(Raw_Data!C1160),""fixed deposit|owealth|savings|target""),""Fixed Deposit"",IF(REGEXMATCH(LOWER(Raw_Data!C1160),""airtime""),""Airtime"",IF(REGEXMATCH(LOWER(Raw_Data!C1160),""electronic money transfer levy""),""Electronic Money"&amp;" Transfer Levy"",IF(REGEXMATCH(LOWER(Raw_Data!C1160),""transfer|trf|send""),""Transfer"",""Other"")))),""Other"")"),"Airtime")</f>
        <v>Airtime</v>
      </c>
      <c r="E1154" s="20">
        <v>200.0</v>
      </c>
      <c r="F1154" s="20">
        <v>0.0</v>
      </c>
      <c r="G1154" s="12" t="str">
        <f t="shared" si="3"/>
        <v>Withdrawal</v>
      </c>
      <c r="H1154" s="12" t="str">
        <f>TEXT(Raw_Data!A1160,"hh:mm:ss")
</f>
        <v>15:47:59</v>
      </c>
      <c r="I1154" s="20">
        <f t="shared" si="4"/>
        <v>200</v>
      </c>
    </row>
    <row r="1155">
      <c r="A1155" s="12" t="str">
        <f>Raw_Data!A1161</f>
        <v>12 Jul 2025 08:12:51</v>
      </c>
      <c r="B1155" s="12" t="str">
        <f t="shared" si="1"/>
        <v>July</v>
      </c>
      <c r="C1155" s="12">
        <f t="shared" si="2"/>
        <v>7</v>
      </c>
      <c r="D1155" s="12" t="str">
        <f>IFERROR(__xludf.DUMMYFUNCTION("IFERROR(IF(REGEXMATCH(LOWER(Raw_Data!C1161),""fixed deposit|owealth|savings|target""),""Fixed Deposit"",IF(REGEXMATCH(LOWER(Raw_Data!C1161),""airtime""),""Airtime"",IF(REGEXMATCH(LOWER(Raw_Data!C1161),""electronic money transfer levy""),""Electronic Money"&amp;" Transfer Levy"",IF(REGEXMATCH(LOWER(Raw_Data!C1161),""transfer|trf|send""),""Transfer"",""Other"")))),""Other"")"),"Transfer")</f>
        <v>Transfer</v>
      </c>
      <c r="E1155" s="20">
        <v>0.0</v>
      </c>
      <c r="F1155" s="20">
        <v>40000.0</v>
      </c>
      <c r="G1155" s="12" t="str">
        <f t="shared" si="3"/>
        <v>Deposit</v>
      </c>
      <c r="H1155" s="12" t="str">
        <f>TEXT(Raw_Data!A1161,"hh:mm:ss")
</f>
        <v>08:12:51</v>
      </c>
      <c r="I1155" s="20">
        <f t="shared" si="4"/>
        <v>40000</v>
      </c>
    </row>
    <row r="1156">
      <c r="A1156" s="12" t="str">
        <f>Raw_Data!A1162</f>
        <v>12 Jul 2025 08:13:02</v>
      </c>
      <c r="B1156" s="12" t="str">
        <f t="shared" si="1"/>
        <v>July</v>
      </c>
      <c r="C1156" s="12">
        <f t="shared" si="2"/>
        <v>7</v>
      </c>
      <c r="D1156" s="12" t="str">
        <f>IFERROR(__xludf.DUMMYFUNCTION("IFERROR(IF(REGEXMATCH(LOWER(Raw_Data!C1162),""fixed deposit|owealth|savings|target""),""Fixed Deposit"",IF(REGEXMATCH(LOWER(Raw_Data!C1162),""airtime""),""Airtime"",IF(REGEXMATCH(LOWER(Raw_Data!C1162),""electronic money transfer levy""),""Electronic Money"&amp;" Transfer Levy"",IF(REGEXMATCH(LOWER(Raw_Data!C1162),""transfer|trf|send""),""Transfer"",""Other"")))),""Other"")"),"Electronic Money Transfer Levy")</f>
        <v>Electronic Money Transfer Levy</v>
      </c>
      <c r="E1156" s="20">
        <v>50.0</v>
      </c>
      <c r="F1156" s="20">
        <v>0.0</v>
      </c>
      <c r="G1156" s="12" t="str">
        <f t="shared" si="3"/>
        <v>Withdrawal</v>
      </c>
      <c r="H1156" s="12" t="str">
        <f>TEXT(Raw_Data!A1162,"hh:mm:ss")
</f>
        <v>08:13:02</v>
      </c>
      <c r="I1156" s="20">
        <f t="shared" si="4"/>
        <v>50</v>
      </c>
    </row>
    <row r="1157">
      <c r="A1157" s="12" t="str">
        <f>Raw_Data!A1163</f>
        <v>12 Jul 2025 08:17:14</v>
      </c>
      <c r="B1157" s="12" t="str">
        <f t="shared" si="1"/>
        <v>July</v>
      </c>
      <c r="C1157" s="12">
        <f t="shared" si="2"/>
        <v>7</v>
      </c>
      <c r="D1157" s="12" t="str">
        <f>IFERROR(__xludf.DUMMYFUNCTION("IFERROR(IF(REGEXMATCH(LOWER(Raw_Data!C1163),""fixed deposit|owealth|savings|target""),""Fixed Deposit"",IF(REGEXMATCH(LOWER(Raw_Data!C1163),""airtime""),""Airtime"",IF(REGEXMATCH(LOWER(Raw_Data!C1163),""electronic money transfer levy""),""Electronic Money"&amp;" Transfer Levy"",IF(REGEXMATCH(LOWER(Raw_Data!C1163),""transfer|trf|send""),""Transfer"",""Other"")))),""Other"")"),"Transfer")</f>
        <v>Transfer</v>
      </c>
      <c r="E1157" s="20">
        <v>0.0</v>
      </c>
      <c r="F1157" s="20">
        <v>1000.0</v>
      </c>
      <c r="G1157" s="12" t="str">
        <f t="shared" si="3"/>
        <v>Deposit</v>
      </c>
      <c r="H1157" s="12" t="str">
        <f>TEXT(Raw_Data!A1163,"hh:mm:ss")
</f>
        <v>08:17:14</v>
      </c>
      <c r="I1157" s="20">
        <f t="shared" si="4"/>
        <v>1000</v>
      </c>
    </row>
    <row r="1158">
      <c r="A1158" s="12" t="str">
        <f>Raw_Data!A1164</f>
        <v>12 Jul 2025 08:17:55</v>
      </c>
      <c r="B1158" s="12" t="str">
        <f t="shared" si="1"/>
        <v>July</v>
      </c>
      <c r="C1158" s="12">
        <f t="shared" si="2"/>
        <v>7</v>
      </c>
      <c r="D1158" s="12" t="str">
        <f>IFERROR(__xludf.DUMMYFUNCTION("IFERROR(IF(REGEXMATCH(LOWER(Raw_Data!C1164),""fixed deposit|owealth|savings|target""),""Fixed Deposit"",IF(REGEXMATCH(LOWER(Raw_Data!C1164),""airtime""),""Airtime"",IF(REGEXMATCH(LOWER(Raw_Data!C1164),""electronic money transfer levy""),""Electronic Money"&amp;" Transfer Levy"",IF(REGEXMATCH(LOWER(Raw_Data!C1164),""transfer|trf|send""),""Transfer"",""Other"")))),""Other"")"),"Other")</f>
        <v>Other</v>
      </c>
      <c r="E1158" s="20">
        <v>40589.0</v>
      </c>
      <c r="F1158" s="20">
        <v>0.0</v>
      </c>
      <c r="G1158" s="12" t="str">
        <f t="shared" si="3"/>
        <v>Withdrawal</v>
      </c>
      <c r="H1158" s="12" t="str">
        <f>TEXT(Raw_Data!A1164,"hh:mm:ss")
</f>
        <v>08:17:55</v>
      </c>
      <c r="I1158" s="20">
        <f t="shared" si="4"/>
        <v>40589</v>
      </c>
    </row>
    <row r="1159">
      <c r="A1159" s="12" t="str">
        <f>Raw_Data!A1165</f>
        <v>12 Jul 2025 08:19:21</v>
      </c>
      <c r="B1159" s="12" t="str">
        <f t="shared" si="1"/>
        <v>July</v>
      </c>
      <c r="C1159" s="12">
        <f t="shared" si="2"/>
        <v>7</v>
      </c>
      <c r="D1159" s="12" t="str">
        <f>IFERROR(__xludf.DUMMYFUNCTION("IFERROR(IF(REGEXMATCH(LOWER(Raw_Data!C1165),""fixed deposit|owealth|savings|target""),""Fixed Deposit"",IF(REGEXMATCH(LOWER(Raw_Data!C1165),""airtime""),""Airtime"",IF(REGEXMATCH(LOWER(Raw_Data!C1165),""electronic money transfer levy""),""Electronic Money"&amp;" Transfer Levy"",IF(REGEXMATCH(LOWER(Raw_Data!C1165),""transfer|trf|send""),""Transfer"",""Other"")))),""Other"")"),"Transfer")</f>
        <v>Transfer</v>
      </c>
      <c r="E1159" s="20">
        <v>800.0</v>
      </c>
      <c r="F1159" s="20">
        <v>0.0</v>
      </c>
      <c r="G1159" s="12" t="str">
        <f t="shared" si="3"/>
        <v>Withdrawal</v>
      </c>
      <c r="H1159" s="12" t="str">
        <f>TEXT(Raw_Data!A1165,"hh:mm:ss")
</f>
        <v>08:19:21</v>
      </c>
      <c r="I1159" s="20">
        <f t="shared" si="4"/>
        <v>800</v>
      </c>
    </row>
    <row r="1160">
      <c r="A1160" s="12" t="str">
        <f>Raw_Data!A1166</f>
        <v>12 Jul 2025 08:25:31</v>
      </c>
      <c r="B1160" s="12" t="str">
        <f t="shared" si="1"/>
        <v>July</v>
      </c>
      <c r="C1160" s="12">
        <f t="shared" si="2"/>
        <v>7</v>
      </c>
      <c r="D1160" s="12" t="str">
        <f>IFERROR(__xludf.DUMMYFUNCTION("IFERROR(IF(REGEXMATCH(LOWER(Raw_Data!C1166),""fixed deposit|owealth|savings|target""),""Fixed Deposit"",IF(REGEXMATCH(LOWER(Raw_Data!C1166),""airtime""),""Airtime"",IF(REGEXMATCH(LOWER(Raw_Data!C1166),""electronic money transfer levy""),""Electronic Money"&amp;" Transfer Levy"",IF(REGEXMATCH(LOWER(Raw_Data!C1166),""transfer|trf|send""),""Transfer"",""Other"")))),""Other"")"),"Airtime")</f>
        <v>Airtime</v>
      </c>
      <c r="E1160" s="20">
        <v>100.0</v>
      </c>
      <c r="F1160" s="20">
        <v>0.0</v>
      </c>
      <c r="G1160" s="12" t="str">
        <f t="shared" si="3"/>
        <v>Withdrawal</v>
      </c>
      <c r="H1160" s="12" t="str">
        <f>TEXT(Raw_Data!A1166,"hh:mm:ss")
</f>
        <v>08:25:31</v>
      </c>
      <c r="I1160" s="20">
        <f t="shared" si="4"/>
        <v>100</v>
      </c>
    </row>
    <row r="1161">
      <c r="A1161" s="12" t="str">
        <f>Raw_Data!A1167</f>
        <v>14 Jul 2025 08:00:19</v>
      </c>
      <c r="B1161" s="12" t="str">
        <f t="shared" si="1"/>
        <v>July</v>
      </c>
      <c r="C1161" s="12">
        <f t="shared" si="2"/>
        <v>7</v>
      </c>
      <c r="D1161" s="12" t="str">
        <f>IFERROR(__xludf.DUMMYFUNCTION("IFERROR(IF(REGEXMATCH(LOWER(Raw_Data!C1167),""fixed deposit|owealth|savings|target""),""Fixed Deposit"",IF(REGEXMATCH(LOWER(Raw_Data!C1167),""airtime""),""Airtime"",IF(REGEXMATCH(LOWER(Raw_Data!C1167),""electronic money transfer levy""),""Electronic Money"&amp;" Transfer Levy"",IF(REGEXMATCH(LOWER(Raw_Data!C1167),""transfer|trf|send""),""Transfer"",""Other"")))),""Other"")"),"Transfer")</f>
        <v>Transfer</v>
      </c>
      <c r="E1161" s="20">
        <v>0.0</v>
      </c>
      <c r="F1161" s="20">
        <v>5000.0</v>
      </c>
      <c r="G1161" s="12" t="str">
        <f t="shared" si="3"/>
        <v>Deposit</v>
      </c>
      <c r="H1161" s="12" t="str">
        <f>TEXT(Raw_Data!A1167,"hh:mm:ss")
</f>
        <v>08:00:19</v>
      </c>
      <c r="I1161" s="20">
        <f t="shared" si="4"/>
        <v>5000</v>
      </c>
    </row>
    <row r="1162">
      <c r="A1162" s="12" t="str">
        <f>Raw_Data!A1168</f>
        <v>14 Jul 2025 08:02:04</v>
      </c>
      <c r="B1162" s="12" t="str">
        <f t="shared" si="1"/>
        <v>July</v>
      </c>
      <c r="C1162" s="12">
        <f t="shared" si="2"/>
        <v>7</v>
      </c>
      <c r="D1162" s="12" t="str">
        <f>IFERROR(__xludf.DUMMYFUNCTION("IFERROR(IF(REGEXMATCH(LOWER(Raw_Data!C1168),""fixed deposit|owealth|savings|target""),""Fixed Deposit"",IF(REGEXMATCH(LOWER(Raw_Data!C1168),""airtime""),""Airtime"",IF(REGEXMATCH(LOWER(Raw_Data!C1168),""electronic money transfer levy""),""Electronic Money"&amp;" Transfer Levy"",IF(REGEXMATCH(LOWER(Raw_Data!C1168),""transfer|trf|send""),""Transfer"",""Other"")))),""Other"")"),"Transfer")</f>
        <v>Transfer</v>
      </c>
      <c r="E1162" s="20">
        <v>3500.0</v>
      </c>
      <c r="F1162" s="20">
        <v>0.0</v>
      </c>
      <c r="G1162" s="12" t="str">
        <f t="shared" si="3"/>
        <v>Withdrawal</v>
      </c>
      <c r="H1162" s="12" t="str">
        <f>TEXT(Raw_Data!A1168,"hh:mm:ss")
</f>
        <v>08:02:04</v>
      </c>
      <c r="I1162" s="20">
        <f t="shared" si="4"/>
        <v>3500</v>
      </c>
    </row>
    <row r="1163">
      <c r="A1163" s="12" t="str">
        <f>Raw_Data!A1169</f>
        <v>14 Jul 2025 17:45:38</v>
      </c>
      <c r="B1163" s="12" t="str">
        <f t="shared" si="1"/>
        <v>July</v>
      </c>
      <c r="C1163" s="12">
        <f t="shared" si="2"/>
        <v>7</v>
      </c>
      <c r="D1163" s="12" t="str">
        <f>IFERROR(__xludf.DUMMYFUNCTION("IFERROR(IF(REGEXMATCH(LOWER(Raw_Data!C1169),""fixed deposit|owealth|savings|target""),""Fixed Deposit"",IF(REGEXMATCH(LOWER(Raw_Data!C1169),""airtime""),""Airtime"",IF(REGEXMATCH(LOWER(Raw_Data!C1169),""electronic money transfer levy""),""Electronic Money"&amp;" Transfer Levy"",IF(REGEXMATCH(LOWER(Raw_Data!C1169),""transfer|trf|send""),""Transfer"",""Other"")))),""Other"")"),"Transfer")</f>
        <v>Transfer</v>
      </c>
      <c r="E1163" s="20">
        <v>1400.0</v>
      </c>
      <c r="F1163" s="20">
        <v>0.0</v>
      </c>
      <c r="G1163" s="12" t="str">
        <f t="shared" si="3"/>
        <v>Withdrawal</v>
      </c>
      <c r="H1163" s="12" t="str">
        <f>TEXT(Raw_Data!A1169,"hh:mm:ss")
</f>
        <v>17:45:38</v>
      </c>
      <c r="I1163" s="20">
        <f t="shared" si="4"/>
        <v>1400</v>
      </c>
    </row>
    <row r="1164">
      <c r="A1164" s="12" t="str">
        <f>Raw_Data!A1170</f>
        <v>15 Jul 2025 08:10:16</v>
      </c>
      <c r="B1164" s="12" t="str">
        <f t="shared" si="1"/>
        <v>July</v>
      </c>
      <c r="C1164" s="12">
        <f t="shared" si="2"/>
        <v>7</v>
      </c>
      <c r="D1164" s="12" t="str">
        <f>IFERROR(__xludf.DUMMYFUNCTION("IFERROR(IF(REGEXMATCH(LOWER(Raw_Data!C1170),""fixed deposit|owealth|savings|target""),""Fixed Deposit"",IF(REGEXMATCH(LOWER(Raw_Data!C1170),""airtime""),""Airtime"",IF(REGEXMATCH(LOWER(Raw_Data!C1170),""electronic money transfer levy""),""Electronic Money"&amp;" Transfer Levy"",IF(REGEXMATCH(LOWER(Raw_Data!C1170),""transfer|trf|send""),""Transfer"",""Other"")))),""Other"")"),"Transfer")</f>
        <v>Transfer</v>
      </c>
      <c r="E1164" s="20">
        <v>0.0</v>
      </c>
      <c r="F1164" s="20">
        <v>3500.0</v>
      </c>
      <c r="G1164" s="12" t="str">
        <f t="shared" si="3"/>
        <v>Deposit</v>
      </c>
      <c r="H1164" s="12" t="str">
        <f>TEXT(Raw_Data!A1170,"hh:mm:ss")
</f>
        <v>08:10:16</v>
      </c>
      <c r="I1164" s="20">
        <f t="shared" si="4"/>
        <v>3500</v>
      </c>
    </row>
    <row r="1165">
      <c r="A1165" s="12" t="str">
        <f>Raw_Data!A1171</f>
        <v>15 Jul 2025 09:17:31</v>
      </c>
      <c r="B1165" s="12" t="str">
        <f t="shared" si="1"/>
        <v>July</v>
      </c>
      <c r="C1165" s="12">
        <f t="shared" si="2"/>
        <v>7</v>
      </c>
      <c r="D1165" s="12" t="str">
        <f>IFERROR(__xludf.DUMMYFUNCTION("IFERROR(IF(REGEXMATCH(LOWER(Raw_Data!C1171),""fixed deposit|owealth|savings|target""),""Fixed Deposit"",IF(REGEXMATCH(LOWER(Raw_Data!C1171),""airtime""),""Airtime"",IF(REGEXMATCH(LOWER(Raw_Data!C1171),""electronic money transfer levy""),""Electronic Money"&amp;" Transfer Levy"",IF(REGEXMATCH(LOWER(Raw_Data!C1171),""transfer|trf|send""),""Transfer"",""Other"")))),""Other"")"),"Transfer")</f>
        <v>Transfer</v>
      </c>
      <c r="E1165" s="20">
        <v>3600.0</v>
      </c>
      <c r="F1165" s="20">
        <v>0.0</v>
      </c>
      <c r="G1165" s="12" t="str">
        <f t="shared" si="3"/>
        <v>Withdrawal</v>
      </c>
      <c r="H1165" s="12" t="str">
        <f>TEXT(Raw_Data!A1171,"hh:mm:ss")
</f>
        <v>09:17:31</v>
      </c>
      <c r="I1165" s="20">
        <f t="shared" si="4"/>
        <v>3600</v>
      </c>
    </row>
    <row r="1166">
      <c r="A1166" s="12" t="str">
        <f>Raw_Data!A1172</f>
        <v>15 Jul 2025 09:19:19</v>
      </c>
      <c r="B1166" s="12" t="str">
        <f t="shared" si="1"/>
        <v>July</v>
      </c>
      <c r="C1166" s="12">
        <f t="shared" si="2"/>
        <v>7</v>
      </c>
      <c r="D1166" s="12" t="str">
        <f>IFERROR(__xludf.DUMMYFUNCTION("IFERROR(IF(REGEXMATCH(LOWER(Raw_Data!C1172),""fixed deposit|owealth|savings|target""),""Fixed Deposit"",IF(REGEXMATCH(LOWER(Raw_Data!C1172),""airtime""),""Airtime"",IF(REGEXMATCH(LOWER(Raw_Data!C1172),""electronic money transfer levy""),""Electronic Money"&amp;" Transfer Levy"",IF(REGEXMATCH(LOWER(Raw_Data!C1172),""transfer|trf|send""),""Transfer"",""Other"")))),""Other"")"),"Transfer")</f>
        <v>Transfer</v>
      </c>
      <c r="E1166" s="20">
        <v>0.0</v>
      </c>
      <c r="F1166" s="20">
        <v>2100.0</v>
      </c>
      <c r="G1166" s="12" t="str">
        <f t="shared" si="3"/>
        <v>Deposit</v>
      </c>
      <c r="H1166" s="12" t="str">
        <f>TEXT(Raw_Data!A1172,"hh:mm:ss")
</f>
        <v>09:19:19</v>
      </c>
      <c r="I1166" s="20">
        <f t="shared" si="4"/>
        <v>2100</v>
      </c>
    </row>
    <row r="1167">
      <c r="A1167" s="12" t="str">
        <f>Raw_Data!A1173</f>
        <v>15 Jul 2025 09:39:23</v>
      </c>
      <c r="B1167" s="12" t="str">
        <f t="shared" si="1"/>
        <v>July</v>
      </c>
      <c r="C1167" s="12">
        <f t="shared" si="2"/>
        <v>7</v>
      </c>
      <c r="D1167" s="12" t="str">
        <f>IFERROR(__xludf.DUMMYFUNCTION("IFERROR(IF(REGEXMATCH(LOWER(Raw_Data!C1173),""fixed deposit|owealth|savings|target""),""Fixed Deposit"",IF(REGEXMATCH(LOWER(Raw_Data!C1173),""airtime""),""Airtime"",IF(REGEXMATCH(LOWER(Raw_Data!C1173),""electronic money transfer levy""),""Electronic Money"&amp;" Transfer Levy"",IF(REGEXMATCH(LOWER(Raw_Data!C1173),""transfer|trf|send""),""Transfer"",""Other"")))),""Other"")"),"Transfer")</f>
        <v>Transfer</v>
      </c>
      <c r="E1167" s="20">
        <v>2000.0</v>
      </c>
      <c r="F1167" s="20">
        <v>0.0</v>
      </c>
      <c r="G1167" s="12" t="str">
        <f t="shared" si="3"/>
        <v>Withdrawal</v>
      </c>
      <c r="H1167" s="12" t="str">
        <f>TEXT(Raw_Data!A1173,"hh:mm:ss")
</f>
        <v>09:39:23</v>
      </c>
      <c r="I1167" s="20">
        <f t="shared" si="4"/>
        <v>2000</v>
      </c>
    </row>
    <row r="1168">
      <c r="A1168" s="12" t="str">
        <f>Raw_Data!A1174</f>
        <v>16 Jul 2025 09:45:12</v>
      </c>
      <c r="B1168" s="12" t="str">
        <f t="shared" si="1"/>
        <v>July</v>
      </c>
      <c r="C1168" s="12">
        <f t="shared" si="2"/>
        <v>7</v>
      </c>
      <c r="D1168" s="12" t="str">
        <f>IFERROR(__xludf.DUMMYFUNCTION("IFERROR(IF(REGEXMATCH(LOWER(Raw_Data!C1174),""fixed deposit|owealth|savings|target""),""Fixed Deposit"",IF(REGEXMATCH(LOWER(Raw_Data!C1174),""airtime""),""Airtime"",IF(REGEXMATCH(LOWER(Raw_Data!C1174),""electronic money transfer levy""),""Electronic Money"&amp;" Transfer Levy"",IF(REGEXMATCH(LOWER(Raw_Data!C1174),""transfer|trf|send""),""Transfer"",""Other"")))),""Other"")"),"Transfer")</f>
        <v>Transfer</v>
      </c>
      <c r="E1168" s="20">
        <v>0.0</v>
      </c>
      <c r="F1168" s="20">
        <v>1500.0</v>
      </c>
      <c r="G1168" s="12" t="str">
        <f t="shared" si="3"/>
        <v>Deposit</v>
      </c>
      <c r="H1168" s="12" t="str">
        <f>TEXT(Raw_Data!A1174,"hh:mm:ss")
</f>
        <v>09:45:12</v>
      </c>
      <c r="I1168" s="20">
        <f t="shared" si="4"/>
        <v>1500</v>
      </c>
    </row>
    <row r="1169">
      <c r="A1169" s="12" t="str">
        <f>Raw_Data!A1175</f>
        <v>16 Jul 2025 10:47:09</v>
      </c>
      <c r="B1169" s="12" t="str">
        <f t="shared" si="1"/>
        <v>July</v>
      </c>
      <c r="C1169" s="12">
        <f t="shared" si="2"/>
        <v>7</v>
      </c>
      <c r="D1169" s="12" t="str">
        <f>IFERROR(__xludf.DUMMYFUNCTION("IFERROR(IF(REGEXMATCH(LOWER(Raw_Data!C1175),""fixed deposit|owealth|savings|target""),""Fixed Deposit"",IF(REGEXMATCH(LOWER(Raw_Data!C1175),""airtime""),""Airtime"",IF(REGEXMATCH(LOWER(Raw_Data!C1175),""electronic money transfer levy""),""Electronic Money"&amp;" Transfer Levy"",IF(REGEXMATCH(LOWER(Raw_Data!C1175),""transfer|trf|send""),""Transfer"",""Other"")))),""Other"")"),"Transfer")</f>
        <v>Transfer</v>
      </c>
      <c r="E1169" s="20">
        <v>0.0</v>
      </c>
      <c r="F1169" s="20">
        <v>7300.0</v>
      </c>
      <c r="G1169" s="12" t="str">
        <f t="shared" si="3"/>
        <v>Deposit</v>
      </c>
      <c r="H1169" s="12" t="str">
        <f>TEXT(Raw_Data!A1175,"hh:mm:ss")
</f>
        <v>10:47:09</v>
      </c>
      <c r="I1169" s="20">
        <f t="shared" si="4"/>
        <v>7300</v>
      </c>
    </row>
    <row r="1170">
      <c r="A1170" s="12" t="str">
        <f>Raw_Data!A1176</f>
        <v>16 Jul 2025 10:59:05</v>
      </c>
      <c r="B1170" s="12" t="str">
        <f t="shared" si="1"/>
        <v>July</v>
      </c>
      <c r="C1170" s="12">
        <f t="shared" si="2"/>
        <v>7</v>
      </c>
      <c r="D1170" s="12" t="str">
        <f>IFERROR(__xludf.DUMMYFUNCTION("IFERROR(IF(REGEXMATCH(LOWER(Raw_Data!C1176),""fixed deposit|owealth|savings|target""),""Fixed Deposit"",IF(REGEXMATCH(LOWER(Raw_Data!C1176),""airtime""),""Airtime"",IF(REGEXMATCH(LOWER(Raw_Data!C1176),""electronic money transfer levy""),""Electronic Money"&amp;" Transfer Levy"",IF(REGEXMATCH(LOWER(Raw_Data!C1176),""transfer|trf|send""),""Transfer"",""Other"")))),""Other"")"),"Transfer")</f>
        <v>Transfer</v>
      </c>
      <c r="E1170" s="20">
        <v>1500.0</v>
      </c>
      <c r="F1170" s="20">
        <v>0.0</v>
      </c>
      <c r="G1170" s="12" t="str">
        <f t="shared" si="3"/>
        <v>Withdrawal</v>
      </c>
      <c r="H1170" s="12" t="str">
        <f>TEXT(Raw_Data!A1176,"hh:mm:ss")
</f>
        <v>10:59:05</v>
      </c>
      <c r="I1170" s="20">
        <f t="shared" si="4"/>
        <v>1500</v>
      </c>
    </row>
    <row r="1171">
      <c r="A1171" s="12" t="str">
        <f>Raw_Data!A1177</f>
        <v>16 Jul 2025 11:05:15</v>
      </c>
      <c r="B1171" s="12" t="str">
        <f t="shared" si="1"/>
        <v>July</v>
      </c>
      <c r="C1171" s="12">
        <f t="shared" si="2"/>
        <v>7</v>
      </c>
      <c r="D1171" s="12" t="str">
        <f>IFERROR(__xludf.DUMMYFUNCTION("IFERROR(IF(REGEXMATCH(LOWER(Raw_Data!C1177),""fixed deposit|owealth|savings|target""),""Fixed Deposit"",IF(REGEXMATCH(LOWER(Raw_Data!C1177),""airtime""),""Airtime"",IF(REGEXMATCH(LOWER(Raw_Data!C1177),""electronic money transfer levy""),""Electronic Money"&amp;" Transfer Levy"",IF(REGEXMATCH(LOWER(Raw_Data!C1177),""transfer|trf|send""),""Transfer"",""Other"")))),""Other"")"),"Other")</f>
        <v>Other</v>
      </c>
      <c r="E1171" s="20">
        <v>7100.0</v>
      </c>
      <c r="F1171" s="20">
        <v>0.0</v>
      </c>
      <c r="G1171" s="12" t="str">
        <f t="shared" si="3"/>
        <v>Withdrawal</v>
      </c>
      <c r="H1171" s="12" t="str">
        <f>TEXT(Raw_Data!A1177,"hh:mm:ss")
</f>
        <v>11:05:15</v>
      </c>
      <c r="I1171" s="20">
        <f t="shared" si="4"/>
        <v>7100</v>
      </c>
    </row>
    <row r="1172">
      <c r="A1172" s="12" t="str">
        <f>Raw_Data!A1178</f>
        <v>17 Jul 2025 07:59:10</v>
      </c>
      <c r="B1172" s="12" t="str">
        <f t="shared" si="1"/>
        <v>July</v>
      </c>
      <c r="C1172" s="12">
        <f t="shared" si="2"/>
        <v>7</v>
      </c>
      <c r="D1172" s="12" t="str">
        <f>IFERROR(__xludf.DUMMYFUNCTION("IFERROR(IF(REGEXMATCH(LOWER(Raw_Data!C1178),""fixed deposit|owealth|savings|target""),""Fixed Deposit"",IF(REGEXMATCH(LOWER(Raw_Data!C1178),""airtime""),""Airtime"",IF(REGEXMATCH(LOWER(Raw_Data!C1178),""electronic money transfer levy""),""Electronic Money"&amp;" Transfer Levy"",IF(REGEXMATCH(LOWER(Raw_Data!C1178),""transfer|trf|send""),""Transfer"",""Other"")))),""Other"")"),"Transfer")</f>
        <v>Transfer</v>
      </c>
      <c r="E1172" s="20">
        <v>200.0</v>
      </c>
      <c r="F1172" s="20">
        <v>0.0</v>
      </c>
      <c r="G1172" s="12" t="str">
        <f t="shared" si="3"/>
        <v>Withdrawal</v>
      </c>
      <c r="H1172" s="12" t="str">
        <f>TEXT(Raw_Data!A1178,"hh:mm:ss")
</f>
        <v>07:59:10</v>
      </c>
      <c r="I1172" s="20">
        <f t="shared" si="4"/>
        <v>200</v>
      </c>
    </row>
    <row r="1173">
      <c r="A1173" s="12" t="str">
        <f>Raw_Data!A1179</f>
        <v>17 Jul 2025 22:15:03</v>
      </c>
      <c r="B1173" s="12" t="str">
        <f t="shared" si="1"/>
        <v>July</v>
      </c>
      <c r="C1173" s="12">
        <f t="shared" si="2"/>
        <v>7</v>
      </c>
      <c r="D1173" s="12" t="str">
        <f>IFERROR(__xludf.DUMMYFUNCTION("IFERROR(IF(REGEXMATCH(LOWER(Raw_Data!C1179),""fixed deposit|owealth|savings|target""),""Fixed Deposit"",IF(REGEXMATCH(LOWER(Raw_Data!C1179),""airtime""),""Airtime"",IF(REGEXMATCH(LOWER(Raw_Data!C1179),""electronic money transfer levy""),""Electronic Money"&amp;" Transfer Levy"",IF(REGEXMATCH(LOWER(Raw_Data!C1179),""transfer|trf|send""),""Transfer"",""Other"")))),""Other"")"),"Airtime")</f>
        <v>Airtime</v>
      </c>
      <c r="E1173" s="20">
        <v>100.0</v>
      </c>
      <c r="F1173" s="20">
        <v>0.0</v>
      </c>
      <c r="G1173" s="12" t="str">
        <f t="shared" si="3"/>
        <v>Withdrawal</v>
      </c>
      <c r="H1173" s="12" t="str">
        <f>TEXT(Raw_Data!A1179,"hh:mm:ss")
</f>
        <v>22:15:03</v>
      </c>
      <c r="I1173" s="20">
        <f t="shared" si="4"/>
        <v>100</v>
      </c>
    </row>
    <row r="1174">
      <c r="A1174" s="12" t="str">
        <f>Raw_Data!A1180</f>
        <v>18 Jul 2025 08:08:07</v>
      </c>
      <c r="B1174" s="12" t="str">
        <f t="shared" si="1"/>
        <v>July</v>
      </c>
      <c r="C1174" s="12">
        <f t="shared" si="2"/>
        <v>7</v>
      </c>
      <c r="D1174" s="12" t="str">
        <f>IFERROR(__xludf.DUMMYFUNCTION("IFERROR(IF(REGEXMATCH(LOWER(Raw_Data!C1180),""fixed deposit|owealth|savings|target""),""Fixed Deposit"",IF(REGEXMATCH(LOWER(Raw_Data!C1180),""airtime""),""Airtime"",IF(REGEXMATCH(LOWER(Raw_Data!C1180),""electronic money transfer levy""),""Electronic Money"&amp;" Transfer Levy"",IF(REGEXMATCH(LOWER(Raw_Data!C1180),""transfer|trf|send""),""Transfer"",""Other"")))),""Other"")"),"Transfer")</f>
        <v>Transfer</v>
      </c>
      <c r="E1174" s="20">
        <v>0.0</v>
      </c>
      <c r="F1174" s="20">
        <v>3000.0</v>
      </c>
      <c r="G1174" s="12" t="str">
        <f t="shared" si="3"/>
        <v>Deposit</v>
      </c>
      <c r="H1174" s="12" t="str">
        <f>TEXT(Raw_Data!A1180,"hh:mm:ss")
</f>
        <v>08:08:07</v>
      </c>
      <c r="I1174" s="20">
        <f t="shared" si="4"/>
        <v>3000</v>
      </c>
    </row>
    <row r="1175">
      <c r="A1175" s="12" t="str">
        <f>Raw_Data!A1181</f>
        <v>18 Jul 2025 08:52:36</v>
      </c>
      <c r="B1175" s="12" t="str">
        <f t="shared" si="1"/>
        <v>July</v>
      </c>
      <c r="C1175" s="12">
        <f t="shared" si="2"/>
        <v>7</v>
      </c>
      <c r="D1175" s="12" t="str">
        <f>IFERROR(__xludf.DUMMYFUNCTION("IFERROR(IF(REGEXMATCH(LOWER(Raw_Data!C1181),""fixed deposit|owealth|savings|target""),""Fixed Deposit"",IF(REGEXMATCH(LOWER(Raw_Data!C1181),""airtime""),""Airtime"",IF(REGEXMATCH(LOWER(Raw_Data!C1181),""electronic money transfer levy""),""Electronic Money"&amp;" Transfer Levy"",IF(REGEXMATCH(LOWER(Raw_Data!C1181),""transfer|trf|send""),""Transfer"",""Other"")))),""Other"")"),"Transfer")</f>
        <v>Transfer</v>
      </c>
      <c r="E1175" s="20">
        <v>0.0</v>
      </c>
      <c r="F1175" s="20">
        <v>500.0</v>
      </c>
      <c r="G1175" s="12" t="str">
        <f t="shared" si="3"/>
        <v>Deposit</v>
      </c>
      <c r="H1175" s="12" t="str">
        <f>TEXT(Raw_Data!A1181,"hh:mm:ss")
</f>
        <v>08:52:36</v>
      </c>
      <c r="I1175" s="20">
        <f t="shared" si="4"/>
        <v>500</v>
      </c>
    </row>
    <row r="1176">
      <c r="A1176" s="12" t="str">
        <f>Raw_Data!A1182</f>
        <v>18 Jul 2025 09:01:40</v>
      </c>
      <c r="B1176" s="12" t="str">
        <f t="shared" si="1"/>
        <v>July</v>
      </c>
      <c r="C1176" s="12">
        <f t="shared" si="2"/>
        <v>7</v>
      </c>
      <c r="D1176" s="12" t="str">
        <f>IFERROR(__xludf.DUMMYFUNCTION("IFERROR(IF(REGEXMATCH(LOWER(Raw_Data!C1182),""fixed deposit|owealth|savings|target""),""Fixed Deposit"",IF(REGEXMATCH(LOWER(Raw_Data!C1182),""airtime""),""Airtime"",IF(REGEXMATCH(LOWER(Raw_Data!C1182),""electronic money transfer levy""),""Electronic Money"&amp;" Transfer Levy"",IF(REGEXMATCH(LOWER(Raw_Data!C1182),""transfer|trf|send""),""Transfer"",""Other"")))),""Other"")"),"Transfer")</f>
        <v>Transfer</v>
      </c>
      <c r="E1176" s="20">
        <v>3300.0</v>
      </c>
      <c r="F1176" s="20">
        <v>0.0</v>
      </c>
      <c r="G1176" s="12" t="str">
        <f t="shared" si="3"/>
        <v>Withdrawal</v>
      </c>
      <c r="H1176" s="12" t="str">
        <f>TEXT(Raw_Data!A1182,"hh:mm:ss")
</f>
        <v>09:01:40</v>
      </c>
      <c r="I1176" s="20">
        <f t="shared" si="4"/>
        <v>3300</v>
      </c>
    </row>
    <row r="1177">
      <c r="A1177" s="12" t="str">
        <f>Raw_Data!A1183</f>
        <v>18 Jul 2025 22:03:39</v>
      </c>
      <c r="B1177" s="12" t="str">
        <f t="shared" si="1"/>
        <v>July</v>
      </c>
      <c r="C1177" s="12">
        <f t="shared" si="2"/>
        <v>7</v>
      </c>
      <c r="D1177" s="12" t="str">
        <f>IFERROR(__xludf.DUMMYFUNCTION("IFERROR(IF(REGEXMATCH(LOWER(Raw_Data!C1183),""fixed deposit|owealth|savings|target""),""Fixed Deposit"",IF(REGEXMATCH(LOWER(Raw_Data!C1183),""airtime""),""Airtime"",IF(REGEXMATCH(LOWER(Raw_Data!C1183),""electronic money transfer levy""),""Electronic Money"&amp;" Transfer Levy"",IF(REGEXMATCH(LOWER(Raw_Data!C1183),""transfer|trf|send""),""Transfer"",""Other"")))),""Other"")"),"Airtime")</f>
        <v>Airtime</v>
      </c>
      <c r="E1177" s="20">
        <v>200.0</v>
      </c>
      <c r="F1177" s="20">
        <v>0.0</v>
      </c>
      <c r="G1177" s="12" t="str">
        <f t="shared" si="3"/>
        <v>Withdrawal</v>
      </c>
      <c r="H1177" s="12" t="str">
        <f>TEXT(Raw_Data!A1183,"hh:mm:ss")
</f>
        <v>22:03:39</v>
      </c>
      <c r="I1177" s="20">
        <f t="shared" si="4"/>
        <v>200</v>
      </c>
    </row>
    <row r="1178">
      <c r="A1178" s="12" t="str">
        <f>Raw_Data!A1184</f>
        <v>20 Jul 2025 12:15:37</v>
      </c>
      <c r="B1178" s="12" t="str">
        <f t="shared" si="1"/>
        <v>July</v>
      </c>
      <c r="C1178" s="12">
        <f t="shared" si="2"/>
        <v>7</v>
      </c>
      <c r="D1178" s="12" t="str">
        <f>IFERROR(__xludf.DUMMYFUNCTION("IFERROR(IF(REGEXMATCH(LOWER(Raw_Data!C1184),""fixed deposit|owealth|savings|target""),""Fixed Deposit"",IF(REGEXMATCH(LOWER(Raw_Data!C1184),""airtime""),""Airtime"",IF(REGEXMATCH(LOWER(Raw_Data!C1184),""electronic money transfer levy""),""Electronic Money"&amp;" Transfer Levy"",IF(REGEXMATCH(LOWER(Raw_Data!C1184),""transfer|trf|send""),""Transfer"",""Other"")))),""Other"")"),"Transfer")</f>
        <v>Transfer</v>
      </c>
      <c r="E1178" s="20">
        <v>0.0</v>
      </c>
      <c r="F1178" s="20">
        <v>5000.0</v>
      </c>
      <c r="G1178" s="12" t="str">
        <f t="shared" si="3"/>
        <v>Deposit</v>
      </c>
      <c r="H1178" s="12" t="str">
        <f>TEXT(Raw_Data!A1184,"hh:mm:ss")
</f>
        <v>12:15:37</v>
      </c>
      <c r="I1178" s="20">
        <f t="shared" si="4"/>
        <v>5000</v>
      </c>
    </row>
    <row r="1179">
      <c r="A1179" s="12" t="str">
        <f>Raw_Data!A1185</f>
        <v>20 Jul 2025 17:20:55</v>
      </c>
      <c r="B1179" s="12" t="str">
        <f t="shared" si="1"/>
        <v>July</v>
      </c>
      <c r="C1179" s="12">
        <f t="shared" si="2"/>
        <v>7</v>
      </c>
      <c r="D1179" s="12" t="str">
        <f>IFERROR(__xludf.DUMMYFUNCTION("IFERROR(IF(REGEXMATCH(LOWER(Raw_Data!C1185),""fixed deposit|owealth|savings|target""),""Fixed Deposit"",IF(REGEXMATCH(LOWER(Raw_Data!C1185),""airtime""),""Airtime"",IF(REGEXMATCH(LOWER(Raw_Data!C1185),""electronic money transfer levy""),""Electronic Money"&amp;" Transfer Levy"",IF(REGEXMATCH(LOWER(Raw_Data!C1185),""transfer|trf|send""),""Transfer"",""Other"")))),""Other"")"),"Transfer")</f>
        <v>Transfer</v>
      </c>
      <c r="E1179" s="20">
        <v>500.0</v>
      </c>
      <c r="F1179" s="20">
        <v>0.0</v>
      </c>
      <c r="G1179" s="12" t="str">
        <f t="shared" si="3"/>
        <v>Withdrawal</v>
      </c>
      <c r="H1179" s="12" t="str">
        <f>TEXT(Raw_Data!A1185,"hh:mm:ss")
</f>
        <v>17:20:55</v>
      </c>
      <c r="I1179" s="20">
        <f t="shared" si="4"/>
        <v>500</v>
      </c>
    </row>
    <row r="1180">
      <c r="A1180" s="12" t="str">
        <f>Raw_Data!A1186</f>
        <v>20 Jul 2025 20:54:50</v>
      </c>
      <c r="B1180" s="12" t="str">
        <f t="shared" si="1"/>
        <v>July</v>
      </c>
      <c r="C1180" s="12">
        <f t="shared" si="2"/>
        <v>7</v>
      </c>
      <c r="D1180" s="12" t="str">
        <f>IFERROR(__xludf.DUMMYFUNCTION("IFERROR(IF(REGEXMATCH(LOWER(Raw_Data!C1186),""fixed deposit|owealth|savings|target""),""Fixed Deposit"",IF(REGEXMATCH(LOWER(Raw_Data!C1186),""airtime""),""Airtime"",IF(REGEXMATCH(LOWER(Raw_Data!C1186),""electronic money transfer levy""),""Electronic Money"&amp;" Transfer Levy"",IF(REGEXMATCH(LOWER(Raw_Data!C1186),""transfer|trf|send""),""Transfer"",""Other"")))),""Other"")"),"Transfer")</f>
        <v>Transfer</v>
      </c>
      <c r="E1180" s="20">
        <v>1000.0</v>
      </c>
      <c r="F1180" s="20">
        <v>0.0</v>
      </c>
      <c r="G1180" s="12" t="str">
        <f t="shared" si="3"/>
        <v>Withdrawal</v>
      </c>
      <c r="H1180" s="12" t="str">
        <f>TEXT(Raw_Data!A1186,"hh:mm:ss")
</f>
        <v>20:54:50</v>
      </c>
      <c r="I1180" s="20">
        <f t="shared" si="4"/>
        <v>1000</v>
      </c>
    </row>
    <row r="1181">
      <c r="A1181" s="12" t="str">
        <f>Raw_Data!A1187</f>
        <v>20 Jul 2025 20:55:04</v>
      </c>
      <c r="B1181" s="12" t="str">
        <f t="shared" si="1"/>
        <v>July</v>
      </c>
      <c r="C1181" s="12">
        <f t="shared" si="2"/>
        <v>7</v>
      </c>
      <c r="D1181" s="12" t="str">
        <f>IFERROR(__xludf.DUMMYFUNCTION("IFERROR(IF(REGEXMATCH(LOWER(Raw_Data!C1187),""fixed deposit|owealth|savings|target""),""Fixed Deposit"",IF(REGEXMATCH(LOWER(Raw_Data!C1187),""airtime""),""Airtime"",IF(REGEXMATCH(LOWER(Raw_Data!C1187),""electronic money transfer levy""),""Electronic Money"&amp;" Transfer Levy"",IF(REGEXMATCH(LOWER(Raw_Data!C1187),""transfer|trf|send""),""Transfer"",""Other"")))),""Other"")"),"Airtime")</f>
        <v>Airtime</v>
      </c>
      <c r="E1181" s="20">
        <v>300.0</v>
      </c>
      <c r="F1181" s="20">
        <v>0.0</v>
      </c>
      <c r="G1181" s="12" t="str">
        <f t="shared" si="3"/>
        <v>Withdrawal</v>
      </c>
      <c r="H1181" s="12" t="str">
        <f>TEXT(Raw_Data!A1187,"hh:mm:ss")
</f>
        <v>20:55:04</v>
      </c>
      <c r="I1181" s="20">
        <f t="shared" si="4"/>
        <v>300</v>
      </c>
    </row>
    <row r="1182">
      <c r="A1182" s="12" t="str">
        <f>Raw_Data!A1188</f>
        <v>21 Jul 2025 08:00:48</v>
      </c>
      <c r="B1182" s="12" t="str">
        <f t="shared" si="1"/>
        <v>July</v>
      </c>
      <c r="C1182" s="12">
        <f t="shared" si="2"/>
        <v>7</v>
      </c>
      <c r="D1182" s="12" t="str">
        <f>IFERROR(__xludf.DUMMYFUNCTION("IFERROR(IF(REGEXMATCH(LOWER(Raw_Data!C1188),""fixed deposit|owealth|savings|target""),""Fixed Deposit"",IF(REGEXMATCH(LOWER(Raw_Data!C1188),""airtime""),""Airtime"",IF(REGEXMATCH(LOWER(Raw_Data!C1188),""electronic money transfer levy""),""Electronic Money"&amp;" Transfer Levy"",IF(REGEXMATCH(LOWER(Raw_Data!C1188),""transfer|trf|send""),""Transfer"",""Other"")))),""Other"")"),"Transfer")</f>
        <v>Transfer</v>
      </c>
      <c r="E1182" s="20">
        <v>550.0</v>
      </c>
      <c r="F1182" s="20">
        <v>0.0</v>
      </c>
      <c r="G1182" s="12" t="str">
        <f t="shared" si="3"/>
        <v>Withdrawal</v>
      </c>
      <c r="H1182" s="12" t="str">
        <f>TEXT(Raw_Data!A1188,"hh:mm:ss")
</f>
        <v>08:00:48</v>
      </c>
      <c r="I1182" s="20">
        <f t="shared" si="4"/>
        <v>550</v>
      </c>
    </row>
    <row r="1183">
      <c r="A1183" s="12" t="str">
        <f>Raw_Data!A1189</f>
        <v>21 Jul 2025 21:04:35</v>
      </c>
      <c r="B1183" s="12" t="str">
        <f t="shared" si="1"/>
        <v>July</v>
      </c>
      <c r="C1183" s="12">
        <f t="shared" si="2"/>
        <v>7</v>
      </c>
      <c r="D1183" s="12" t="str">
        <f>IFERROR(__xludf.DUMMYFUNCTION("IFERROR(IF(REGEXMATCH(LOWER(Raw_Data!C1189),""fixed deposit|owealth|savings|target""),""Fixed Deposit"",IF(REGEXMATCH(LOWER(Raw_Data!C1189),""airtime""),""Airtime"",IF(REGEXMATCH(LOWER(Raw_Data!C1189),""electronic money transfer levy""),""Electronic Money"&amp;" Transfer Levy"",IF(REGEXMATCH(LOWER(Raw_Data!C1189),""transfer|trf|send""),""Transfer"",""Other"")))),""Other"")"),"Airtime")</f>
        <v>Airtime</v>
      </c>
      <c r="E1183" s="20">
        <v>200.0</v>
      </c>
      <c r="F1183" s="20">
        <v>0.0</v>
      </c>
      <c r="G1183" s="12" t="str">
        <f t="shared" si="3"/>
        <v>Withdrawal</v>
      </c>
      <c r="H1183" s="12" t="str">
        <f>TEXT(Raw_Data!A1189,"hh:mm:ss")
</f>
        <v>21:04:35</v>
      </c>
      <c r="I1183" s="20">
        <f t="shared" si="4"/>
        <v>200</v>
      </c>
    </row>
    <row r="1184">
      <c r="A1184" s="12" t="str">
        <f>Raw_Data!A1190</f>
        <v>22 Jul 2025 17:56:11</v>
      </c>
      <c r="B1184" s="12" t="str">
        <f t="shared" si="1"/>
        <v>July</v>
      </c>
      <c r="C1184" s="12">
        <f t="shared" si="2"/>
        <v>7</v>
      </c>
      <c r="D1184" s="12" t="str">
        <f>IFERROR(__xludf.DUMMYFUNCTION("IFERROR(IF(REGEXMATCH(LOWER(Raw_Data!C1190),""fixed deposit|owealth|savings|target""),""Fixed Deposit"",IF(REGEXMATCH(LOWER(Raw_Data!C1190),""airtime""),""Airtime"",IF(REGEXMATCH(LOWER(Raw_Data!C1190),""electronic money transfer levy""),""Electronic Money"&amp;" Transfer Levy"",IF(REGEXMATCH(LOWER(Raw_Data!C1190),""transfer|trf|send""),""Transfer"",""Other"")))),""Other"")"),"Transfer")</f>
        <v>Transfer</v>
      </c>
      <c r="E1184" s="20">
        <v>500.0</v>
      </c>
      <c r="F1184" s="20">
        <v>0.0</v>
      </c>
      <c r="G1184" s="12" t="str">
        <f t="shared" si="3"/>
        <v>Withdrawal</v>
      </c>
      <c r="H1184" s="12" t="str">
        <f>TEXT(Raw_Data!A1190,"hh:mm:ss")
</f>
        <v>17:56:11</v>
      </c>
      <c r="I1184" s="20">
        <f t="shared" si="4"/>
        <v>500</v>
      </c>
    </row>
    <row r="1185">
      <c r="A1185" s="12" t="str">
        <f>Raw_Data!A1191</f>
        <v>22 Jul 2025 17:56:35</v>
      </c>
      <c r="B1185" s="12" t="str">
        <f t="shared" si="1"/>
        <v>July</v>
      </c>
      <c r="C1185" s="12">
        <f t="shared" si="2"/>
        <v>7</v>
      </c>
      <c r="D1185" s="12" t="str">
        <f>IFERROR(__xludf.DUMMYFUNCTION("IFERROR(IF(REGEXMATCH(LOWER(Raw_Data!C1191),""fixed deposit|owealth|savings|target""),""Fixed Deposit"",IF(REGEXMATCH(LOWER(Raw_Data!C1191),""airtime""),""Airtime"",IF(REGEXMATCH(LOWER(Raw_Data!C1191),""electronic money transfer levy""),""Electronic Money"&amp;" Transfer Levy"",IF(REGEXMATCH(LOWER(Raw_Data!C1191),""transfer|trf|send""),""Transfer"",""Other"")))),""Other"")"),"Airtime")</f>
        <v>Airtime</v>
      </c>
      <c r="E1185" s="20">
        <v>300.0</v>
      </c>
      <c r="F1185" s="20">
        <v>0.0</v>
      </c>
      <c r="G1185" s="12" t="str">
        <f t="shared" si="3"/>
        <v>Withdrawal</v>
      </c>
      <c r="H1185" s="12" t="str">
        <f>TEXT(Raw_Data!A1191,"hh:mm:ss")
</f>
        <v>17:56:35</v>
      </c>
      <c r="I1185" s="20">
        <f t="shared" si="4"/>
        <v>300</v>
      </c>
    </row>
    <row r="1186">
      <c r="A1186" s="12" t="str">
        <f>Raw_Data!A1192</f>
        <v>22 Jul 2025 18:23:07</v>
      </c>
      <c r="B1186" s="12" t="str">
        <f t="shared" si="1"/>
        <v>July</v>
      </c>
      <c r="C1186" s="12">
        <f t="shared" si="2"/>
        <v>7</v>
      </c>
      <c r="D1186" s="12" t="str">
        <f>IFERROR(__xludf.DUMMYFUNCTION("IFERROR(IF(REGEXMATCH(LOWER(Raw_Data!C1192),""fixed deposit|owealth|savings|target""),""Fixed Deposit"",IF(REGEXMATCH(LOWER(Raw_Data!C1192),""airtime""),""Airtime"",IF(REGEXMATCH(LOWER(Raw_Data!C1192),""electronic money transfer levy""),""Electronic Money"&amp;" Transfer Levy"",IF(REGEXMATCH(LOWER(Raw_Data!C1192),""transfer|trf|send""),""Transfer"",""Other"")))),""Other"")"),"Other")</f>
        <v>Other</v>
      </c>
      <c r="E1186" s="20">
        <v>855.0</v>
      </c>
      <c r="F1186" s="20">
        <v>0.0</v>
      </c>
      <c r="G1186" s="12" t="str">
        <f t="shared" si="3"/>
        <v>Withdrawal</v>
      </c>
      <c r="H1186" s="12" t="str">
        <f>TEXT(Raw_Data!A1192,"hh:mm:ss")
</f>
        <v>18:23:07</v>
      </c>
      <c r="I1186" s="20">
        <f t="shared" si="4"/>
        <v>855</v>
      </c>
    </row>
    <row r="1187">
      <c r="A1187" s="12" t="str">
        <f>Raw_Data!A1193</f>
        <v>22 Jul 2025 21:41:35</v>
      </c>
      <c r="B1187" s="12" t="str">
        <f t="shared" si="1"/>
        <v>July</v>
      </c>
      <c r="C1187" s="12">
        <f t="shared" si="2"/>
        <v>7</v>
      </c>
      <c r="D1187" s="12" t="str">
        <f>IFERROR(__xludf.DUMMYFUNCTION("IFERROR(IF(REGEXMATCH(LOWER(Raw_Data!C1193),""fixed deposit|owealth|savings|target""),""Fixed Deposit"",IF(REGEXMATCH(LOWER(Raw_Data!C1193),""airtime""),""Airtime"",IF(REGEXMATCH(LOWER(Raw_Data!C1193),""electronic money transfer levy""),""Electronic Money"&amp;" Transfer Levy"",IF(REGEXMATCH(LOWER(Raw_Data!C1193),""transfer|trf|send""),""Transfer"",""Other"")))),""Other"")"),"Airtime")</f>
        <v>Airtime</v>
      </c>
      <c r="E1187" s="20">
        <v>200.0</v>
      </c>
      <c r="F1187" s="20">
        <v>0.0</v>
      </c>
      <c r="G1187" s="12" t="str">
        <f t="shared" si="3"/>
        <v>Withdrawal</v>
      </c>
      <c r="H1187" s="12" t="str">
        <f>TEXT(Raw_Data!A1193,"hh:mm:ss")
</f>
        <v>21:41:35</v>
      </c>
      <c r="I1187" s="20">
        <f t="shared" si="4"/>
        <v>200</v>
      </c>
    </row>
    <row r="1188">
      <c r="A1188" s="12" t="str">
        <f>Raw_Data!A1194</f>
        <v>23 Jul 2025 09:44:22</v>
      </c>
      <c r="B1188" s="12" t="str">
        <f t="shared" si="1"/>
        <v>July</v>
      </c>
      <c r="C1188" s="12">
        <f t="shared" si="2"/>
        <v>7</v>
      </c>
      <c r="D1188" s="12" t="str">
        <f>IFERROR(__xludf.DUMMYFUNCTION("IFERROR(IF(REGEXMATCH(LOWER(Raw_Data!C1194),""fixed deposit|owealth|savings|target""),""Fixed Deposit"",IF(REGEXMATCH(LOWER(Raw_Data!C1194),""airtime""),""Airtime"",IF(REGEXMATCH(LOWER(Raw_Data!C1194),""electronic money transfer levy""),""Electronic Money"&amp;" Transfer Levy"",IF(REGEXMATCH(LOWER(Raw_Data!C1194),""transfer|trf|send""),""Transfer"",""Other"")))),""Other"")"),"Transfer")</f>
        <v>Transfer</v>
      </c>
      <c r="E1188" s="20">
        <v>200.0</v>
      </c>
      <c r="F1188" s="20">
        <v>0.0</v>
      </c>
      <c r="G1188" s="12" t="str">
        <f t="shared" si="3"/>
        <v>Withdrawal</v>
      </c>
      <c r="H1188" s="12" t="str">
        <f>TEXT(Raw_Data!A1194,"hh:mm:ss")
</f>
        <v>09:44:22</v>
      </c>
      <c r="I1188" s="20">
        <f t="shared" si="4"/>
        <v>200</v>
      </c>
    </row>
    <row r="1189">
      <c r="A1189" s="12" t="str">
        <f>Raw_Data!A1195</f>
        <v>23 Jul 2025 21:44:51</v>
      </c>
      <c r="B1189" s="12" t="str">
        <f t="shared" si="1"/>
        <v>July</v>
      </c>
      <c r="C1189" s="12">
        <f t="shared" si="2"/>
        <v>7</v>
      </c>
      <c r="D1189" s="12" t="str">
        <f>IFERROR(__xludf.DUMMYFUNCTION("IFERROR(IF(REGEXMATCH(LOWER(Raw_Data!C1195),""fixed deposit|owealth|savings|target""),""Fixed Deposit"",IF(REGEXMATCH(LOWER(Raw_Data!C1195),""airtime""),""Airtime"",IF(REGEXMATCH(LOWER(Raw_Data!C1195),""electronic money transfer levy""),""Electronic Money"&amp;" Transfer Levy"",IF(REGEXMATCH(LOWER(Raw_Data!C1195),""transfer|trf|send""),""Transfer"",""Other"")))),""Other"")"),"Airtime")</f>
        <v>Airtime</v>
      </c>
      <c r="E1189" s="20">
        <v>200.0</v>
      </c>
      <c r="F1189" s="20">
        <v>0.0</v>
      </c>
      <c r="G1189" s="12" t="str">
        <f t="shared" si="3"/>
        <v>Withdrawal</v>
      </c>
      <c r="H1189" s="12" t="str">
        <f>TEXT(Raw_Data!A1195,"hh:mm:ss")
</f>
        <v>21:44:51</v>
      </c>
      <c r="I1189" s="20">
        <f t="shared" si="4"/>
        <v>200</v>
      </c>
    </row>
    <row r="1190">
      <c r="A1190" s="12" t="str">
        <f>Raw_Data!A1196</f>
        <v>24 Jul 2025 09:20:49</v>
      </c>
      <c r="B1190" s="12" t="str">
        <f t="shared" si="1"/>
        <v>July</v>
      </c>
      <c r="C1190" s="12">
        <f t="shared" si="2"/>
        <v>7</v>
      </c>
      <c r="D1190" s="12" t="str">
        <f>IFERROR(__xludf.DUMMYFUNCTION("IFERROR(IF(REGEXMATCH(LOWER(Raw_Data!C1196),""fixed deposit|owealth|savings|target""),""Fixed Deposit"",IF(REGEXMATCH(LOWER(Raw_Data!C1196),""airtime""),""Airtime"",IF(REGEXMATCH(LOWER(Raw_Data!C1196),""electronic money transfer levy""),""Electronic Money"&amp;" Transfer Levy"",IF(REGEXMATCH(LOWER(Raw_Data!C1196),""transfer|trf|send""),""Transfer"",""Other"")))),""Other"")"),"Airtime")</f>
        <v>Airtime</v>
      </c>
      <c r="E1190" s="20">
        <v>100.0</v>
      </c>
      <c r="F1190" s="20">
        <v>0.0</v>
      </c>
      <c r="G1190" s="12" t="str">
        <f t="shared" si="3"/>
        <v>Withdrawal</v>
      </c>
      <c r="H1190" s="12" t="str">
        <f>TEXT(Raw_Data!A1196,"hh:mm:ss")
</f>
        <v>09:20:49</v>
      </c>
      <c r="I1190" s="20">
        <f t="shared" si="4"/>
        <v>100</v>
      </c>
    </row>
    <row r="1191">
      <c r="A1191" s="12" t="str">
        <f>Raw_Data!A1197</f>
        <v>24 Jul 2025 14:18:56</v>
      </c>
      <c r="B1191" s="12" t="str">
        <f t="shared" si="1"/>
        <v>July</v>
      </c>
      <c r="C1191" s="12">
        <f t="shared" si="2"/>
        <v>7</v>
      </c>
      <c r="D1191" s="12" t="str">
        <f>IFERROR(__xludf.DUMMYFUNCTION("IFERROR(IF(REGEXMATCH(LOWER(Raw_Data!C1197),""fixed deposit|owealth|savings|target""),""Fixed Deposit"",IF(REGEXMATCH(LOWER(Raw_Data!C1197),""airtime""),""Airtime"",IF(REGEXMATCH(LOWER(Raw_Data!C1197),""electronic money transfer levy""),""Electronic Money"&amp;" Transfer Levy"",IF(REGEXMATCH(LOWER(Raw_Data!C1197),""transfer|trf|send""),""Transfer"",""Other"")))),""Other"")"),"Transfer")</f>
        <v>Transfer</v>
      </c>
      <c r="E1191" s="20">
        <v>0.0</v>
      </c>
      <c r="F1191" s="20">
        <v>20000.0</v>
      </c>
      <c r="G1191" s="12" t="str">
        <f t="shared" si="3"/>
        <v>Deposit</v>
      </c>
      <c r="H1191" s="12" t="str">
        <f>TEXT(Raw_Data!A1197,"hh:mm:ss")
</f>
        <v>14:18:56</v>
      </c>
      <c r="I1191" s="20">
        <f t="shared" si="4"/>
        <v>20000</v>
      </c>
    </row>
    <row r="1192">
      <c r="A1192" s="12" t="str">
        <f>Raw_Data!A1198</f>
        <v>24 Jul 2025 14:18:57</v>
      </c>
      <c r="B1192" s="12" t="str">
        <f t="shared" si="1"/>
        <v>July</v>
      </c>
      <c r="C1192" s="12">
        <f t="shared" si="2"/>
        <v>7</v>
      </c>
      <c r="D1192" s="12" t="str">
        <f>IFERROR(__xludf.DUMMYFUNCTION("IFERROR(IF(REGEXMATCH(LOWER(Raw_Data!C1198),""fixed deposit|owealth|savings|target""),""Fixed Deposit"",IF(REGEXMATCH(LOWER(Raw_Data!C1198),""airtime""),""Airtime"",IF(REGEXMATCH(LOWER(Raw_Data!C1198),""electronic money transfer levy""),""Electronic Money"&amp;" Transfer Levy"",IF(REGEXMATCH(LOWER(Raw_Data!C1198),""transfer|trf|send""),""Transfer"",""Other"")))),""Other"")"),"Electronic Money Transfer Levy")</f>
        <v>Electronic Money Transfer Levy</v>
      </c>
      <c r="E1192" s="20">
        <v>50.0</v>
      </c>
      <c r="F1192" s="20">
        <v>0.0</v>
      </c>
      <c r="G1192" s="12" t="str">
        <f t="shared" si="3"/>
        <v>Withdrawal</v>
      </c>
      <c r="H1192" s="12" t="str">
        <f>TEXT(Raw_Data!A1198,"hh:mm:ss")
</f>
        <v>14:18:57</v>
      </c>
      <c r="I1192" s="20">
        <f t="shared" si="4"/>
        <v>50</v>
      </c>
    </row>
    <row r="1193">
      <c r="A1193" s="12" t="str">
        <f>Raw_Data!A1199</f>
        <v>24 Jul 2025 14:20:25</v>
      </c>
      <c r="B1193" s="12" t="str">
        <f t="shared" si="1"/>
        <v>July</v>
      </c>
      <c r="C1193" s="12">
        <f t="shared" si="2"/>
        <v>7</v>
      </c>
      <c r="D1193" s="12" t="str">
        <f>IFERROR(__xludf.DUMMYFUNCTION("IFERROR(IF(REGEXMATCH(LOWER(Raw_Data!C1199),""fixed deposit|owealth|savings|target""),""Fixed Deposit"",IF(REGEXMATCH(LOWER(Raw_Data!C1199),""airtime""),""Airtime"",IF(REGEXMATCH(LOWER(Raw_Data!C1199),""electronic money transfer levy""),""Electronic Money"&amp;" Transfer Levy"",IF(REGEXMATCH(LOWER(Raw_Data!C1199),""transfer|trf|send""),""Transfer"",""Other"")))),""Other"")"),"Airtime")</f>
        <v>Airtime</v>
      </c>
      <c r="E1193" s="20">
        <v>18000.0</v>
      </c>
      <c r="F1193" s="20">
        <v>0.0</v>
      </c>
      <c r="G1193" s="12" t="str">
        <f t="shared" si="3"/>
        <v>Withdrawal</v>
      </c>
      <c r="H1193" s="12" t="str">
        <f>TEXT(Raw_Data!A1199,"hh:mm:ss")
</f>
        <v>14:20:25</v>
      </c>
      <c r="I1193" s="20">
        <f t="shared" si="4"/>
        <v>18000</v>
      </c>
    </row>
    <row r="1194">
      <c r="A1194" s="12" t="str">
        <f>Raw_Data!A1200</f>
        <v>24 Jul 2025 14:22:38</v>
      </c>
      <c r="B1194" s="12" t="str">
        <f t="shared" si="1"/>
        <v>July</v>
      </c>
      <c r="C1194" s="12">
        <f t="shared" si="2"/>
        <v>7</v>
      </c>
      <c r="D1194" s="12" t="str">
        <f>IFERROR(__xludf.DUMMYFUNCTION("IFERROR(IF(REGEXMATCH(LOWER(Raw_Data!C1200),""fixed deposit|owealth|savings|target""),""Fixed Deposit"",IF(REGEXMATCH(LOWER(Raw_Data!C1200),""airtime""),""Airtime"",IF(REGEXMATCH(LOWER(Raw_Data!C1200),""electronic money transfer levy""),""Electronic Money"&amp;" Transfer Levy"",IF(REGEXMATCH(LOWER(Raw_Data!C1200),""transfer|trf|send""),""Transfer"",""Other"")))),""Other"")"),"Airtime")</f>
        <v>Airtime</v>
      </c>
      <c r="E1194" s="20">
        <v>300.0</v>
      </c>
      <c r="F1194" s="20">
        <v>0.0</v>
      </c>
      <c r="G1194" s="12" t="str">
        <f t="shared" si="3"/>
        <v>Withdrawal</v>
      </c>
      <c r="H1194" s="12" t="str">
        <f>TEXT(Raw_Data!A1200,"hh:mm:ss")
</f>
        <v>14:22:38</v>
      </c>
      <c r="I1194" s="20">
        <f t="shared" si="4"/>
        <v>300</v>
      </c>
    </row>
    <row r="1195">
      <c r="A1195" s="12" t="str">
        <f>Raw_Data!A1201</f>
        <v>25 Jul 2025 02:37:19</v>
      </c>
      <c r="B1195" s="12" t="str">
        <f t="shared" si="1"/>
        <v>July</v>
      </c>
      <c r="C1195" s="12">
        <f t="shared" si="2"/>
        <v>7</v>
      </c>
      <c r="D1195" s="12" t="str">
        <f>IFERROR(__xludf.DUMMYFUNCTION("IFERROR(IF(REGEXMATCH(LOWER(Raw_Data!C1201),""fixed deposit|owealth|savings|target""),""Fixed Deposit"",IF(REGEXMATCH(LOWER(Raw_Data!C1201),""airtime""),""Airtime"",IF(REGEXMATCH(LOWER(Raw_Data!C1201),""electronic money transfer levy""),""Electronic Money"&amp;" Transfer Levy"",IF(REGEXMATCH(LOWER(Raw_Data!C1201),""transfer|trf|send""),""Transfer"",""Other"")))),""Other"")"),"Airtime")</f>
        <v>Airtime</v>
      </c>
      <c r="E1195" s="20">
        <v>1000.0</v>
      </c>
      <c r="F1195" s="20">
        <v>0.0</v>
      </c>
      <c r="G1195" s="12" t="str">
        <f t="shared" si="3"/>
        <v>Withdrawal</v>
      </c>
      <c r="H1195" s="12" t="str">
        <f>TEXT(Raw_Data!A1201,"hh:mm:ss")
</f>
        <v>02:37:19</v>
      </c>
      <c r="I1195" s="20">
        <f t="shared" si="4"/>
        <v>1000</v>
      </c>
    </row>
    <row r="1196">
      <c r="A1196" s="12" t="str">
        <f>Raw_Data!A1202</f>
        <v>25 Jul 2025 20:26:58</v>
      </c>
      <c r="B1196" s="12" t="str">
        <f t="shared" si="1"/>
        <v>July</v>
      </c>
      <c r="C1196" s="12">
        <f t="shared" si="2"/>
        <v>7</v>
      </c>
      <c r="D1196" s="12" t="str">
        <f>IFERROR(__xludf.DUMMYFUNCTION("IFERROR(IF(REGEXMATCH(LOWER(Raw_Data!C1202),""fixed deposit|owealth|savings|target""),""Fixed Deposit"",IF(REGEXMATCH(LOWER(Raw_Data!C1202),""airtime""),""Airtime"",IF(REGEXMATCH(LOWER(Raw_Data!C1202),""electronic money transfer levy""),""Electronic Money"&amp;" Transfer Levy"",IF(REGEXMATCH(LOWER(Raw_Data!C1202),""transfer|trf|send""),""Transfer"",""Other"")))),""Other"")"),"Transfer")</f>
        <v>Transfer</v>
      </c>
      <c r="E1196" s="20">
        <v>400.0</v>
      </c>
      <c r="F1196" s="20">
        <v>0.0</v>
      </c>
      <c r="G1196" s="12" t="str">
        <f t="shared" si="3"/>
        <v>Withdrawal</v>
      </c>
      <c r="H1196" s="12" t="str">
        <f>TEXT(Raw_Data!A1202,"hh:mm:ss")
</f>
        <v>20:26:58</v>
      </c>
      <c r="I1196" s="20">
        <f t="shared" si="4"/>
        <v>400</v>
      </c>
    </row>
    <row r="1197">
      <c r="A1197" s="12" t="str">
        <f>Raw_Data!A1203</f>
        <v>26 Jul 2025 07:36:09</v>
      </c>
      <c r="B1197" s="12" t="str">
        <f t="shared" si="1"/>
        <v>July</v>
      </c>
      <c r="C1197" s="12">
        <f t="shared" si="2"/>
        <v>7</v>
      </c>
      <c r="D1197" s="12" t="str">
        <f>IFERROR(__xludf.DUMMYFUNCTION("IFERROR(IF(REGEXMATCH(LOWER(Raw_Data!C1203),""fixed deposit|owealth|savings|target""),""Fixed Deposit"",IF(REGEXMATCH(LOWER(Raw_Data!C1203),""airtime""),""Airtime"",IF(REGEXMATCH(LOWER(Raw_Data!C1203),""electronic money transfer levy""),""Electronic Money"&amp;" Transfer Levy"",IF(REGEXMATCH(LOWER(Raw_Data!C1203),""transfer|trf|send""),""Transfer"",""Other"")))),""Other"")"),"Transfer")</f>
        <v>Transfer</v>
      </c>
      <c r="E1197" s="20">
        <v>200.0</v>
      </c>
      <c r="F1197" s="20">
        <v>0.0</v>
      </c>
      <c r="G1197" s="12" t="str">
        <f t="shared" si="3"/>
        <v>Withdrawal</v>
      </c>
      <c r="H1197" s="12" t="str">
        <f>TEXT(Raw_Data!A1203,"hh:mm:ss")
</f>
        <v>07:36:09</v>
      </c>
      <c r="I1197" s="20">
        <f t="shared" si="4"/>
        <v>200</v>
      </c>
    </row>
    <row r="1198">
      <c r="A1198" s="12" t="str">
        <f>Raw_Data!A1204</f>
        <v>26 Jul 2025 07:36:22</v>
      </c>
      <c r="B1198" s="12" t="str">
        <f t="shared" si="1"/>
        <v>July</v>
      </c>
      <c r="C1198" s="12">
        <f t="shared" si="2"/>
        <v>7</v>
      </c>
      <c r="D1198" s="12" t="str">
        <f>IFERROR(__xludf.DUMMYFUNCTION("IFERROR(IF(REGEXMATCH(LOWER(Raw_Data!C1204),""fixed deposit|owealth|savings|target""),""Fixed Deposit"",IF(REGEXMATCH(LOWER(Raw_Data!C1204),""airtime""),""Airtime"",IF(REGEXMATCH(LOWER(Raw_Data!C1204),""electronic money transfer levy""),""Electronic Money"&amp;" Transfer Levy"",IF(REGEXMATCH(LOWER(Raw_Data!C1204),""transfer|trf|send""),""Transfer"",""Other"")))),""Other"")"),"Transfer")</f>
        <v>Transfer</v>
      </c>
      <c r="E1198" s="20">
        <v>100.0</v>
      </c>
      <c r="F1198" s="20">
        <v>0.0</v>
      </c>
      <c r="G1198" s="12" t="str">
        <f t="shared" si="3"/>
        <v>Withdrawal</v>
      </c>
      <c r="H1198" s="12" t="str">
        <f>TEXT(Raw_Data!A1204,"hh:mm:ss")
</f>
        <v>07:36:22</v>
      </c>
      <c r="I1198" s="20">
        <f t="shared" si="4"/>
        <v>100</v>
      </c>
    </row>
    <row r="1199">
      <c r="A1199" s="12" t="str">
        <f>Raw_Data!A1205</f>
        <v>26 Jul 2025 12:43:12</v>
      </c>
      <c r="B1199" s="12" t="str">
        <f t="shared" si="1"/>
        <v>July</v>
      </c>
      <c r="C1199" s="12">
        <f t="shared" si="2"/>
        <v>7</v>
      </c>
      <c r="D1199" s="12" t="str">
        <f>IFERROR(__xludf.DUMMYFUNCTION("IFERROR(IF(REGEXMATCH(LOWER(Raw_Data!C1205),""fixed deposit|owealth|savings|target""),""Fixed Deposit"",IF(REGEXMATCH(LOWER(Raw_Data!C1205),""airtime""),""Airtime"",IF(REGEXMATCH(LOWER(Raw_Data!C1205),""electronic money transfer levy""),""Electronic Money"&amp;" Transfer Levy"",IF(REGEXMATCH(LOWER(Raw_Data!C1205),""transfer|trf|send""),""Transfer"",""Other"")))),""Other"")"),"Transfer")</f>
        <v>Transfer</v>
      </c>
      <c r="E1199" s="20">
        <v>0.0</v>
      </c>
      <c r="F1199" s="20">
        <v>5000.0</v>
      </c>
      <c r="G1199" s="12" t="str">
        <f t="shared" si="3"/>
        <v>Deposit</v>
      </c>
      <c r="H1199" s="12" t="str">
        <f>TEXT(Raw_Data!A1205,"hh:mm:ss")
</f>
        <v>12:43:12</v>
      </c>
      <c r="I1199" s="20">
        <f t="shared" si="4"/>
        <v>5000</v>
      </c>
    </row>
    <row r="1200">
      <c r="A1200" s="12" t="str">
        <f>Raw_Data!A1206</f>
        <v>26 Jul 2025 12:44:53</v>
      </c>
      <c r="B1200" s="12" t="str">
        <f t="shared" si="1"/>
        <v>July</v>
      </c>
      <c r="C1200" s="12">
        <f t="shared" si="2"/>
        <v>7</v>
      </c>
      <c r="D1200" s="12" t="str">
        <f>IFERROR(__xludf.DUMMYFUNCTION("IFERROR(IF(REGEXMATCH(LOWER(Raw_Data!C1206),""fixed deposit|owealth|savings|target""),""Fixed Deposit"",IF(REGEXMATCH(LOWER(Raw_Data!C1206),""airtime""),""Airtime"",IF(REGEXMATCH(LOWER(Raw_Data!C1206),""electronic money transfer levy""),""Electronic Money"&amp;" Transfer Levy"",IF(REGEXMATCH(LOWER(Raw_Data!C1206),""transfer|trf|send""),""Transfer"",""Other"")))),""Other"")"),"Transfer")</f>
        <v>Transfer</v>
      </c>
      <c r="E1200" s="20">
        <v>5000.0</v>
      </c>
      <c r="F1200" s="20">
        <v>0.0</v>
      </c>
      <c r="G1200" s="12" t="str">
        <f t="shared" si="3"/>
        <v>Withdrawal</v>
      </c>
      <c r="H1200" s="12" t="str">
        <f>TEXT(Raw_Data!A1206,"hh:mm:ss")
</f>
        <v>12:44:53</v>
      </c>
      <c r="I1200" s="20">
        <f t="shared" si="4"/>
        <v>5000</v>
      </c>
    </row>
    <row r="1201">
      <c r="A1201" s="12" t="str">
        <f>Raw_Data!A1207</f>
        <v>26 Jul 2025 18:55:08</v>
      </c>
      <c r="B1201" s="12" t="str">
        <f t="shared" si="1"/>
        <v>July</v>
      </c>
      <c r="C1201" s="12">
        <f t="shared" si="2"/>
        <v>7</v>
      </c>
      <c r="D1201" s="12" t="str">
        <f>IFERROR(__xludf.DUMMYFUNCTION("IFERROR(IF(REGEXMATCH(LOWER(Raw_Data!C1207),""fixed deposit|owealth|savings|target""),""Fixed Deposit"",IF(REGEXMATCH(LOWER(Raw_Data!C1207),""airtime""),""Airtime"",IF(REGEXMATCH(LOWER(Raw_Data!C1207),""electronic money transfer levy""),""Electronic Money"&amp;" Transfer Levy"",IF(REGEXMATCH(LOWER(Raw_Data!C1207),""transfer|trf|send""),""Transfer"",""Other"")))),""Other"")"),"Transfer")</f>
        <v>Transfer</v>
      </c>
      <c r="E1201" s="20">
        <v>0.0</v>
      </c>
      <c r="F1201" s="20">
        <v>1000.0</v>
      </c>
      <c r="G1201" s="12" t="str">
        <f t="shared" si="3"/>
        <v>Deposit</v>
      </c>
      <c r="H1201" s="12" t="str">
        <f>TEXT(Raw_Data!A1207,"hh:mm:ss")
</f>
        <v>18:55:08</v>
      </c>
      <c r="I1201" s="20">
        <f t="shared" si="4"/>
        <v>1000</v>
      </c>
    </row>
    <row r="1202">
      <c r="A1202" s="12" t="str">
        <f>Raw_Data!A1208</f>
        <v>27 Jul 2025 15:41:33</v>
      </c>
      <c r="B1202" s="12" t="str">
        <f t="shared" si="1"/>
        <v>July</v>
      </c>
      <c r="C1202" s="12">
        <f t="shared" si="2"/>
        <v>7</v>
      </c>
      <c r="D1202" s="12" t="str">
        <f>IFERROR(__xludf.DUMMYFUNCTION("IFERROR(IF(REGEXMATCH(LOWER(Raw_Data!C1208),""fixed deposit|owealth|savings|target""),""Fixed Deposit"",IF(REGEXMATCH(LOWER(Raw_Data!C1208),""airtime""),""Airtime"",IF(REGEXMATCH(LOWER(Raw_Data!C1208),""electronic money transfer levy""),""Electronic Money"&amp;" Transfer Levy"",IF(REGEXMATCH(LOWER(Raw_Data!C1208),""transfer|trf|send""),""Transfer"",""Other"")))),""Other"")"),"Airtime")</f>
        <v>Airtime</v>
      </c>
      <c r="E1202" s="20">
        <v>200.0</v>
      </c>
      <c r="F1202" s="20">
        <v>0.0</v>
      </c>
      <c r="G1202" s="12" t="str">
        <f t="shared" si="3"/>
        <v>Withdrawal</v>
      </c>
      <c r="H1202" s="12" t="str">
        <f>TEXT(Raw_Data!A1208,"hh:mm:ss")
</f>
        <v>15:41:33</v>
      </c>
      <c r="I1202" s="20">
        <f t="shared" si="4"/>
        <v>200</v>
      </c>
    </row>
    <row r="1203">
      <c r="A1203" s="12" t="str">
        <f>Raw_Data!A1209</f>
        <v>27 Jul 2025 18:16:19</v>
      </c>
      <c r="B1203" s="12" t="str">
        <f t="shared" si="1"/>
        <v>July</v>
      </c>
      <c r="C1203" s="12">
        <f t="shared" si="2"/>
        <v>7</v>
      </c>
      <c r="D1203" s="12" t="str">
        <f>IFERROR(__xludf.DUMMYFUNCTION("IFERROR(IF(REGEXMATCH(LOWER(Raw_Data!C1209),""fixed deposit|owealth|savings|target""),""Fixed Deposit"",IF(REGEXMATCH(LOWER(Raw_Data!C1209),""airtime""),""Airtime"",IF(REGEXMATCH(LOWER(Raw_Data!C1209),""electronic money transfer levy""),""Electronic Money"&amp;" Transfer Levy"",IF(REGEXMATCH(LOWER(Raw_Data!C1209),""transfer|trf|send""),""Transfer"",""Other"")))),""Other"")"),"Transfer")</f>
        <v>Transfer</v>
      </c>
      <c r="E1203" s="20">
        <v>300.0</v>
      </c>
      <c r="F1203" s="20">
        <v>0.0</v>
      </c>
      <c r="G1203" s="12" t="str">
        <f t="shared" si="3"/>
        <v>Withdrawal</v>
      </c>
      <c r="H1203" s="12" t="str">
        <f>TEXT(Raw_Data!A1209,"hh:mm:ss")
</f>
        <v>18:16:19</v>
      </c>
      <c r="I1203" s="20">
        <f t="shared" si="4"/>
        <v>300</v>
      </c>
    </row>
    <row r="1204">
      <c r="A1204" s="12" t="str">
        <f>Raw_Data!A1210</f>
        <v>28 Jul 2025 16:09:58</v>
      </c>
      <c r="B1204" s="12" t="str">
        <f t="shared" si="1"/>
        <v>July</v>
      </c>
      <c r="C1204" s="12">
        <f t="shared" si="2"/>
        <v>7</v>
      </c>
      <c r="D1204" s="12" t="str">
        <f>IFERROR(__xludf.DUMMYFUNCTION("IFERROR(IF(REGEXMATCH(LOWER(Raw_Data!C1210),""fixed deposit|owealth|savings|target""),""Fixed Deposit"",IF(REGEXMATCH(LOWER(Raw_Data!C1210),""airtime""),""Airtime"",IF(REGEXMATCH(LOWER(Raw_Data!C1210),""electronic money transfer levy""),""Electronic Money"&amp;" Transfer Levy"",IF(REGEXMATCH(LOWER(Raw_Data!C1210),""transfer|trf|send""),""Transfer"",""Other"")))),""Other"")"),"Transfer")</f>
        <v>Transfer</v>
      </c>
      <c r="E1204" s="20">
        <v>300.0</v>
      </c>
      <c r="F1204" s="20">
        <v>0.0</v>
      </c>
      <c r="G1204" s="12" t="str">
        <f t="shared" si="3"/>
        <v>Withdrawal</v>
      </c>
      <c r="H1204" s="12" t="str">
        <f>TEXT(Raw_Data!A1210,"hh:mm:ss")
</f>
        <v>16:09:58</v>
      </c>
      <c r="I1204" s="20">
        <f t="shared" si="4"/>
        <v>300</v>
      </c>
    </row>
    <row r="1205">
      <c r="A1205" s="12" t="str">
        <f>Raw_Data!A1211</f>
        <v>29 Jul 2025 14:20:48</v>
      </c>
      <c r="B1205" s="12" t="str">
        <f t="shared" si="1"/>
        <v>July</v>
      </c>
      <c r="C1205" s="12">
        <f t="shared" si="2"/>
        <v>7</v>
      </c>
      <c r="D1205" s="12" t="str">
        <f>IFERROR(__xludf.DUMMYFUNCTION("IFERROR(IF(REGEXMATCH(LOWER(Raw_Data!C1211),""fixed deposit|owealth|savings|target""),""Fixed Deposit"",IF(REGEXMATCH(LOWER(Raw_Data!C1211),""airtime""),""Airtime"",IF(REGEXMATCH(LOWER(Raw_Data!C1211),""electronic money transfer levy""),""Electronic Money"&amp;" Transfer Levy"",IF(REGEXMATCH(LOWER(Raw_Data!C1211),""transfer|trf|send""),""Transfer"",""Other"")))),""Other"")"),"Transfer")</f>
        <v>Transfer</v>
      </c>
      <c r="E1205" s="20">
        <v>0.0</v>
      </c>
      <c r="F1205" s="20">
        <v>1500.0</v>
      </c>
      <c r="G1205" s="12" t="str">
        <f t="shared" si="3"/>
        <v>Deposit</v>
      </c>
      <c r="H1205" s="12" t="str">
        <f>TEXT(Raw_Data!A1211,"hh:mm:ss")
</f>
        <v>14:20:48</v>
      </c>
      <c r="I1205" s="20">
        <f t="shared" si="4"/>
        <v>1500</v>
      </c>
    </row>
    <row r="1206">
      <c r="A1206" s="12" t="str">
        <f>Raw_Data!A1212</f>
        <v>29 Jul 2025 14:29:03</v>
      </c>
      <c r="B1206" s="12" t="str">
        <f t="shared" si="1"/>
        <v>July</v>
      </c>
      <c r="C1206" s="12">
        <f t="shared" si="2"/>
        <v>7</v>
      </c>
      <c r="D1206" s="12" t="str">
        <f>IFERROR(__xludf.DUMMYFUNCTION("IFERROR(IF(REGEXMATCH(LOWER(Raw_Data!C1212),""fixed deposit|owealth|savings|target""),""Fixed Deposit"",IF(REGEXMATCH(LOWER(Raw_Data!C1212),""airtime""),""Airtime"",IF(REGEXMATCH(LOWER(Raw_Data!C1212),""electronic money transfer levy""),""Electronic Money"&amp;" Transfer Levy"",IF(REGEXMATCH(LOWER(Raw_Data!C1212),""transfer|trf|send""),""Transfer"",""Other"")))),""Other"")"),"Transfer")</f>
        <v>Transfer</v>
      </c>
      <c r="E1206" s="20">
        <v>960.0</v>
      </c>
      <c r="F1206" s="20">
        <v>0.0</v>
      </c>
      <c r="G1206" s="12" t="str">
        <f t="shared" si="3"/>
        <v>Withdrawal</v>
      </c>
      <c r="H1206" s="12" t="str">
        <f>TEXT(Raw_Data!A1212,"hh:mm:ss")
</f>
        <v>14:29:03</v>
      </c>
      <c r="I1206" s="20">
        <f t="shared" si="4"/>
        <v>960</v>
      </c>
    </row>
    <row r="1207">
      <c r="A1207" s="12" t="str">
        <f>Raw_Data!A1213</f>
        <v>29 Jul 2025 14:34:18</v>
      </c>
      <c r="B1207" s="12" t="str">
        <f t="shared" si="1"/>
        <v>July</v>
      </c>
      <c r="C1207" s="12">
        <f t="shared" si="2"/>
        <v>7</v>
      </c>
      <c r="D1207" s="12" t="str">
        <f>IFERROR(__xludf.DUMMYFUNCTION("IFERROR(IF(REGEXMATCH(LOWER(Raw_Data!C1213),""fixed deposit|owealth|savings|target""),""Fixed Deposit"",IF(REGEXMATCH(LOWER(Raw_Data!C1213),""airtime""),""Airtime"",IF(REGEXMATCH(LOWER(Raw_Data!C1213),""electronic money transfer levy""),""Electronic Money"&amp;" Transfer Levy"",IF(REGEXMATCH(LOWER(Raw_Data!C1213),""transfer|trf|send""),""Transfer"",""Other"")))),""Other"")"),"Transfer")</f>
        <v>Transfer</v>
      </c>
      <c r="E1207" s="20">
        <v>240.0</v>
      </c>
      <c r="F1207" s="20">
        <v>0.0</v>
      </c>
      <c r="G1207" s="12" t="str">
        <f t="shared" si="3"/>
        <v>Withdrawal</v>
      </c>
      <c r="H1207" s="12" t="str">
        <f>TEXT(Raw_Data!A1213,"hh:mm:ss")
</f>
        <v>14:34:18</v>
      </c>
      <c r="I1207" s="20">
        <f t="shared" si="4"/>
        <v>240</v>
      </c>
    </row>
    <row r="1208">
      <c r="A1208" s="12" t="str">
        <f>Raw_Data!A1214</f>
        <v>29 Jul 2025 18:23:20</v>
      </c>
      <c r="B1208" s="12" t="str">
        <f t="shared" si="1"/>
        <v>July</v>
      </c>
      <c r="C1208" s="12">
        <f t="shared" si="2"/>
        <v>7</v>
      </c>
      <c r="D1208" s="12" t="str">
        <f>IFERROR(__xludf.DUMMYFUNCTION("IFERROR(IF(REGEXMATCH(LOWER(Raw_Data!C1214),""fixed deposit|owealth|savings|target""),""Fixed Deposit"",IF(REGEXMATCH(LOWER(Raw_Data!C1214),""airtime""),""Airtime"",IF(REGEXMATCH(LOWER(Raw_Data!C1214),""electronic money transfer levy""),""Electronic Money"&amp;" Transfer Levy"",IF(REGEXMATCH(LOWER(Raw_Data!C1214),""transfer|trf|send""),""Transfer"",""Other"")))),""Other"")"),"Transfer")</f>
        <v>Transfer</v>
      </c>
      <c r="E1208" s="20">
        <v>0.0</v>
      </c>
      <c r="F1208" s="20">
        <v>1500.0</v>
      </c>
      <c r="G1208" s="12" t="str">
        <f t="shared" si="3"/>
        <v>Deposit</v>
      </c>
      <c r="H1208" s="12" t="str">
        <f>TEXT(Raw_Data!A1214,"hh:mm:ss")
</f>
        <v>18:23:20</v>
      </c>
      <c r="I1208" s="20">
        <f t="shared" si="4"/>
        <v>1500</v>
      </c>
    </row>
    <row r="1209">
      <c r="A1209" s="12" t="str">
        <f>Raw_Data!A1215</f>
        <v>29 Jul 2025 20:01:20</v>
      </c>
      <c r="B1209" s="12" t="str">
        <f t="shared" si="1"/>
        <v>July</v>
      </c>
      <c r="C1209" s="12">
        <f t="shared" si="2"/>
        <v>7</v>
      </c>
      <c r="D1209" s="12" t="str">
        <f>IFERROR(__xludf.DUMMYFUNCTION("IFERROR(IF(REGEXMATCH(LOWER(Raw_Data!C1215),""fixed deposit|owealth|savings|target""),""Fixed Deposit"",IF(REGEXMATCH(LOWER(Raw_Data!C1215),""airtime""),""Airtime"",IF(REGEXMATCH(LOWER(Raw_Data!C1215),""electronic money transfer levy""),""Electronic Money"&amp;" Transfer Levy"",IF(REGEXMATCH(LOWER(Raw_Data!C1215),""transfer|trf|send""),""Transfer"",""Other"")))),""Other"")"),"Transfer")</f>
        <v>Transfer</v>
      </c>
      <c r="E1209" s="20">
        <v>1700.0</v>
      </c>
      <c r="F1209" s="20">
        <v>0.0</v>
      </c>
      <c r="G1209" s="12" t="str">
        <f t="shared" si="3"/>
        <v>Withdrawal</v>
      </c>
      <c r="H1209" s="12" t="str">
        <f>TEXT(Raw_Data!A1215,"hh:mm:ss")
</f>
        <v>20:01:20</v>
      </c>
      <c r="I1209" s="20">
        <f t="shared" si="4"/>
        <v>1700</v>
      </c>
    </row>
    <row r="1210">
      <c r="A1210" s="12" t="str">
        <f>Raw_Data!A1216</f>
        <v>30 Jul 2025 12:09:46</v>
      </c>
      <c r="B1210" s="12" t="str">
        <f t="shared" si="1"/>
        <v>July</v>
      </c>
      <c r="C1210" s="12">
        <f t="shared" si="2"/>
        <v>7</v>
      </c>
      <c r="D1210" s="12" t="str">
        <f>IFERROR(__xludf.DUMMYFUNCTION("IFERROR(IF(REGEXMATCH(LOWER(Raw_Data!C1216),""fixed deposit|owealth|savings|target""),""Fixed Deposit"",IF(REGEXMATCH(LOWER(Raw_Data!C1216),""airtime""),""Airtime"",IF(REGEXMATCH(LOWER(Raw_Data!C1216),""electronic money transfer levy""),""Electronic Money"&amp;" Transfer Levy"",IF(REGEXMATCH(LOWER(Raw_Data!C1216),""transfer|trf|send""),""Transfer"",""Other"")))),""Other"")"),"Transfer")</f>
        <v>Transfer</v>
      </c>
      <c r="E1210" s="20">
        <v>200.0</v>
      </c>
      <c r="F1210" s="20">
        <v>0.0</v>
      </c>
      <c r="G1210" s="12" t="str">
        <f t="shared" si="3"/>
        <v>Withdrawal</v>
      </c>
      <c r="H1210" s="12" t="str">
        <f>TEXT(Raw_Data!A1216,"hh:mm:ss")
</f>
        <v>12:09:46</v>
      </c>
      <c r="I1210" s="20">
        <f t="shared" si="4"/>
        <v>200</v>
      </c>
    </row>
    <row r="1211">
      <c r="A1211" s="12" t="str">
        <f>Raw_Data!A1217</f>
        <v>02 Aug 2025 09:25:33</v>
      </c>
      <c r="B1211" s="12" t="str">
        <f t="shared" si="1"/>
        <v>August</v>
      </c>
      <c r="C1211" s="12">
        <f t="shared" si="2"/>
        <v>8</v>
      </c>
      <c r="D1211" s="12" t="str">
        <f>IFERROR(__xludf.DUMMYFUNCTION("IFERROR(IF(REGEXMATCH(LOWER(Raw_Data!C1217),""fixed deposit|owealth|savings|target""),""Fixed Deposit"",IF(REGEXMATCH(LOWER(Raw_Data!C1217),""airtime""),""Airtime"",IF(REGEXMATCH(LOWER(Raw_Data!C1217),""electronic money transfer levy""),""Electronic Money"&amp;" Transfer Levy"",IF(REGEXMATCH(LOWER(Raw_Data!C1217),""transfer|trf|send""),""Transfer"",""Other"")))),""Other"")"),"Transfer")</f>
        <v>Transfer</v>
      </c>
      <c r="E1211" s="20">
        <v>0.0</v>
      </c>
      <c r="F1211" s="20">
        <v>7000.0</v>
      </c>
      <c r="G1211" s="12" t="str">
        <f t="shared" si="3"/>
        <v>Deposit</v>
      </c>
      <c r="H1211" s="12" t="str">
        <f>TEXT(Raw_Data!A1217,"hh:mm:ss")
</f>
        <v>09:25:33</v>
      </c>
      <c r="I1211" s="20">
        <f t="shared" si="4"/>
        <v>7000</v>
      </c>
    </row>
    <row r="1212">
      <c r="A1212" s="12" t="str">
        <f>Raw_Data!A1218</f>
        <v>02 Aug 2025 10:04:11</v>
      </c>
      <c r="B1212" s="12" t="str">
        <f t="shared" si="1"/>
        <v>August</v>
      </c>
      <c r="C1212" s="12">
        <f t="shared" si="2"/>
        <v>8</v>
      </c>
      <c r="D1212" s="12" t="str">
        <f>IFERROR(__xludf.DUMMYFUNCTION("IFERROR(IF(REGEXMATCH(LOWER(Raw_Data!C1218),""fixed deposit|owealth|savings|target""),""Fixed Deposit"",IF(REGEXMATCH(LOWER(Raw_Data!C1218),""airtime""),""Airtime"",IF(REGEXMATCH(LOWER(Raw_Data!C1218),""electronic money transfer levy""),""Electronic Money"&amp;" Transfer Levy"",IF(REGEXMATCH(LOWER(Raw_Data!C1218),""transfer|trf|send""),""Transfer"",""Other"")))),""Other"")"),"Transfer")</f>
        <v>Transfer</v>
      </c>
      <c r="E1212" s="20">
        <v>1300.0</v>
      </c>
      <c r="F1212" s="20">
        <v>0.0</v>
      </c>
      <c r="G1212" s="12" t="str">
        <f t="shared" si="3"/>
        <v>Withdrawal</v>
      </c>
      <c r="H1212" s="12" t="str">
        <f>TEXT(Raw_Data!A1218,"hh:mm:ss")
</f>
        <v>10:04:11</v>
      </c>
      <c r="I1212" s="20">
        <f t="shared" si="4"/>
        <v>1300</v>
      </c>
    </row>
    <row r="1213">
      <c r="A1213" s="12" t="str">
        <f>Raw_Data!A1219</f>
        <v>02 Aug 2025 18:21:38</v>
      </c>
      <c r="B1213" s="12" t="str">
        <f t="shared" si="1"/>
        <v>August</v>
      </c>
      <c r="C1213" s="12">
        <f t="shared" si="2"/>
        <v>8</v>
      </c>
      <c r="D1213" s="12" t="str">
        <f>IFERROR(__xludf.DUMMYFUNCTION("IFERROR(IF(REGEXMATCH(LOWER(Raw_Data!C1219),""fixed deposit|owealth|savings|target""),""Fixed Deposit"",IF(REGEXMATCH(LOWER(Raw_Data!C1219),""airtime""),""Airtime"",IF(REGEXMATCH(LOWER(Raw_Data!C1219),""electronic money transfer levy""),""Electronic Money"&amp;" Transfer Levy"",IF(REGEXMATCH(LOWER(Raw_Data!C1219),""transfer|trf|send""),""Transfer"",""Other"")))),""Other"")"),"Transfer")</f>
        <v>Transfer</v>
      </c>
      <c r="E1213" s="20">
        <v>2200.0</v>
      </c>
      <c r="F1213" s="20">
        <v>0.0</v>
      </c>
      <c r="G1213" s="12" t="str">
        <f t="shared" si="3"/>
        <v>Withdrawal</v>
      </c>
      <c r="H1213" s="12" t="str">
        <f>TEXT(Raw_Data!A1219,"hh:mm:ss")
</f>
        <v>18:21:38</v>
      </c>
      <c r="I1213" s="20">
        <f t="shared" si="4"/>
        <v>2200</v>
      </c>
    </row>
    <row r="1214">
      <c r="A1214" s="12" t="str">
        <f>Raw_Data!A1220</f>
        <v>02 Aug 2025 20:25:42</v>
      </c>
      <c r="B1214" s="12" t="str">
        <f t="shared" si="1"/>
        <v>August</v>
      </c>
      <c r="C1214" s="12">
        <f t="shared" si="2"/>
        <v>8</v>
      </c>
      <c r="D1214" s="12" t="str">
        <f>IFERROR(__xludf.DUMMYFUNCTION("IFERROR(IF(REGEXMATCH(LOWER(Raw_Data!C1220),""fixed deposit|owealth|savings|target""),""Fixed Deposit"",IF(REGEXMATCH(LOWER(Raw_Data!C1220),""airtime""),""Airtime"",IF(REGEXMATCH(LOWER(Raw_Data!C1220),""electronic money transfer levy""),""Electronic Money"&amp;" Transfer Levy"",IF(REGEXMATCH(LOWER(Raw_Data!C1220),""transfer|trf|send""),""Transfer"",""Other"")))),""Other"")"),"Airtime")</f>
        <v>Airtime</v>
      </c>
      <c r="E1214" s="20">
        <v>300.0</v>
      </c>
      <c r="F1214" s="20">
        <v>0.0</v>
      </c>
      <c r="G1214" s="12" t="str">
        <f t="shared" si="3"/>
        <v>Withdrawal</v>
      </c>
      <c r="H1214" s="12" t="str">
        <f>TEXT(Raw_Data!A1220,"hh:mm:ss")
</f>
        <v>20:25:42</v>
      </c>
      <c r="I1214" s="20">
        <f t="shared" si="4"/>
        <v>300</v>
      </c>
    </row>
    <row r="1215">
      <c r="A1215" s="12" t="str">
        <f>Raw_Data!A1221</f>
        <v>02 Aug 2025 23:27:34</v>
      </c>
      <c r="B1215" s="12" t="str">
        <f t="shared" si="1"/>
        <v>August</v>
      </c>
      <c r="C1215" s="12">
        <f t="shared" si="2"/>
        <v>8</v>
      </c>
      <c r="D1215" s="12" t="str">
        <f>IFERROR(__xludf.DUMMYFUNCTION("IFERROR(IF(REGEXMATCH(LOWER(Raw_Data!C1221),""fixed deposit|owealth|savings|target""),""Fixed Deposit"",IF(REGEXMATCH(LOWER(Raw_Data!C1221),""airtime""),""Airtime"",IF(REGEXMATCH(LOWER(Raw_Data!C1221),""electronic money transfer levy""),""Electronic Money"&amp;" Transfer Levy"",IF(REGEXMATCH(LOWER(Raw_Data!C1221),""transfer|trf|send""),""Transfer"",""Other"")))),""Other"")"),"Airtime")</f>
        <v>Airtime</v>
      </c>
      <c r="E1215" s="20">
        <v>200.0</v>
      </c>
      <c r="F1215" s="20">
        <v>0.0</v>
      </c>
      <c r="G1215" s="12" t="str">
        <f t="shared" si="3"/>
        <v>Withdrawal</v>
      </c>
      <c r="H1215" s="12" t="str">
        <f>TEXT(Raw_Data!A1221,"hh:mm:ss")
</f>
        <v>23:27:34</v>
      </c>
      <c r="I1215" s="20">
        <f t="shared" si="4"/>
        <v>200</v>
      </c>
    </row>
    <row r="1216">
      <c r="A1216" s="12" t="str">
        <f>Raw_Data!A1222</f>
        <v>03 Aug 2025 17:46:34</v>
      </c>
      <c r="B1216" s="12" t="str">
        <f t="shared" si="1"/>
        <v>August</v>
      </c>
      <c r="C1216" s="12">
        <f t="shared" si="2"/>
        <v>8</v>
      </c>
      <c r="D1216" s="12" t="str">
        <f>IFERROR(__xludf.DUMMYFUNCTION("IFERROR(IF(REGEXMATCH(LOWER(Raw_Data!C1222),""fixed deposit|owealth|savings|target""),""Fixed Deposit"",IF(REGEXMATCH(LOWER(Raw_Data!C1222),""airtime""),""Airtime"",IF(REGEXMATCH(LOWER(Raw_Data!C1222),""electronic money transfer levy""),""Electronic Money"&amp;" Transfer Levy"",IF(REGEXMATCH(LOWER(Raw_Data!C1222),""transfer|trf|send""),""Transfer"",""Other"")))),""Other"")"),"Transfer")</f>
        <v>Transfer</v>
      </c>
      <c r="E1216" s="20">
        <v>500.0</v>
      </c>
      <c r="F1216" s="20">
        <v>0.0</v>
      </c>
      <c r="G1216" s="12" t="str">
        <f t="shared" si="3"/>
        <v>Withdrawal</v>
      </c>
      <c r="H1216" s="12" t="str">
        <f>TEXT(Raw_Data!A1222,"hh:mm:ss")
</f>
        <v>17:46:34</v>
      </c>
      <c r="I1216" s="20">
        <f t="shared" si="4"/>
        <v>500</v>
      </c>
    </row>
    <row r="1217">
      <c r="A1217" s="12" t="str">
        <f>Raw_Data!A1223</f>
        <v>04 Aug 2025 07:04:00</v>
      </c>
      <c r="B1217" s="12" t="str">
        <f t="shared" si="1"/>
        <v>August</v>
      </c>
      <c r="C1217" s="12">
        <f t="shared" si="2"/>
        <v>8</v>
      </c>
      <c r="D1217" s="12" t="str">
        <f>IFERROR(__xludf.DUMMYFUNCTION("IFERROR(IF(REGEXMATCH(LOWER(Raw_Data!C1223),""fixed deposit|owealth|savings|target""),""Fixed Deposit"",IF(REGEXMATCH(LOWER(Raw_Data!C1223),""airtime""),""Airtime"",IF(REGEXMATCH(LOWER(Raw_Data!C1223),""electronic money transfer levy""),""Electronic Money"&amp;" Transfer Levy"",IF(REGEXMATCH(LOWER(Raw_Data!C1223),""transfer|trf|send""),""Transfer"",""Other"")))),""Other"")"),"Transfer")</f>
        <v>Transfer</v>
      </c>
      <c r="E1217" s="20">
        <v>0.0</v>
      </c>
      <c r="F1217" s="20">
        <v>24500.0</v>
      </c>
      <c r="G1217" s="12" t="str">
        <f t="shared" si="3"/>
        <v>Deposit</v>
      </c>
      <c r="H1217" s="12" t="str">
        <f>TEXT(Raw_Data!A1223,"hh:mm:ss")
</f>
        <v>07:04:00</v>
      </c>
      <c r="I1217" s="20">
        <f t="shared" si="4"/>
        <v>24500</v>
      </c>
    </row>
    <row r="1218">
      <c r="A1218" s="12" t="str">
        <f>Raw_Data!A1224</f>
        <v>04 Aug 2025 07:04:02</v>
      </c>
      <c r="B1218" s="12" t="str">
        <f t="shared" si="1"/>
        <v>August</v>
      </c>
      <c r="C1218" s="12">
        <f t="shared" si="2"/>
        <v>8</v>
      </c>
      <c r="D1218" s="12" t="str">
        <f>IFERROR(__xludf.DUMMYFUNCTION("IFERROR(IF(REGEXMATCH(LOWER(Raw_Data!C1224),""fixed deposit|owealth|savings|target""),""Fixed Deposit"",IF(REGEXMATCH(LOWER(Raw_Data!C1224),""airtime""),""Airtime"",IF(REGEXMATCH(LOWER(Raw_Data!C1224),""electronic money transfer levy""),""Electronic Money"&amp;" Transfer Levy"",IF(REGEXMATCH(LOWER(Raw_Data!C1224),""transfer|trf|send""),""Transfer"",""Other"")))),""Other"")"),"Electronic Money Transfer Levy")</f>
        <v>Electronic Money Transfer Levy</v>
      </c>
      <c r="E1218" s="20">
        <v>50.0</v>
      </c>
      <c r="F1218" s="20">
        <v>0.0</v>
      </c>
      <c r="G1218" s="12" t="str">
        <f t="shared" si="3"/>
        <v>Withdrawal</v>
      </c>
      <c r="H1218" s="12" t="str">
        <f>TEXT(Raw_Data!A1224,"hh:mm:ss")
</f>
        <v>07:04:02</v>
      </c>
      <c r="I1218" s="20">
        <f t="shared" si="4"/>
        <v>50</v>
      </c>
    </row>
    <row r="1219">
      <c r="A1219" s="12" t="str">
        <f>Raw_Data!A1225</f>
        <v>04 Aug 2025 07:42:45</v>
      </c>
      <c r="B1219" s="12" t="str">
        <f t="shared" si="1"/>
        <v>August</v>
      </c>
      <c r="C1219" s="12">
        <f t="shared" si="2"/>
        <v>8</v>
      </c>
      <c r="D1219" s="12" t="str">
        <f>IFERROR(__xludf.DUMMYFUNCTION("IFERROR(IF(REGEXMATCH(LOWER(Raw_Data!C1225),""fixed deposit|owealth|savings|target""),""Fixed Deposit"",IF(REGEXMATCH(LOWER(Raw_Data!C1225),""airtime""),""Airtime"",IF(REGEXMATCH(LOWER(Raw_Data!C1225),""electronic money transfer levy""),""Electronic Money"&amp;" Transfer Levy"",IF(REGEXMATCH(LOWER(Raw_Data!C1225),""transfer|trf|send""),""Transfer"",""Other"")))),""Other"")"),"Transfer")</f>
        <v>Transfer</v>
      </c>
      <c r="E1219" s="20">
        <v>24000.0</v>
      </c>
      <c r="F1219" s="20">
        <v>0.0</v>
      </c>
      <c r="G1219" s="12" t="str">
        <f t="shared" si="3"/>
        <v>Withdrawal</v>
      </c>
      <c r="H1219" s="12" t="str">
        <f>TEXT(Raw_Data!A1225,"hh:mm:ss")
</f>
        <v>07:42:45</v>
      </c>
      <c r="I1219" s="20">
        <f t="shared" si="4"/>
        <v>24000</v>
      </c>
    </row>
    <row r="1220">
      <c r="A1220" s="12" t="str">
        <f>Raw_Data!A1226</f>
        <v>05 Aug 2025 04:06:58</v>
      </c>
      <c r="B1220" s="12" t="str">
        <f t="shared" si="1"/>
        <v>August</v>
      </c>
      <c r="C1220" s="12">
        <f t="shared" si="2"/>
        <v>8</v>
      </c>
      <c r="D1220" s="12" t="str">
        <f>IFERROR(__xludf.DUMMYFUNCTION("IFERROR(IF(REGEXMATCH(LOWER(Raw_Data!C1226),""fixed deposit|owealth|savings|target""),""Fixed Deposit"",IF(REGEXMATCH(LOWER(Raw_Data!C1226),""airtime""),""Airtime"",IF(REGEXMATCH(LOWER(Raw_Data!C1226),""electronic money transfer levy""),""Electronic Money"&amp;" Transfer Levy"",IF(REGEXMATCH(LOWER(Raw_Data!C1226),""transfer|trf|send""),""Transfer"",""Other"")))),""Other"")"),"Airtime")</f>
        <v>Airtime</v>
      </c>
      <c r="E1220" s="20">
        <v>200.0</v>
      </c>
      <c r="F1220" s="20">
        <v>0.0</v>
      </c>
      <c r="G1220" s="12" t="str">
        <f t="shared" si="3"/>
        <v>Withdrawal</v>
      </c>
      <c r="H1220" s="12" t="str">
        <f>TEXT(Raw_Data!A1226,"hh:mm:ss")
</f>
        <v>04:06:58</v>
      </c>
      <c r="I1220" s="20">
        <f t="shared" si="4"/>
        <v>200</v>
      </c>
    </row>
    <row r="1221">
      <c r="A1221" s="12" t="str">
        <f>Raw_Data!A1227</f>
        <v>05 Aug 2025 09:35:52</v>
      </c>
      <c r="B1221" s="12" t="str">
        <f t="shared" si="1"/>
        <v>August</v>
      </c>
      <c r="C1221" s="12">
        <f t="shared" si="2"/>
        <v>8</v>
      </c>
      <c r="D1221" s="12" t="str">
        <f>IFERROR(__xludf.DUMMYFUNCTION("IFERROR(IF(REGEXMATCH(LOWER(Raw_Data!C1227),""fixed deposit|owealth|savings|target""),""Fixed Deposit"",IF(REGEXMATCH(LOWER(Raw_Data!C1227),""airtime""),""Airtime"",IF(REGEXMATCH(LOWER(Raw_Data!C1227),""electronic money transfer levy""),""Electronic Money"&amp;" Transfer Levy"",IF(REGEXMATCH(LOWER(Raw_Data!C1227),""transfer|trf|send""),""Transfer"",""Other"")))),""Other"")"),"Transfer")</f>
        <v>Transfer</v>
      </c>
      <c r="E1221" s="20">
        <v>750.0</v>
      </c>
      <c r="F1221" s="20">
        <v>0.0</v>
      </c>
      <c r="G1221" s="12" t="str">
        <f t="shared" si="3"/>
        <v>Withdrawal</v>
      </c>
      <c r="H1221" s="12" t="str">
        <f>TEXT(Raw_Data!A1227,"hh:mm:ss")
</f>
        <v>09:35:52</v>
      </c>
      <c r="I1221" s="20">
        <f t="shared" si="4"/>
        <v>750</v>
      </c>
    </row>
    <row r="1222">
      <c r="A1222" s="12" t="str">
        <f>Raw_Data!A1228</f>
        <v>06 Aug 2025 08:49:02</v>
      </c>
      <c r="B1222" s="12" t="str">
        <f t="shared" si="1"/>
        <v>August</v>
      </c>
      <c r="C1222" s="12">
        <f t="shared" si="2"/>
        <v>8</v>
      </c>
      <c r="D1222" s="12" t="str">
        <f>IFERROR(__xludf.DUMMYFUNCTION("IFERROR(IF(REGEXMATCH(LOWER(Raw_Data!C1228),""fixed deposit|owealth|savings|target""),""Fixed Deposit"",IF(REGEXMATCH(LOWER(Raw_Data!C1228),""airtime""),""Airtime"",IF(REGEXMATCH(LOWER(Raw_Data!C1228),""electronic money transfer levy""),""Electronic Money"&amp;" Transfer Levy"",IF(REGEXMATCH(LOWER(Raw_Data!C1228),""transfer|trf|send""),""Transfer"",""Other"")))),""Other"")"),"Transfer")</f>
        <v>Transfer</v>
      </c>
      <c r="E1222" s="20">
        <v>500.0</v>
      </c>
      <c r="F1222" s="20">
        <v>0.0</v>
      </c>
      <c r="G1222" s="12" t="str">
        <f t="shared" si="3"/>
        <v>Withdrawal</v>
      </c>
      <c r="H1222" s="12" t="str">
        <f>TEXT(Raw_Data!A1228,"hh:mm:ss")
</f>
        <v>08:49:02</v>
      </c>
      <c r="I1222" s="20">
        <f t="shared" si="4"/>
        <v>500</v>
      </c>
    </row>
    <row r="1223">
      <c r="A1223" s="12" t="str">
        <f>Raw_Data!A1229</f>
        <v>06 Aug 2025 09:48:46</v>
      </c>
      <c r="B1223" s="12" t="str">
        <f t="shared" si="1"/>
        <v>August</v>
      </c>
      <c r="C1223" s="12">
        <f t="shared" si="2"/>
        <v>8</v>
      </c>
      <c r="D1223" s="12" t="str">
        <f>IFERROR(__xludf.DUMMYFUNCTION("IFERROR(IF(REGEXMATCH(LOWER(Raw_Data!C1229),""fixed deposit|owealth|savings|target""),""Fixed Deposit"",IF(REGEXMATCH(LOWER(Raw_Data!C1229),""airtime""),""Airtime"",IF(REGEXMATCH(LOWER(Raw_Data!C1229),""electronic money transfer levy""),""Electronic Money"&amp;" Transfer Levy"",IF(REGEXMATCH(LOWER(Raw_Data!C1229),""transfer|trf|send""),""Transfer"",""Other"")))),""Other"")"),"Airtime")</f>
        <v>Airtime</v>
      </c>
      <c r="E1223" s="20">
        <v>200.0</v>
      </c>
      <c r="F1223" s="20">
        <v>0.0</v>
      </c>
      <c r="G1223" s="12" t="str">
        <f t="shared" si="3"/>
        <v>Withdrawal</v>
      </c>
      <c r="H1223" s="12" t="str">
        <f>TEXT(Raw_Data!A1229,"hh:mm:ss")
</f>
        <v>09:48:46</v>
      </c>
      <c r="I1223" s="20">
        <f t="shared" si="4"/>
        <v>200</v>
      </c>
    </row>
    <row r="1224">
      <c r="A1224" s="12" t="str">
        <f>Raw_Data!A1230</f>
        <v>07 Aug 2025 08:41:16</v>
      </c>
      <c r="B1224" s="12" t="str">
        <f t="shared" si="1"/>
        <v>August</v>
      </c>
      <c r="C1224" s="12">
        <f t="shared" si="2"/>
        <v>8</v>
      </c>
      <c r="D1224" s="12" t="str">
        <f>IFERROR(__xludf.DUMMYFUNCTION("IFERROR(IF(REGEXMATCH(LOWER(Raw_Data!C1230),""fixed deposit|owealth|savings|target""),""Fixed Deposit"",IF(REGEXMATCH(LOWER(Raw_Data!C1230),""airtime""),""Airtime"",IF(REGEXMATCH(LOWER(Raw_Data!C1230),""electronic money transfer levy""),""Electronic Money"&amp;" Transfer Levy"",IF(REGEXMATCH(LOWER(Raw_Data!C1230),""transfer|trf|send""),""Transfer"",""Other"")))),""Other"")"),"Airtime")</f>
        <v>Airtime</v>
      </c>
      <c r="E1224" s="20">
        <v>200.0</v>
      </c>
      <c r="F1224" s="20">
        <v>0.0</v>
      </c>
      <c r="G1224" s="12" t="str">
        <f t="shared" si="3"/>
        <v>Withdrawal</v>
      </c>
      <c r="H1224" s="12" t="str">
        <f>TEXT(Raw_Data!A1230,"hh:mm:ss")
</f>
        <v>08:41:16</v>
      </c>
      <c r="I1224" s="20">
        <f t="shared" si="4"/>
        <v>200</v>
      </c>
    </row>
    <row r="1225">
      <c r="A1225" s="12" t="str">
        <f>Raw_Data!A1231</f>
        <v>07 Aug 2025 19:09:29</v>
      </c>
      <c r="B1225" s="12" t="str">
        <f t="shared" si="1"/>
        <v>August</v>
      </c>
      <c r="C1225" s="12">
        <f t="shared" si="2"/>
        <v>8</v>
      </c>
      <c r="D1225" s="12" t="str">
        <f>IFERROR(__xludf.DUMMYFUNCTION("IFERROR(IF(REGEXMATCH(LOWER(Raw_Data!C1231),""fixed deposit|owealth|savings|target""),""Fixed Deposit"",IF(REGEXMATCH(LOWER(Raw_Data!C1231),""airtime""),""Airtime"",IF(REGEXMATCH(LOWER(Raw_Data!C1231),""electronic money transfer levy""),""Electronic Money"&amp;" Transfer Levy"",IF(REGEXMATCH(LOWER(Raw_Data!C1231),""transfer|trf|send""),""Transfer"",""Other"")))),""Other"")"),"Transfer")</f>
        <v>Transfer</v>
      </c>
      <c r="E1225" s="20">
        <v>0.0</v>
      </c>
      <c r="F1225" s="20">
        <v>5000.0</v>
      </c>
      <c r="G1225" s="12" t="str">
        <f t="shared" si="3"/>
        <v>Deposit</v>
      </c>
      <c r="H1225" s="12" t="str">
        <f>TEXT(Raw_Data!A1231,"hh:mm:ss")
</f>
        <v>19:09:29</v>
      </c>
      <c r="I1225" s="20">
        <f t="shared" si="4"/>
        <v>5000</v>
      </c>
    </row>
    <row r="1226">
      <c r="A1226" s="12" t="str">
        <f>Raw_Data!A1232</f>
        <v>07 Aug 2025 19:31:20</v>
      </c>
      <c r="B1226" s="12" t="str">
        <f t="shared" si="1"/>
        <v>August</v>
      </c>
      <c r="C1226" s="12">
        <f t="shared" si="2"/>
        <v>8</v>
      </c>
      <c r="D1226" s="12" t="str">
        <f>IFERROR(__xludf.DUMMYFUNCTION("IFERROR(IF(REGEXMATCH(LOWER(Raw_Data!C1232),""fixed deposit|owealth|savings|target""),""Fixed Deposit"",IF(REGEXMATCH(LOWER(Raw_Data!C1232),""airtime""),""Airtime"",IF(REGEXMATCH(LOWER(Raw_Data!C1232),""electronic money transfer levy""),""Electronic Money"&amp;" Transfer Levy"",IF(REGEXMATCH(LOWER(Raw_Data!C1232),""transfer|trf|send""),""Transfer"",""Other"")))),""Other"")"),"Airtime")</f>
        <v>Airtime</v>
      </c>
      <c r="E1226" s="20">
        <v>500.0</v>
      </c>
      <c r="F1226" s="20">
        <v>0.0</v>
      </c>
      <c r="G1226" s="12" t="str">
        <f t="shared" si="3"/>
        <v>Withdrawal</v>
      </c>
      <c r="H1226" s="12" t="str">
        <f>TEXT(Raw_Data!A1232,"hh:mm:ss")
</f>
        <v>19:31:20</v>
      </c>
      <c r="I1226" s="20">
        <f t="shared" si="4"/>
        <v>500</v>
      </c>
    </row>
    <row r="1227">
      <c r="A1227" s="12" t="str">
        <f>Raw_Data!A1233</f>
        <v>08 Aug 2025 15:36:36</v>
      </c>
      <c r="B1227" s="12" t="str">
        <f t="shared" si="1"/>
        <v>August</v>
      </c>
      <c r="C1227" s="12">
        <f t="shared" si="2"/>
        <v>8</v>
      </c>
      <c r="D1227" s="12" t="str">
        <f>IFERROR(__xludf.DUMMYFUNCTION("IFERROR(IF(REGEXMATCH(LOWER(Raw_Data!C1233),""fixed deposit|owealth|savings|target""),""Fixed Deposit"",IF(REGEXMATCH(LOWER(Raw_Data!C1233),""airtime""),""Airtime"",IF(REGEXMATCH(LOWER(Raw_Data!C1233),""electronic money transfer levy""),""Electronic Money"&amp;" Transfer Levy"",IF(REGEXMATCH(LOWER(Raw_Data!C1233),""transfer|trf|send""),""Transfer"",""Other"")))),""Other"")"),"Transfer")</f>
        <v>Transfer</v>
      </c>
      <c r="E1227" s="20">
        <v>1200.0</v>
      </c>
      <c r="F1227" s="20">
        <v>0.0</v>
      </c>
      <c r="G1227" s="12" t="str">
        <f t="shared" si="3"/>
        <v>Withdrawal</v>
      </c>
      <c r="H1227" s="12" t="str">
        <f>TEXT(Raw_Data!A1233,"hh:mm:ss")
</f>
        <v>15:36:36</v>
      </c>
      <c r="I1227" s="20">
        <f t="shared" si="4"/>
        <v>1200</v>
      </c>
    </row>
    <row r="1228">
      <c r="A1228" s="12" t="str">
        <f>Raw_Data!A1234</f>
        <v>08 Aug 2025 15:44:28</v>
      </c>
      <c r="B1228" s="12" t="str">
        <f t="shared" si="1"/>
        <v>August</v>
      </c>
      <c r="C1228" s="12">
        <f t="shared" si="2"/>
        <v>8</v>
      </c>
      <c r="D1228" s="12" t="str">
        <f>IFERROR(__xludf.DUMMYFUNCTION("IFERROR(IF(REGEXMATCH(LOWER(Raw_Data!C1234),""fixed deposit|owealth|savings|target""),""Fixed Deposit"",IF(REGEXMATCH(LOWER(Raw_Data!C1234),""airtime""),""Airtime"",IF(REGEXMATCH(LOWER(Raw_Data!C1234),""electronic money transfer levy""),""Electronic Money"&amp;" Transfer Levy"",IF(REGEXMATCH(LOWER(Raw_Data!C1234),""transfer|trf|send""),""Transfer"",""Other"")))),""Other"")"),"Transfer")</f>
        <v>Transfer</v>
      </c>
      <c r="E1228" s="20">
        <v>0.0</v>
      </c>
      <c r="F1228" s="20">
        <v>10000.0</v>
      </c>
      <c r="G1228" s="12" t="str">
        <f t="shared" si="3"/>
        <v>Deposit</v>
      </c>
      <c r="H1228" s="12" t="str">
        <f>TEXT(Raw_Data!A1234,"hh:mm:ss")
</f>
        <v>15:44:28</v>
      </c>
      <c r="I1228" s="20">
        <f t="shared" si="4"/>
        <v>10000</v>
      </c>
    </row>
    <row r="1229">
      <c r="A1229" s="12" t="str">
        <f>Raw_Data!A1235</f>
        <v>08 Aug 2025 15:44:30</v>
      </c>
      <c r="B1229" s="12" t="str">
        <f t="shared" si="1"/>
        <v>August</v>
      </c>
      <c r="C1229" s="12">
        <f t="shared" si="2"/>
        <v>8</v>
      </c>
      <c r="D1229" s="12" t="str">
        <f>IFERROR(__xludf.DUMMYFUNCTION("IFERROR(IF(REGEXMATCH(LOWER(Raw_Data!C1235),""fixed deposit|owealth|savings|target""),""Fixed Deposit"",IF(REGEXMATCH(LOWER(Raw_Data!C1235),""airtime""),""Airtime"",IF(REGEXMATCH(LOWER(Raw_Data!C1235),""electronic money transfer levy""),""Electronic Money"&amp;" Transfer Levy"",IF(REGEXMATCH(LOWER(Raw_Data!C1235),""transfer|trf|send""),""Transfer"",""Other"")))),""Other"")"),"Electronic Money Transfer Levy")</f>
        <v>Electronic Money Transfer Levy</v>
      </c>
      <c r="E1229" s="20">
        <v>50.0</v>
      </c>
      <c r="F1229" s="20">
        <v>0.0</v>
      </c>
      <c r="G1229" s="12" t="str">
        <f t="shared" si="3"/>
        <v>Withdrawal</v>
      </c>
      <c r="H1229" s="12" t="str">
        <f>TEXT(Raw_Data!A1235,"hh:mm:ss")
</f>
        <v>15:44:30</v>
      </c>
      <c r="I1229" s="20">
        <f t="shared" si="4"/>
        <v>50</v>
      </c>
    </row>
    <row r="1230">
      <c r="A1230" s="12" t="str">
        <f>Raw_Data!A1236</f>
        <v>08 Aug 2025 16:20:29</v>
      </c>
      <c r="B1230" s="12" t="str">
        <f t="shared" si="1"/>
        <v>August</v>
      </c>
      <c r="C1230" s="12">
        <f t="shared" si="2"/>
        <v>8</v>
      </c>
      <c r="D1230" s="12" t="str">
        <f>IFERROR(__xludf.DUMMYFUNCTION("IFERROR(IF(REGEXMATCH(LOWER(Raw_Data!C1236),""fixed deposit|owealth|savings|target""),""Fixed Deposit"",IF(REGEXMATCH(LOWER(Raw_Data!C1236),""airtime""),""Airtime"",IF(REGEXMATCH(LOWER(Raw_Data!C1236),""electronic money transfer levy""),""Electronic Money"&amp;" Transfer Levy"",IF(REGEXMATCH(LOWER(Raw_Data!C1236),""transfer|trf|send""),""Transfer"",""Other"")))),""Other"")"),"Transfer")</f>
        <v>Transfer</v>
      </c>
      <c r="E1230" s="20">
        <v>800.0</v>
      </c>
      <c r="F1230" s="20">
        <v>0.0</v>
      </c>
      <c r="G1230" s="12" t="str">
        <f t="shared" si="3"/>
        <v>Withdrawal</v>
      </c>
      <c r="H1230" s="12" t="str">
        <f>TEXT(Raw_Data!A1236,"hh:mm:ss")
</f>
        <v>16:20:29</v>
      </c>
      <c r="I1230" s="20">
        <f t="shared" si="4"/>
        <v>800</v>
      </c>
    </row>
    <row r="1231">
      <c r="A1231" s="12" t="str">
        <f>Raw_Data!A1237</f>
        <v>08 Aug 2025 22:15:36</v>
      </c>
      <c r="B1231" s="12" t="str">
        <f t="shared" si="1"/>
        <v>August</v>
      </c>
      <c r="C1231" s="12">
        <f t="shared" si="2"/>
        <v>8</v>
      </c>
      <c r="D1231" s="12" t="str">
        <f>IFERROR(__xludf.DUMMYFUNCTION("IFERROR(IF(REGEXMATCH(LOWER(Raw_Data!C1237),""fixed deposit|owealth|savings|target""),""Fixed Deposit"",IF(REGEXMATCH(LOWER(Raw_Data!C1237),""airtime""),""Airtime"",IF(REGEXMATCH(LOWER(Raw_Data!C1237),""electronic money transfer levy""),""Electronic Money"&amp;" Transfer Levy"",IF(REGEXMATCH(LOWER(Raw_Data!C1237),""transfer|trf|send""),""Transfer"",""Other"")))),""Other"")"),"Transfer")</f>
        <v>Transfer</v>
      </c>
      <c r="E1231" s="20">
        <v>1200.0</v>
      </c>
      <c r="F1231" s="20">
        <v>0.0</v>
      </c>
      <c r="G1231" s="12" t="str">
        <f t="shared" si="3"/>
        <v>Withdrawal</v>
      </c>
      <c r="H1231" s="12" t="str">
        <f>TEXT(Raw_Data!A1237,"hh:mm:ss")
</f>
        <v>22:15:36</v>
      </c>
      <c r="I1231" s="20">
        <f t="shared" si="4"/>
        <v>1200</v>
      </c>
    </row>
    <row r="1232">
      <c r="A1232" s="12" t="str">
        <f>Raw_Data!A1238</f>
        <v>09 Aug 2025 07:32:51</v>
      </c>
      <c r="B1232" s="12" t="str">
        <f t="shared" si="1"/>
        <v>August</v>
      </c>
      <c r="C1232" s="12">
        <f t="shared" si="2"/>
        <v>8</v>
      </c>
      <c r="D1232" s="12" t="str">
        <f>IFERROR(__xludf.DUMMYFUNCTION("IFERROR(IF(REGEXMATCH(LOWER(Raw_Data!C1238),""fixed deposit|owealth|savings|target""),""Fixed Deposit"",IF(REGEXMATCH(LOWER(Raw_Data!C1238),""airtime""),""Airtime"",IF(REGEXMATCH(LOWER(Raw_Data!C1238),""electronic money transfer levy""),""Electronic Money"&amp;" Transfer Levy"",IF(REGEXMATCH(LOWER(Raw_Data!C1238),""transfer|trf|send""),""Transfer"",""Other"")))),""Other"")"),"Transfer")</f>
        <v>Transfer</v>
      </c>
      <c r="E1232" s="20">
        <v>500.0</v>
      </c>
      <c r="F1232" s="20">
        <v>0.0</v>
      </c>
      <c r="G1232" s="12" t="str">
        <f t="shared" si="3"/>
        <v>Withdrawal</v>
      </c>
      <c r="H1232" s="12" t="str">
        <f>TEXT(Raw_Data!A1238,"hh:mm:ss")
</f>
        <v>07:32:51</v>
      </c>
      <c r="I1232" s="20">
        <f t="shared" si="4"/>
        <v>500</v>
      </c>
    </row>
    <row r="1233">
      <c r="A1233" s="12" t="str">
        <f>Raw_Data!A1239</f>
        <v>09 Aug 2025 07:37:53</v>
      </c>
      <c r="B1233" s="12" t="str">
        <f t="shared" si="1"/>
        <v>August</v>
      </c>
      <c r="C1233" s="12">
        <f t="shared" si="2"/>
        <v>8</v>
      </c>
      <c r="D1233" s="12" t="str">
        <f>IFERROR(__xludf.DUMMYFUNCTION("IFERROR(IF(REGEXMATCH(LOWER(Raw_Data!C1239),""fixed deposit|owealth|savings|target""),""Fixed Deposit"",IF(REGEXMATCH(LOWER(Raw_Data!C1239),""airtime""),""Airtime"",IF(REGEXMATCH(LOWER(Raw_Data!C1239),""electronic money transfer levy""),""Electronic Money"&amp;" Transfer Levy"",IF(REGEXMATCH(LOWER(Raw_Data!C1239),""transfer|trf|send""),""Transfer"",""Other"")))),""Other"")"),"Transfer")</f>
        <v>Transfer</v>
      </c>
      <c r="E1233" s="20">
        <v>500.0</v>
      </c>
      <c r="F1233" s="20">
        <v>0.0</v>
      </c>
      <c r="G1233" s="12" t="str">
        <f t="shared" si="3"/>
        <v>Withdrawal</v>
      </c>
      <c r="H1233" s="12" t="str">
        <f>TEXT(Raw_Data!A1239,"hh:mm:ss")
</f>
        <v>07:37:53</v>
      </c>
      <c r="I1233" s="20">
        <f t="shared" si="4"/>
        <v>500</v>
      </c>
    </row>
    <row r="1234">
      <c r="A1234" s="12" t="str">
        <f>Raw_Data!A1240</f>
        <v>09 Aug 2025 09:08:25</v>
      </c>
      <c r="B1234" s="12" t="str">
        <f t="shared" si="1"/>
        <v>August</v>
      </c>
      <c r="C1234" s="12">
        <f t="shared" si="2"/>
        <v>8</v>
      </c>
      <c r="D1234" s="12" t="str">
        <f>IFERROR(__xludf.DUMMYFUNCTION("IFERROR(IF(REGEXMATCH(LOWER(Raw_Data!C1240),""fixed deposit|owealth|savings|target""),""Fixed Deposit"",IF(REGEXMATCH(LOWER(Raw_Data!C1240),""airtime""),""Airtime"",IF(REGEXMATCH(LOWER(Raw_Data!C1240),""electronic money transfer levy""),""Electronic Money"&amp;" Transfer Levy"",IF(REGEXMATCH(LOWER(Raw_Data!C1240),""transfer|trf|send""),""Transfer"",""Other"")))),""Other"")"),"Other")</f>
        <v>Other</v>
      </c>
      <c r="E1234" s="20">
        <v>855.0</v>
      </c>
      <c r="F1234" s="20">
        <v>0.0</v>
      </c>
      <c r="G1234" s="12" t="str">
        <f t="shared" si="3"/>
        <v>Withdrawal</v>
      </c>
      <c r="H1234" s="12" t="str">
        <f>TEXT(Raw_Data!A1240,"hh:mm:ss")
</f>
        <v>09:08:25</v>
      </c>
      <c r="I1234" s="20">
        <f t="shared" si="4"/>
        <v>855</v>
      </c>
    </row>
    <row r="1235">
      <c r="A1235" s="12" t="str">
        <f>Raw_Data!A1241</f>
        <v>09 Aug 2025 14:14:50</v>
      </c>
      <c r="B1235" s="12" t="str">
        <f t="shared" si="1"/>
        <v>August</v>
      </c>
      <c r="C1235" s="12">
        <f t="shared" si="2"/>
        <v>8</v>
      </c>
      <c r="D1235" s="12" t="str">
        <f>IFERROR(__xludf.DUMMYFUNCTION("IFERROR(IF(REGEXMATCH(LOWER(Raw_Data!C1241),""fixed deposit|owealth|savings|target""),""Fixed Deposit"",IF(REGEXMATCH(LOWER(Raw_Data!C1241),""airtime""),""Airtime"",IF(REGEXMATCH(LOWER(Raw_Data!C1241),""electronic money transfer levy""),""Electronic Money"&amp;" Transfer Levy"",IF(REGEXMATCH(LOWER(Raw_Data!C1241),""transfer|trf|send""),""Transfer"",""Other"")))),""Other"")"),"Other")</f>
        <v>Other</v>
      </c>
      <c r="E1235" s="20">
        <v>855.0</v>
      </c>
      <c r="F1235" s="20">
        <v>0.0</v>
      </c>
      <c r="G1235" s="12" t="str">
        <f t="shared" si="3"/>
        <v>Withdrawal</v>
      </c>
      <c r="H1235" s="12" t="str">
        <f>TEXT(Raw_Data!A1241,"hh:mm:ss")
</f>
        <v>14:14:50</v>
      </c>
      <c r="I1235" s="20">
        <f t="shared" si="4"/>
        <v>855</v>
      </c>
    </row>
    <row r="1236">
      <c r="A1236" s="12" t="str">
        <f>Raw_Data!A1242</f>
        <v>09 Aug 2025 15:54:43</v>
      </c>
      <c r="B1236" s="12" t="str">
        <f t="shared" si="1"/>
        <v>August</v>
      </c>
      <c r="C1236" s="12">
        <f t="shared" si="2"/>
        <v>8</v>
      </c>
      <c r="D1236" s="12" t="str">
        <f>IFERROR(__xludf.DUMMYFUNCTION("IFERROR(IF(REGEXMATCH(LOWER(Raw_Data!C1242),""fixed deposit|owealth|savings|target""),""Fixed Deposit"",IF(REGEXMATCH(LOWER(Raw_Data!C1242),""airtime""),""Airtime"",IF(REGEXMATCH(LOWER(Raw_Data!C1242),""electronic money transfer levy""),""Electronic Money"&amp;" Transfer Levy"",IF(REGEXMATCH(LOWER(Raw_Data!C1242),""transfer|trf|send""),""Transfer"",""Other"")))),""Other"")"),"Transfer")</f>
        <v>Transfer</v>
      </c>
      <c r="E1236" s="20">
        <v>2300.0</v>
      </c>
      <c r="F1236" s="20">
        <v>0.0</v>
      </c>
      <c r="G1236" s="12" t="str">
        <f t="shared" si="3"/>
        <v>Withdrawal</v>
      </c>
      <c r="H1236" s="12" t="str">
        <f>TEXT(Raw_Data!A1242,"hh:mm:ss")
</f>
        <v>15:54:43</v>
      </c>
      <c r="I1236" s="20">
        <f t="shared" si="4"/>
        <v>2300</v>
      </c>
    </row>
    <row r="1237">
      <c r="A1237" s="12" t="str">
        <f>Raw_Data!A1243</f>
        <v>09 Aug 2025 18:23:20</v>
      </c>
      <c r="B1237" s="12" t="str">
        <f t="shared" si="1"/>
        <v>August</v>
      </c>
      <c r="C1237" s="12">
        <f t="shared" si="2"/>
        <v>8</v>
      </c>
      <c r="D1237" s="12" t="str">
        <f>IFERROR(__xludf.DUMMYFUNCTION("IFERROR(IF(REGEXMATCH(LOWER(Raw_Data!C1243),""fixed deposit|owealth|savings|target""),""Fixed Deposit"",IF(REGEXMATCH(LOWER(Raw_Data!C1243),""airtime""),""Airtime"",IF(REGEXMATCH(LOWER(Raw_Data!C1243),""electronic money transfer levy""),""Electronic Money"&amp;" Transfer Levy"",IF(REGEXMATCH(LOWER(Raw_Data!C1243),""transfer|trf|send""),""Transfer"",""Other"")))),""Other"")"),"Transfer")</f>
        <v>Transfer</v>
      </c>
      <c r="E1237" s="20">
        <v>1600.0</v>
      </c>
      <c r="F1237" s="20">
        <v>0.0</v>
      </c>
      <c r="G1237" s="12" t="str">
        <f t="shared" si="3"/>
        <v>Withdrawal</v>
      </c>
      <c r="H1237" s="12" t="str">
        <f>TEXT(Raw_Data!A1243,"hh:mm:ss")
</f>
        <v>18:23:20</v>
      </c>
      <c r="I1237" s="20">
        <f t="shared" si="4"/>
        <v>1600</v>
      </c>
    </row>
    <row r="1238">
      <c r="A1238" s="12" t="str">
        <f>Raw_Data!A1244</f>
        <v>10 Aug 2025 15:03:11</v>
      </c>
      <c r="B1238" s="12" t="str">
        <f t="shared" si="1"/>
        <v>August</v>
      </c>
      <c r="C1238" s="12">
        <f t="shared" si="2"/>
        <v>8</v>
      </c>
      <c r="D1238" s="12" t="str">
        <f>IFERROR(__xludf.DUMMYFUNCTION("IFERROR(IF(REGEXMATCH(LOWER(Raw_Data!C1244),""fixed deposit|owealth|savings|target""),""Fixed Deposit"",IF(REGEXMATCH(LOWER(Raw_Data!C1244),""airtime""),""Airtime"",IF(REGEXMATCH(LOWER(Raw_Data!C1244),""electronic money transfer levy""),""Electronic Money"&amp;" Transfer Levy"",IF(REGEXMATCH(LOWER(Raw_Data!C1244),""transfer|trf|send""),""Transfer"",""Other"")))),""Other"")"),"Transfer")</f>
        <v>Transfer</v>
      </c>
      <c r="E1238" s="20">
        <v>0.0</v>
      </c>
      <c r="F1238" s="20">
        <v>45960.0</v>
      </c>
      <c r="G1238" s="12" t="str">
        <f t="shared" si="3"/>
        <v>Deposit</v>
      </c>
      <c r="H1238" s="12" t="str">
        <f>TEXT(Raw_Data!A1244,"hh:mm:ss")
</f>
        <v>15:03:11</v>
      </c>
      <c r="I1238" s="20">
        <f t="shared" si="4"/>
        <v>45960</v>
      </c>
    </row>
    <row r="1239">
      <c r="A1239" s="12" t="str">
        <f>Raw_Data!A1245</f>
        <v>10 Aug 2025 15:03:12</v>
      </c>
      <c r="B1239" s="12" t="str">
        <f t="shared" si="1"/>
        <v>August</v>
      </c>
      <c r="C1239" s="12">
        <f t="shared" si="2"/>
        <v>8</v>
      </c>
      <c r="D1239" s="12" t="str">
        <f>IFERROR(__xludf.DUMMYFUNCTION("IFERROR(IF(REGEXMATCH(LOWER(Raw_Data!C1245),""fixed deposit|owealth|savings|target""),""Fixed Deposit"",IF(REGEXMATCH(LOWER(Raw_Data!C1245),""airtime""),""Airtime"",IF(REGEXMATCH(LOWER(Raw_Data!C1245),""electronic money transfer levy""),""Electronic Money"&amp;" Transfer Levy"",IF(REGEXMATCH(LOWER(Raw_Data!C1245),""transfer|trf|send""),""Transfer"",""Other"")))),""Other"")"),"Electronic Money Transfer Levy")</f>
        <v>Electronic Money Transfer Levy</v>
      </c>
      <c r="E1239" s="20">
        <v>50.0</v>
      </c>
      <c r="F1239" s="20">
        <v>0.0</v>
      </c>
      <c r="G1239" s="12" t="str">
        <f t="shared" si="3"/>
        <v>Withdrawal</v>
      </c>
      <c r="H1239" s="12" t="str">
        <f>TEXT(Raw_Data!A1245,"hh:mm:ss")
</f>
        <v>15:03:12</v>
      </c>
      <c r="I1239" s="20">
        <f t="shared" si="4"/>
        <v>50</v>
      </c>
    </row>
    <row r="1240">
      <c r="A1240" s="12" t="str">
        <f>Raw_Data!A1246</f>
        <v>10 Aug 2025 15:04:13</v>
      </c>
      <c r="B1240" s="12" t="str">
        <f t="shared" si="1"/>
        <v>August</v>
      </c>
      <c r="C1240" s="12">
        <f t="shared" si="2"/>
        <v>8</v>
      </c>
      <c r="D1240" s="12" t="str">
        <f>IFERROR(__xludf.DUMMYFUNCTION("IFERROR(IF(REGEXMATCH(LOWER(Raw_Data!C1246),""fixed deposit|owealth|savings|target""),""Fixed Deposit"",IF(REGEXMATCH(LOWER(Raw_Data!C1246),""airtime""),""Airtime"",IF(REGEXMATCH(LOWER(Raw_Data!C1246),""electronic money transfer levy""),""Electronic Money"&amp;" Transfer Levy"",IF(REGEXMATCH(LOWER(Raw_Data!C1246),""transfer|trf|send""),""Transfer"",""Other"")))),""Other"")"),"Transfer")</f>
        <v>Transfer</v>
      </c>
      <c r="E1240" s="20">
        <v>45000.0</v>
      </c>
      <c r="F1240" s="20">
        <v>0.0</v>
      </c>
      <c r="G1240" s="12" t="str">
        <f t="shared" si="3"/>
        <v>Withdrawal</v>
      </c>
      <c r="H1240" s="12" t="str">
        <f>TEXT(Raw_Data!A1246,"hh:mm:ss")
</f>
        <v>15:04:13</v>
      </c>
      <c r="I1240" s="20">
        <f t="shared" si="4"/>
        <v>45000</v>
      </c>
    </row>
    <row r="1241">
      <c r="A1241" s="12" t="str">
        <f>Raw_Data!A1247</f>
        <v>10 Aug 2025 15:34:35</v>
      </c>
      <c r="B1241" s="12" t="str">
        <f t="shared" si="1"/>
        <v>August</v>
      </c>
      <c r="C1241" s="12">
        <f t="shared" si="2"/>
        <v>8</v>
      </c>
      <c r="D1241" s="12" t="str">
        <f>IFERROR(__xludf.DUMMYFUNCTION("IFERROR(IF(REGEXMATCH(LOWER(Raw_Data!C1247),""fixed deposit|owealth|savings|target""),""Fixed Deposit"",IF(REGEXMATCH(LOWER(Raw_Data!C1247),""airtime""),""Airtime"",IF(REGEXMATCH(LOWER(Raw_Data!C1247),""electronic money transfer levy""),""Electronic Money"&amp;" Transfer Levy"",IF(REGEXMATCH(LOWER(Raw_Data!C1247),""transfer|trf|send""),""Transfer"",""Other"")))),""Other"")"),"Transfer")</f>
        <v>Transfer</v>
      </c>
      <c r="E1241" s="20">
        <v>700.0</v>
      </c>
      <c r="F1241" s="20">
        <v>0.0</v>
      </c>
      <c r="G1241" s="12" t="str">
        <f t="shared" si="3"/>
        <v>Withdrawal</v>
      </c>
      <c r="H1241" s="12" t="str">
        <f>TEXT(Raw_Data!A1247,"hh:mm:ss")
</f>
        <v>15:34:35</v>
      </c>
      <c r="I1241" s="20">
        <f t="shared" si="4"/>
        <v>700</v>
      </c>
    </row>
    <row r="1242">
      <c r="A1242" s="12" t="str">
        <f>Raw_Data!A1248</f>
        <v>11 Aug 2025 04:09:06</v>
      </c>
      <c r="B1242" s="12" t="str">
        <f t="shared" si="1"/>
        <v>August</v>
      </c>
      <c r="C1242" s="12">
        <f t="shared" si="2"/>
        <v>8</v>
      </c>
      <c r="D1242" s="12" t="str">
        <f>IFERROR(__xludf.DUMMYFUNCTION("IFERROR(IF(REGEXMATCH(LOWER(Raw_Data!C1248),""fixed deposit|owealth|savings|target""),""Fixed Deposit"",IF(REGEXMATCH(LOWER(Raw_Data!C1248),""airtime""),""Airtime"",IF(REGEXMATCH(LOWER(Raw_Data!C1248),""electronic money transfer levy""),""Electronic Money"&amp;" Transfer Levy"",IF(REGEXMATCH(LOWER(Raw_Data!C1248),""transfer|trf|send""),""Transfer"",""Other"")))),""Other"")"),"Airtime")</f>
        <v>Airtime</v>
      </c>
      <c r="E1242" s="20">
        <v>500.0</v>
      </c>
      <c r="F1242" s="20">
        <v>0.0</v>
      </c>
      <c r="G1242" s="12" t="str">
        <f t="shared" si="3"/>
        <v>Withdrawal</v>
      </c>
      <c r="H1242" s="12" t="str">
        <f>TEXT(Raw_Data!A1248,"hh:mm:ss")
</f>
        <v>04:09:06</v>
      </c>
      <c r="I1242" s="20">
        <f t="shared" si="4"/>
        <v>500</v>
      </c>
    </row>
    <row r="1243">
      <c r="A1243" s="12" t="str">
        <f>Raw_Data!A1249</f>
        <v>12 Aug 2025 15:30:57</v>
      </c>
      <c r="B1243" s="12" t="str">
        <f t="shared" si="1"/>
        <v>August</v>
      </c>
      <c r="C1243" s="12">
        <f t="shared" si="2"/>
        <v>8</v>
      </c>
      <c r="D1243" s="12" t="str">
        <f>IFERROR(__xludf.DUMMYFUNCTION("IFERROR(IF(REGEXMATCH(LOWER(Raw_Data!C1249),""fixed deposit|owealth|savings|target""),""Fixed Deposit"",IF(REGEXMATCH(LOWER(Raw_Data!C1249),""airtime""),""Airtime"",IF(REGEXMATCH(LOWER(Raw_Data!C1249),""electronic money transfer levy""),""Electronic Money"&amp;" Transfer Levy"",IF(REGEXMATCH(LOWER(Raw_Data!C1249),""transfer|trf|send""),""Transfer"",""Other"")))),""Other"")"),"Transfer")</f>
        <v>Transfer</v>
      </c>
      <c r="E1243" s="20">
        <v>2000.0</v>
      </c>
      <c r="F1243" s="20">
        <v>0.0</v>
      </c>
      <c r="G1243" s="12" t="str">
        <f t="shared" si="3"/>
        <v>Withdrawal</v>
      </c>
      <c r="H1243" s="12" t="str">
        <f>TEXT(Raw_Data!A1249,"hh:mm:ss")
</f>
        <v>15:30:57</v>
      </c>
      <c r="I1243" s="20">
        <f t="shared" si="4"/>
        <v>2000</v>
      </c>
    </row>
    <row r="1244">
      <c r="A1244" s="12" t="str">
        <f>Raw_Data!A1250</f>
        <v>13 Aug 2025 08:28:33</v>
      </c>
      <c r="B1244" s="12" t="str">
        <f t="shared" si="1"/>
        <v>August</v>
      </c>
      <c r="C1244" s="12">
        <f t="shared" si="2"/>
        <v>8</v>
      </c>
      <c r="D1244" s="12" t="str">
        <f>IFERROR(__xludf.DUMMYFUNCTION("IFERROR(IF(REGEXMATCH(LOWER(Raw_Data!C1250),""fixed deposit|owealth|savings|target""),""Fixed Deposit"",IF(REGEXMATCH(LOWER(Raw_Data!C1250),""airtime""),""Airtime"",IF(REGEXMATCH(LOWER(Raw_Data!C1250),""electronic money transfer levy""),""Electronic Money"&amp;" Transfer Levy"",IF(REGEXMATCH(LOWER(Raw_Data!C1250),""transfer|trf|send""),""Transfer"",""Other"")))),""Other"")"),"Transfer")</f>
        <v>Transfer</v>
      </c>
      <c r="E1244" s="20">
        <v>0.0</v>
      </c>
      <c r="F1244" s="20">
        <v>24000.0</v>
      </c>
      <c r="G1244" s="12" t="str">
        <f t="shared" si="3"/>
        <v>Deposit</v>
      </c>
      <c r="H1244" s="12" t="str">
        <f>TEXT(Raw_Data!A1250,"hh:mm:ss")
</f>
        <v>08:28:33</v>
      </c>
      <c r="I1244" s="20">
        <f t="shared" si="4"/>
        <v>24000</v>
      </c>
    </row>
    <row r="1245">
      <c r="A1245" s="12" t="str">
        <f>Raw_Data!A1251</f>
        <v>13 Aug 2025 08:28:34</v>
      </c>
      <c r="B1245" s="12" t="str">
        <f t="shared" si="1"/>
        <v>August</v>
      </c>
      <c r="C1245" s="12">
        <f t="shared" si="2"/>
        <v>8</v>
      </c>
      <c r="D1245" s="12" t="str">
        <f>IFERROR(__xludf.DUMMYFUNCTION("IFERROR(IF(REGEXMATCH(LOWER(Raw_Data!C1251),""fixed deposit|owealth|savings|target""),""Fixed Deposit"",IF(REGEXMATCH(LOWER(Raw_Data!C1251),""airtime""),""Airtime"",IF(REGEXMATCH(LOWER(Raw_Data!C1251),""electronic money transfer levy""),""Electronic Money"&amp;" Transfer Levy"",IF(REGEXMATCH(LOWER(Raw_Data!C1251),""transfer|trf|send""),""Transfer"",""Other"")))),""Other"")"),"Electronic Money Transfer Levy")</f>
        <v>Electronic Money Transfer Levy</v>
      </c>
      <c r="E1245" s="20">
        <v>50.0</v>
      </c>
      <c r="F1245" s="20">
        <v>0.0</v>
      </c>
      <c r="G1245" s="12" t="str">
        <f t="shared" si="3"/>
        <v>Withdrawal</v>
      </c>
      <c r="H1245" s="12" t="str">
        <f>TEXT(Raw_Data!A1251,"hh:mm:ss")
</f>
        <v>08:28:34</v>
      </c>
      <c r="I1245" s="20">
        <f t="shared" si="4"/>
        <v>50</v>
      </c>
    </row>
    <row r="1246">
      <c r="A1246" s="12" t="str">
        <f>Raw_Data!A1252</f>
        <v>13 Aug 2025 08:31:31</v>
      </c>
      <c r="B1246" s="12" t="str">
        <f t="shared" si="1"/>
        <v>August</v>
      </c>
      <c r="C1246" s="12">
        <f t="shared" si="2"/>
        <v>8</v>
      </c>
      <c r="D1246" s="12" t="str">
        <f>IFERROR(__xludf.DUMMYFUNCTION("IFERROR(IF(REGEXMATCH(LOWER(Raw_Data!C1252),""fixed deposit|owealth|savings|target""),""Fixed Deposit"",IF(REGEXMATCH(LOWER(Raw_Data!C1252),""airtime""),""Airtime"",IF(REGEXMATCH(LOWER(Raw_Data!C1252),""electronic money transfer levy""),""Electronic Money"&amp;" Transfer Levy"",IF(REGEXMATCH(LOWER(Raw_Data!C1252),""transfer|trf|send""),""Transfer"",""Other"")))),""Other"")"),"Transfer")</f>
        <v>Transfer</v>
      </c>
      <c r="E1246" s="20">
        <v>24000.0</v>
      </c>
      <c r="F1246" s="20">
        <v>0.0</v>
      </c>
      <c r="G1246" s="12" t="str">
        <f t="shared" si="3"/>
        <v>Withdrawal</v>
      </c>
      <c r="H1246" s="12" t="str">
        <f>TEXT(Raw_Data!A1252,"hh:mm:ss")
</f>
        <v>08:31:31</v>
      </c>
      <c r="I1246" s="20">
        <f t="shared" si="4"/>
        <v>24000</v>
      </c>
    </row>
    <row r="1247">
      <c r="A1247" s="12" t="str">
        <f>Raw_Data!A1253</f>
        <v>13 Aug 2025 11:56:19</v>
      </c>
      <c r="B1247" s="12" t="str">
        <f t="shared" si="1"/>
        <v>August</v>
      </c>
      <c r="C1247" s="12">
        <f t="shared" si="2"/>
        <v>8</v>
      </c>
      <c r="D1247" s="12" t="str">
        <f>IFERROR(__xludf.DUMMYFUNCTION("IFERROR(IF(REGEXMATCH(LOWER(Raw_Data!C1253),""fixed deposit|owealth|savings|target""),""Fixed Deposit"",IF(REGEXMATCH(LOWER(Raw_Data!C1253),""airtime""),""Airtime"",IF(REGEXMATCH(LOWER(Raw_Data!C1253),""electronic money transfer levy""),""Electronic Money"&amp;" Transfer Levy"",IF(REGEXMATCH(LOWER(Raw_Data!C1253),""transfer|trf|send""),""Transfer"",""Other"")))),""Other"")"),"Transfer")</f>
        <v>Transfer</v>
      </c>
      <c r="E1247" s="20">
        <v>850.0</v>
      </c>
      <c r="F1247" s="20">
        <v>0.0</v>
      </c>
      <c r="G1247" s="12" t="str">
        <f t="shared" si="3"/>
        <v>Withdrawal</v>
      </c>
      <c r="H1247" s="12" t="str">
        <f>TEXT(Raw_Data!A1253,"hh:mm:ss")
</f>
        <v>11:56:19</v>
      </c>
      <c r="I1247" s="20">
        <f t="shared" si="4"/>
        <v>850</v>
      </c>
    </row>
    <row r="1248">
      <c r="A1248" s="12" t="str">
        <f>Raw_Data!A1254</f>
        <v>13 Aug 2025 16:49:59</v>
      </c>
      <c r="B1248" s="12" t="str">
        <f t="shared" si="1"/>
        <v>August</v>
      </c>
      <c r="C1248" s="12">
        <f t="shared" si="2"/>
        <v>8</v>
      </c>
      <c r="D1248" s="12" t="str">
        <f>IFERROR(__xludf.DUMMYFUNCTION("IFERROR(IF(REGEXMATCH(LOWER(Raw_Data!C1254),""fixed deposit|owealth|savings|target""),""Fixed Deposit"",IF(REGEXMATCH(LOWER(Raw_Data!C1254),""airtime""),""Airtime"",IF(REGEXMATCH(LOWER(Raw_Data!C1254),""electronic money transfer levy""),""Electronic Money"&amp;" Transfer Levy"",IF(REGEXMATCH(LOWER(Raw_Data!C1254),""transfer|trf|send""),""Transfer"",""Other"")))),""Other"")"),"Transfer")</f>
        <v>Transfer</v>
      </c>
      <c r="E1248" s="20">
        <v>0.0</v>
      </c>
      <c r="F1248" s="20">
        <v>10000.0</v>
      </c>
      <c r="G1248" s="12" t="str">
        <f t="shared" si="3"/>
        <v>Deposit</v>
      </c>
      <c r="H1248" s="12" t="str">
        <f>TEXT(Raw_Data!A1254,"hh:mm:ss")
</f>
        <v>16:49:59</v>
      </c>
      <c r="I1248" s="20">
        <f t="shared" si="4"/>
        <v>10000</v>
      </c>
    </row>
    <row r="1249">
      <c r="A1249" s="12" t="str">
        <f>Raw_Data!A1255</f>
        <v>13 Aug 2025 16:50:01</v>
      </c>
      <c r="B1249" s="12" t="str">
        <f t="shared" si="1"/>
        <v>August</v>
      </c>
      <c r="C1249" s="12">
        <f t="shared" si="2"/>
        <v>8</v>
      </c>
      <c r="D1249" s="12" t="str">
        <f>IFERROR(__xludf.DUMMYFUNCTION("IFERROR(IF(REGEXMATCH(LOWER(Raw_Data!C1255),""fixed deposit|owealth|savings|target""),""Fixed Deposit"",IF(REGEXMATCH(LOWER(Raw_Data!C1255),""airtime""),""Airtime"",IF(REGEXMATCH(LOWER(Raw_Data!C1255),""electronic money transfer levy""),""Electronic Money"&amp;" Transfer Levy"",IF(REGEXMATCH(LOWER(Raw_Data!C1255),""transfer|trf|send""),""Transfer"",""Other"")))),""Other"")"),"Electronic Money Transfer Levy")</f>
        <v>Electronic Money Transfer Levy</v>
      </c>
      <c r="E1249" s="20">
        <v>50.0</v>
      </c>
      <c r="F1249" s="20">
        <v>0.0</v>
      </c>
      <c r="G1249" s="12" t="str">
        <f t="shared" si="3"/>
        <v>Withdrawal</v>
      </c>
      <c r="H1249" s="12" t="str">
        <f>TEXT(Raw_Data!A1255,"hh:mm:ss")
</f>
        <v>16:50:01</v>
      </c>
      <c r="I1249" s="20">
        <f t="shared" si="4"/>
        <v>50</v>
      </c>
    </row>
    <row r="1250">
      <c r="A1250" s="12" t="str">
        <f>Raw_Data!A1256</f>
        <v>13 Aug 2025 17:02:33</v>
      </c>
      <c r="B1250" s="12" t="str">
        <f t="shared" si="1"/>
        <v>August</v>
      </c>
      <c r="C1250" s="12">
        <f t="shared" si="2"/>
        <v>8</v>
      </c>
      <c r="D1250" s="12" t="str">
        <f>IFERROR(__xludf.DUMMYFUNCTION("IFERROR(IF(REGEXMATCH(LOWER(Raw_Data!C1256),""fixed deposit|owealth|savings|target""),""Fixed Deposit"",IF(REGEXMATCH(LOWER(Raw_Data!C1256),""airtime""),""Airtime"",IF(REGEXMATCH(LOWER(Raw_Data!C1256),""electronic money transfer levy""),""Electronic Money"&amp;" Transfer Levy"",IF(REGEXMATCH(LOWER(Raw_Data!C1256),""transfer|trf|send""),""Transfer"",""Other"")))),""Other"")"),"Airtime")</f>
        <v>Airtime</v>
      </c>
      <c r="E1250" s="20">
        <v>500.0</v>
      </c>
      <c r="F1250" s="20">
        <v>0.0</v>
      </c>
      <c r="G1250" s="12" t="str">
        <f t="shared" si="3"/>
        <v>Withdrawal</v>
      </c>
      <c r="H1250" s="12" t="str">
        <f>TEXT(Raw_Data!A1256,"hh:mm:ss")
</f>
        <v>17:02:33</v>
      </c>
      <c r="I1250" s="20">
        <f t="shared" si="4"/>
        <v>500</v>
      </c>
    </row>
    <row r="1251">
      <c r="A1251" s="12" t="str">
        <f>Raw_Data!A1257</f>
        <v>13 Aug 2025 20:05:12</v>
      </c>
      <c r="B1251" s="12" t="str">
        <f t="shared" si="1"/>
        <v>August</v>
      </c>
      <c r="C1251" s="12">
        <f t="shared" si="2"/>
        <v>8</v>
      </c>
      <c r="D1251" s="12" t="str">
        <f>IFERROR(__xludf.DUMMYFUNCTION("IFERROR(IF(REGEXMATCH(LOWER(Raw_Data!C1257),""fixed deposit|owealth|savings|target""),""Fixed Deposit"",IF(REGEXMATCH(LOWER(Raw_Data!C1257),""airtime""),""Airtime"",IF(REGEXMATCH(LOWER(Raw_Data!C1257),""electronic money transfer levy""),""Electronic Money"&amp;" Transfer Levy"",IF(REGEXMATCH(LOWER(Raw_Data!C1257),""transfer|trf|send""),""Transfer"",""Other"")))),""Other"")"),"Transfer")</f>
        <v>Transfer</v>
      </c>
      <c r="E1251" s="20">
        <v>500.0</v>
      </c>
      <c r="F1251" s="20">
        <v>0.0</v>
      </c>
      <c r="G1251" s="12" t="str">
        <f t="shared" si="3"/>
        <v>Withdrawal</v>
      </c>
      <c r="H1251" s="12" t="str">
        <f>TEXT(Raw_Data!A1257,"hh:mm:ss")
</f>
        <v>20:05:12</v>
      </c>
      <c r="I1251" s="20">
        <f t="shared" si="4"/>
        <v>500</v>
      </c>
    </row>
    <row r="1252">
      <c r="A1252" s="12" t="str">
        <f>Raw_Data!A1258</f>
        <v>14 Aug 2025 07:41:49</v>
      </c>
      <c r="B1252" s="12" t="str">
        <f t="shared" si="1"/>
        <v>August</v>
      </c>
      <c r="C1252" s="12">
        <f t="shared" si="2"/>
        <v>8</v>
      </c>
      <c r="D1252" s="12" t="str">
        <f>IFERROR(__xludf.DUMMYFUNCTION("IFERROR(IF(REGEXMATCH(LOWER(Raw_Data!C1258),""fixed deposit|owealth|savings|target""),""Fixed Deposit"",IF(REGEXMATCH(LOWER(Raw_Data!C1258),""airtime""),""Airtime"",IF(REGEXMATCH(LOWER(Raw_Data!C1258),""electronic money transfer levy""),""Electronic Money"&amp;" Transfer Levy"",IF(REGEXMATCH(LOWER(Raw_Data!C1258),""transfer|trf|send""),""Transfer"",""Other"")))),""Other"")"),"Transfer")</f>
        <v>Transfer</v>
      </c>
      <c r="E1252" s="20">
        <v>0.0</v>
      </c>
      <c r="F1252" s="20">
        <v>30000.0</v>
      </c>
      <c r="G1252" s="12" t="str">
        <f t="shared" si="3"/>
        <v>Deposit</v>
      </c>
      <c r="H1252" s="12" t="str">
        <f>TEXT(Raw_Data!A1258,"hh:mm:ss")
</f>
        <v>07:41:49</v>
      </c>
      <c r="I1252" s="20">
        <f t="shared" si="4"/>
        <v>30000</v>
      </c>
    </row>
    <row r="1253">
      <c r="A1253" s="12" t="str">
        <f>Raw_Data!A1259</f>
        <v>14 Aug 2025 07:41:50</v>
      </c>
      <c r="B1253" s="12" t="str">
        <f t="shared" si="1"/>
        <v>August</v>
      </c>
      <c r="C1253" s="12">
        <f t="shared" si="2"/>
        <v>8</v>
      </c>
      <c r="D1253" s="12" t="str">
        <f>IFERROR(__xludf.DUMMYFUNCTION("IFERROR(IF(REGEXMATCH(LOWER(Raw_Data!C1259),""fixed deposit|owealth|savings|target""),""Fixed Deposit"",IF(REGEXMATCH(LOWER(Raw_Data!C1259),""airtime""),""Airtime"",IF(REGEXMATCH(LOWER(Raw_Data!C1259),""electronic money transfer levy""),""Electronic Money"&amp;" Transfer Levy"",IF(REGEXMATCH(LOWER(Raw_Data!C1259),""transfer|trf|send""),""Transfer"",""Other"")))),""Other"")"),"Electronic Money Transfer Levy")</f>
        <v>Electronic Money Transfer Levy</v>
      </c>
      <c r="E1253" s="20">
        <v>50.0</v>
      </c>
      <c r="F1253" s="20">
        <v>0.0</v>
      </c>
      <c r="G1253" s="12" t="str">
        <f t="shared" si="3"/>
        <v>Withdrawal</v>
      </c>
      <c r="H1253" s="12" t="str">
        <f>TEXT(Raw_Data!A1259,"hh:mm:ss")
</f>
        <v>07:41:50</v>
      </c>
      <c r="I1253" s="20">
        <f t="shared" si="4"/>
        <v>50</v>
      </c>
    </row>
    <row r="1254">
      <c r="A1254" s="12" t="str">
        <f>Raw_Data!A1260</f>
        <v>14 Aug 2025 08:32:34</v>
      </c>
      <c r="B1254" s="12" t="str">
        <f t="shared" si="1"/>
        <v>August</v>
      </c>
      <c r="C1254" s="12">
        <f t="shared" si="2"/>
        <v>8</v>
      </c>
      <c r="D1254" s="12" t="str">
        <f>IFERROR(__xludf.DUMMYFUNCTION("IFERROR(IF(REGEXMATCH(LOWER(Raw_Data!C1260),""fixed deposit|owealth|savings|target""),""Fixed Deposit"",IF(REGEXMATCH(LOWER(Raw_Data!C1260),""airtime""),""Airtime"",IF(REGEXMATCH(LOWER(Raw_Data!C1260),""electronic money transfer levy""),""Electronic Money"&amp;" Transfer Levy"",IF(REGEXMATCH(LOWER(Raw_Data!C1260),""transfer|trf|send""),""Transfer"",""Other"")))),""Other"")"),"Other")</f>
        <v>Other</v>
      </c>
      <c r="E1254" s="20">
        <v>24662.0</v>
      </c>
      <c r="F1254" s="20">
        <v>0.0</v>
      </c>
      <c r="G1254" s="12" t="str">
        <f t="shared" si="3"/>
        <v>Withdrawal</v>
      </c>
      <c r="H1254" s="12" t="str">
        <f>TEXT(Raw_Data!A1260,"hh:mm:ss")
</f>
        <v>08:32:34</v>
      </c>
      <c r="I1254" s="20">
        <f t="shared" si="4"/>
        <v>24662</v>
      </c>
    </row>
    <row r="1255">
      <c r="A1255" s="12" t="str">
        <f>Raw_Data!A1261</f>
        <v>14 Aug 2025 11:01:08</v>
      </c>
      <c r="B1255" s="12" t="str">
        <f t="shared" si="1"/>
        <v>August</v>
      </c>
      <c r="C1255" s="12">
        <f t="shared" si="2"/>
        <v>8</v>
      </c>
      <c r="D1255" s="12" t="str">
        <f>IFERROR(__xludf.DUMMYFUNCTION("IFERROR(IF(REGEXMATCH(LOWER(Raw_Data!C1261),""fixed deposit|owealth|savings|target""),""Fixed Deposit"",IF(REGEXMATCH(LOWER(Raw_Data!C1261),""airtime""),""Airtime"",IF(REGEXMATCH(LOWER(Raw_Data!C1261),""electronic money transfer levy""),""Electronic Money"&amp;" Transfer Levy"",IF(REGEXMATCH(LOWER(Raw_Data!C1261),""transfer|trf|send""),""Transfer"",""Other"")))),""Other"")"),"Transfer")</f>
        <v>Transfer</v>
      </c>
      <c r="E1255" s="20">
        <v>10200.0</v>
      </c>
      <c r="F1255" s="20">
        <v>0.0</v>
      </c>
      <c r="G1255" s="12" t="str">
        <f t="shared" si="3"/>
        <v>Withdrawal</v>
      </c>
      <c r="H1255" s="12" t="str">
        <f>TEXT(Raw_Data!A1261,"hh:mm:ss")
</f>
        <v>11:01:08</v>
      </c>
      <c r="I1255" s="20">
        <f t="shared" si="4"/>
        <v>10200</v>
      </c>
    </row>
    <row r="1256">
      <c r="A1256" s="12" t="str">
        <f>Raw_Data!A1262</f>
        <v>14 Aug 2025 19:28:09</v>
      </c>
      <c r="B1256" s="12" t="str">
        <f t="shared" si="1"/>
        <v>August</v>
      </c>
      <c r="C1256" s="12">
        <f t="shared" si="2"/>
        <v>8</v>
      </c>
      <c r="D1256" s="12" t="str">
        <f>IFERROR(__xludf.DUMMYFUNCTION("IFERROR(IF(REGEXMATCH(LOWER(Raw_Data!C1262),""fixed deposit|owealth|savings|target""),""Fixed Deposit"",IF(REGEXMATCH(LOWER(Raw_Data!C1262),""airtime""),""Airtime"",IF(REGEXMATCH(LOWER(Raw_Data!C1262),""electronic money transfer levy""),""Electronic Money"&amp;" Transfer Levy"",IF(REGEXMATCH(LOWER(Raw_Data!C1262),""transfer|trf|send""),""Transfer"",""Other"")))),""Other"")"),"Transfer")</f>
        <v>Transfer</v>
      </c>
      <c r="E1256" s="20">
        <v>150.0</v>
      </c>
      <c r="F1256" s="20">
        <v>0.0</v>
      </c>
      <c r="G1256" s="12" t="str">
        <f t="shared" si="3"/>
        <v>Withdrawal</v>
      </c>
      <c r="H1256" s="12" t="str">
        <f>TEXT(Raw_Data!A1262,"hh:mm:ss")
</f>
        <v>19:28:09</v>
      </c>
      <c r="I1256" s="20">
        <f t="shared" si="4"/>
        <v>150</v>
      </c>
    </row>
    <row r="1257">
      <c r="A1257" s="12" t="str">
        <f>Raw_Data!A1263</f>
        <v>15 Aug 2025 07:38:03</v>
      </c>
      <c r="B1257" s="12" t="str">
        <f t="shared" si="1"/>
        <v>August</v>
      </c>
      <c r="C1257" s="12">
        <f t="shared" si="2"/>
        <v>8</v>
      </c>
      <c r="D1257" s="12" t="str">
        <f>IFERROR(__xludf.DUMMYFUNCTION("IFERROR(IF(REGEXMATCH(LOWER(Raw_Data!C1263),""fixed deposit|owealth|savings|target""),""Fixed Deposit"",IF(REGEXMATCH(LOWER(Raw_Data!C1263),""airtime""),""Airtime"",IF(REGEXMATCH(LOWER(Raw_Data!C1263),""electronic money transfer levy""),""Electronic Money"&amp;" Transfer Levy"",IF(REGEXMATCH(LOWER(Raw_Data!C1263),""transfer|trf|send""),""Transfer"",""Other"")))),""Other"")"),"Other")</f>
        <v>Other</v>
      </c>
      <c r="E1257" s="20">
        <v>900.0</v>
      </c>
      <c r="F1257" s="20">
        <v>0.0</v>
      </c>
      <c r="G1257" s="12" t="str">
        <f t="shared" si="3"/>
        <v>Withdrawal</v>
      </c>
      <c r="H1257" s="12" t="str">
        <f>TEXT(Raw_Data!A1263,"hh:mm:ss")
</f>
        <v>07:38:03</v>
      </c>
      <c r="I1257" s="20">
        <f t="shared" si="4"/>
        <v>900</v>
      </c>
    </row>
    <row r="1258">
      <c r="A1258" s="12" t="str">
        <f>Raw_Data!A1264</f>
        <v>15 Aug 2025 08:02:46</v>
      </c>
      <c r="B1258" s="12" t="str">
        <f t="shared" si="1"/>
        <v>August</v>
      </c>
      <c r="C1258" s="12">
        <f t="shared" si="2"/>
        <v>8</v>
      </c>
      <c r="D1258" s="12" t="str">
        <f>IFERROR(__xludf.DUMMYFUNCTION("IFERROR(IF(REGEXMATCH(LOWER(Raw_Data!C1264),""fixed deposit|owealth|savings|target""),""Fixed Deposit"",IF(REGEXMATCH(LOWER(Raw_Data!C1264),""airtime""),""Airtime"",IF(REGEXMATCH(LOWER(Raw_Data!C1264),""electronic money transfer levy""),""Electronic Money"&amp;" Transfer Levy"",IF(REGEXMATCH(LOWER(Raw_Data!C1264),""transfer|trf|send""),""Transfer"",""Other"")))),""Other"")"),"Transfer")</f>
        <v>Transfer</v>
      </c>
      <c r="E1258" s="20">
        <v>0.0</v>
      </c>
      <c r="F1258" s="20">
        <v>30000.0</v>
      </c>
      <c r="G1258" s="12" t="str">
        <f t="shared" si="3"/>
        <v>Deposit</v>
      </c>
      <c r="H1258" s="12" t="str">
        <f>TEXT(Raw_Data!A1264,"hh:mm:ss")
</f>
        <v>08:02:46</v>
      </c>
      <c r="I1258" s="20">
        <f t="shared" si="4"/>
        <v>30000</v>
      </c>
    </row>
    <row r="1259">
      <c r="A1259" s="12" t="str">
        <f>Raw_Data!A1265</f>
        <v>15 Aug 2025 08:02:48</v>
      </c>
      <c r="B1259" s="12" t="str">
        <f t="shared" si="1"/>
        <v>August</v>
      </c>
      <c r="C1259" s="12">
        <f t="shared" si="2"/>
        <v>8</v>
      </c>
      <c r="D1259" s="12" t="str">
        <f>IFERROR(__xludf.DUMMYFUNCTION("IFERROR(IF(REGEXMATCH(LOWER(Raw_Data!C1265),""fixed deposit|owealth|savings|target""),""Fixed Deposit"",IF(REGEXMATCH(LOWER(Raw_Data!C1265),""airtime""),""Airtime"",IF(REGEXMATCH(LOWER(Raw_Data!C1265),""electronic money transfer levy""),""Electronic Money"&amp;" Transfer Levy"",IF(REGEXMATCH(LOWER(Raw_Data!C1265),""transfer|trf|send""),""Transfer"",""Other"")))),""Other"")"),"Electronic Money Transfer Levy")</f>
        <v>Electronic Money Transfer Levy</v>
      </c>
      <c r="E1259" s="20">
        <v>50.0</v>
      </c>
      <c r="F1259" s="20">
        <v>0.0</v>
      </c>
      <c r="G1259" s="12" t="str">
        <f t="shared" si="3"/>
        <v>Withdrawal</v>
      </c>
      <c r="H1259" s="12" t="str">
        <f>TEXT(Raw_Data!A1265,"hh:mm:ss")
</f>
        <v>08:02:48</v>
      </c>
      <c r="I1259" s="20">
        <f t="shared" si="4"/>
        <v>50</v>
      </c>
    </row>
    <row r="1260">
      <c r="A1260" s="12" t="str">
        <f>Raw_Data!A1266</f>
        <v>15 Aug 2025 08:33:00</v>
      </c>
      <c r="B1260" s="12" t="str">
        <f t="shared" si="1"/>
        <v>August</v>
      </c>
      <c r="C1260" s="12">
        <f t="shared" si="2"/>
        <v>8</v>
      </c>
      <c r="D1260" s="12" t="str">
        <f>IFERROR(__xludf.DUMMYFUNCTION("IFERROR(IF(REGEXMATCH(LOWER(Raw_Data!C1266),""fixed deposit|owealth|savings|target""),""Fixed Deposit"",IF(REGEXMATCH(LOWER(Raw_Data!C1266),""airtime""),""Airtime"",IF(REGEXMATCH(LOWER(Raw_Data!C1266),""electronic money transfer levy""),""Electronic Money"&amp;" Transfer Levy"",IF(REGEXMATCH(LOWER(Raw_Data!C1266),""transfer|trf|send""),""Transfer"",""Other"")))),""Other"")"),"Transfer")</f>
        <v>Transfer</v>
      </c>
      <c r="E1260" s="20">
        <v>1000.0</v>
      </c>
      <c r="F1260" s="20">
        <v>0.0</v>
      </c>
      <c r="G1260" s="12" t="str">
        <f t="shared" si="3"/>
        <v>Withdrawal</v>
      </c>
      <c r="H1260" s="12" t="str">
        <f>TEXT(Raw_Data!A1266,"hh:mm:ss")
</f>
        <v>08:33:00</v>
      </c>
      <c r="I1260" s="20">
        <f t="shared" si="4"/>
        <v>1000</v>
      </c>
    </row>
    <row r="1261">
      <c r="A1261" s="12" t="str">
        <f>Raw_Data!A1267</f>
        <v>15 Aug 2025 10:57:34</v>
      </c>
      <c r="B1261" s="12" t="str">
        <f t="shared" si="1"/>
        <v>August</v>
      </c>
      <c r="C1261" s="12">
        <f t="shared" si="2"/>
        <v>8</v>
      </c>
      <c r="D1261" s="12" t="str">
        <f>IFERROR(__xludf.DUMMYFUNCTION("IFERROR(IF(REGEXMATCH(LOWER(Raw_Data!C1267),""fixed deposit|owealth|savings|target""),""Fixed Deposit"",IF(REGEXMATCH(LOWER(Raw_Data!C1267),""airtime""),""Airtime"",IF(REGEXMATCH(LOWER(Raw_Data!C1267),""electronic money transfer levy""),""Electronic Money"&amp;" Transfer Levy"",IF(REGEXMATCH(LOWER(Raw_Data!C1267),""transfer|trf|send""),""Transfer"",""Other"")))),""Other"")"),"Transfer")</f>
        <v>Transfer</v>
      </c>
      <c r="E1261" s="20">
        <v>27500.0</v>
      </c>
      <c r="F1261" s="20">
        <v>0.0</v>
      </c>
      <c r="G1261" s="12" t="str">
        <f t="shared" si="3"/>
        <v>Withdrawal</v>
      </c>
      <c r="H1261" s="12" t="str">
        <f>TEXT(Raw_Data!A1267,"hh:mm:ss")
</f>
        <v>10:57:34</v>
      </c>
      <c r="I1261" s="20">
        <f t="shared" si="4"/>
        <v>27500</v>
      </c>
    </row>
    <row r="1262">
      <c r="A1262" s="12" t="str">
        <f>Raw_Data!A1268</f>
        <v>15 Aug 2025 11:02:31</v>
      </c>
      <c r="B1262" s="12" t="str">
        <f t="shared" si="1"/>
        <v>August</v>
      </c>
      <c r="C1262" s="12">
        <f t="shared" si="2"/>
        <v>8</v>
      </c>
      <c r="D1262" s="12" t="str">
        <f>IFERROR(__xludf.DUMMYFUNCTION("IFERROR(IF(REGEXMATCH(LOWER(Raw_Data!C1268),""fixed deposit|owealth|savings|target""),""Fixed Deposit"",IF(REGEXMATCH(LOWER(Raw_Data!C1268),""airtime""),""Airtime"",IF(REGEXMATCH(LOWER(Raw_Data!C1268),""electronic money transfer levy""),""Electronic Money"&amp;" Transfer Levy"",IF(REGEXMATCH(LOWER(Raw_Data!C1268),""transfer|trf|send""),""Transfer"",""Other"")))),""Other"")"),"Transfer")</f>
        <v>Transfer</v>
      </c>
      <c r="E1262" s="20">
        <v>2000.0</v>
      </c>
      <c r="F1262" s="20">
        <v>0.0</v>
      </c>
      <c r="G1262" s="12" t="str">
        <f t="shared" si="3"/>
        <v>Withdrawal</v>
      </c>
      <c r="H1262" s="12" t="str">
        <f>TEXT(Raw_Data!A1268,"hh:mm:ss")
</f>
        <v>11:02:31</v>
      </c>
      <c r="I1262" s="20">
        <f t="shared" si="4"/>
        <v>2000</v>
      </c>
    </row>
    <row r="1263">
      <c r="A1263" s="12" t="str">
        <f>Raw_Data!A1269</f>
        <v>15 Aug 2025 14:00:15</v>
      </c>
      <c r="B1263" s="12" t="str">
        <f t="shared" si="1"/>
        <v>August</v>
      </c>
      <c r="C1263" s="12">
        <f t="shared" si="2"/>
        <v>8</v>
      </c>
      <c r="D1263" s="12" t="str">
        <f>IFERROR(__xludf.DUMMYFUNCTION("IFERROR(IF(REGEXMATCH(LOWER(Raw_Data!C1269),""fixed deposit|owealth|savings|target""),""Fixed Deposit"",IF(REGEXMATCH(LOWER(Raw_Data!C1269),""airtime""),""Airtime"",IF(REGEXMATCH(LOWER(Raw_Data!C1269),""electronic money transfer levy""),""Electronic Money"&amp;" Transfer Levy"",IF(REGEXMATCH(LOWER(Raw_Data!C1269),""transfer|trf|send""),""Transfer"",""Other"")))),""Other"")"),"Transfer")</f>
        <v>Transfer</v>
      </c>
      <c r="E1263" s="20">
        <v>520.0</v>
      </c>
      <c r="F1263" s="20">
        <v>0.0</v>
      </c>
      <c r="G1263" s="12" t="str">
        <f t="shared" si="3"/>
        <v>Withdrawal</v>
      </c>
      <c r="H1263" s="12" t="str">
        <f>TEXT(Raw_Data!A1269,"hh:mm:ss")
</f>
        <v>14:00:15</v>
      </c>
      <c r="I1263" s="20">
        <f t="shared" si="4"/>
        <v>520</v>
      </c>
    </row>
    <row r="1264">
      <c r="A1264" s="12" t="str">
        <f>Raw_Data!A1270</f>
        <v>15 Aug 2025 17:01:09</v>
      </c>
      <c r="B1264" s="12" t="str">
        <f t="shared" si="1"/>
        <v>August</v>
      </c>
      <c r="C1264" s="12">
        <f t="shared" si="2"/>
        <v>8</v>
      </c>
      <c r="D1264" s="12" t="str">
        <f>IFERROR(__xludf.DUMMYFUNCTION("IFERROR(IF(REGEXMATCH(LOWER(Raw_Data!C1270),""fixed deposit|owealth|savings|target""),""Fixed Deposit"",IF(REGEXMATCH(LOWER(Raw_Data!C1270),""airtime""),""Airtime"",IF(REGEXMATCH(LOWER(Raw_Data!C1270),""electronic money transfer levy""),""Electronic Money"&amp;" Transfer Levy"",IF(REGEXMATCH(LOWER(Raw_Data!C1270),""transfer|trf|send""),""Transfer"",""Other"")))),""Other"")"),"Transfer")</f>
        <v>Transfer</v>
      </c>
      <c r="E1264" s="20">
        <v>0.0</v>
      </c>
      <c r="F1264" s="20">
        <v>76540.0</v>
      </c>
      <c r="G1264" s="12" t="str">
        <f t="shared" si="3"/>
        <v>Deposit</v>
      </c>
      <c r="H1264" s="12" t="str">
        <f>TEXT(Raw_Data!A1270,"hh:mm:ss")
</f>
        <v>17:01:09</v>
      </c>
      <c r="I1264" s="20">
        <f t="shared" si="4"/>
        <v>76540</v>
      </c>
    </row>
    <row r="1265">
      <c r="A1265" s="12" t="str">
        <f>Raw_Data!A1271</f>
        <v>15 Aug 2025 17:01:11</v>
      </c>
      <c r="B1265" s="12" t="str">
        <f t="shared" si="1"/>
        <v>August</v>
      </c>
      <c r="C1265" s="12">
        <f t="shared" si="2"/>
        <v>8</v>
      </c>
      <c r="D1265" s="12" t="str">
        <f>IFERROR(__xludf.DUMMYFUNCTION("IFERROR(IF(REGEXMATCH(LOWER(Raw_Data!C1271),""fixed deposit|owealth|savings|target""),""Fixed Deposit"",IF(REGEXMATCH(LOWER(Raw_Data!C1271),""airtime""),""Airtime"",IF(REGEXMATCH(LOWER(Raw_Data!C1271),""electronic money transfer levy""),""Electronic Money"&amp;" Transfer Levy"",IF(REGEXMATCH(LOWER(Raw_Data!C1271),""transfer|trf|send""),""Transfer"",""Other"")))),""Other"")"),"Electronic Money Transfer Levy")</f>
        <v>Electronic Money Transfer Levy</v>
      </c>
      <c r="E1265" s="20">
        <v>50.0</v>
      </c>
      <c r="F1265" s="20">
        <v>0.0</v>
      </c>
      <c r="G1265" s="12" t="str">
        <f t="shared" si="3"/>
        <v>Withdrawal</v>
      </c>
      <c r="H1265" s="12" t="str">
        <f>TEXT(Raw_Data!A1271,"hh:mm:ss")
</f>
        <v>17:01:11</v>
      </c>
      <c r="I1265" s="20">
        <f t="shared" si="4"/>
        <v>50</v>
      </c>
    </row>
    <row r="1266">
      <c r="A1266" s="12" t="str">
        <f>Raw_Data!A1272</f>
        <v>15 Aug 2025 17:02:00</v>
      </c>
      <c r="B1266" s="12" t="str">
        <f t="shared" si="1"/>
        <v>August</v>
      </c>
      <c r="C1266" s="12">
        <f t="shared" si="2"/>
        <v>8</v>
      </c>
      <c r="D1266" s="12" t="str">
        <f>IFERROR(__xludf.DUMMYFUNCTION("IFERROR(IF(REGEXMATCH(LOWER(Raw_Data!C1272),""fixed deposit|owealth|savings|target""),""Fixed Deposit"",IF(REGEXMATCH(LOWER(Raw_Data!C1272),""airtime""),""Airtime"",IF(REGEXMATCH(LOWER(Raw_Data!C1272),""electronic money transfer levy""),""Electronic Money"&amp;" Transfer Levy"",IF(REGEXMATCH(LOWER(Raw_Data!C1272),""transfer|trf|send""),""Transfer"",""Other"")))),""Other"")"),"Transfer")</f>
        <v>Transfer</v>
      </c>
      <c r="E1266" s="20">
        <v>76000.0</v>
      </c>
      <c r="F1266" s="20">
        <v>0.0</v>
      </c>
      <c r="G1266" s="12" t="str">
        <f t="shared" si="3"/>
        <v>Withdrawal</v>
      </c>
      <c r="H1266" s="12" t="str">
        <f>TEXT(Raw_Data!A1272,"hh:mm:ss")
</f>
        <v>17:02:00</v>
      </c>
      <c r="I1266" s="20">
        <f t="shared" si="4"/>
        <v>76000</v>
      </c>
    </row>
    <row r="1267">
      <c r="A1267" s="12" t="str">
        <f>Raw_Data!A1273</f>
        <v>15 Aug 2025 18:30:20</v>
      </c>
      <c r="B1267" s="12" t="str">
        <f t="shared" si="1"/>
        <v>August</v>
      </c>
      <c r="C1267" s="12">
        <f t="shared" si="2"/>
        <v>8</v>
      </c>
      <c r="D1267" s="12" t="str">
        <f>IFERROR(__xludf.DUMMYFUNCTION("IFERROR(IF(REGEXMATCH(LOWER(Raw_Data!C1273),""fixed deposit|owealth|savings|target""),""Fixed Deposit"",IF(REGEXMATCH(LOWER(Raw_Data!C1273),""airtime""),""Airtime"",IF(REGEXMATCH(LOWER(Raw_Data!C1273),""electronic money transfer levy""),""Electronic Money"&amp;" Transfer Levy"",IF(REGEXMATCH(LOWER(Raw_Data!C1273),""transfer|trf|send""),""Transfer"",""Other"")))),""Other"")"),"Transfer")</f>
        <v>Transfer</v>
      </c>
      <c r="E1267" s="20">
        <v>500.0</v>
      </c>
      <c r="F1267" s="20">
        <v>0.0</v>
      </c>
      <c r="G1267" s="12" t="str">
        <f t="shared" si="3"/>
        <v>Withdrawal</v>
      </c>
      <c r="H1267" s="12" t="str">
        <f>TEXT(Raw_Data!A1273,"hh:mm:ss")
</f>
        <v>18:30:20</v>
      </c>
      <c r="I1267" s="20">
        <f t="shared" si="4"/>
        <v>500</v>
      </c>
    </row>
    <row r="1268">
      <c r="A1268" s="12" t="str">
        <f>Raw_Data!A1274</f>
        <v>16 Aug 2025 14:07:02</v>
      </c>
      <c r="B1268" s="12" t="str">
        <f t="shared" si="1"/>
        <v>August</v>
      </c>
      <c r="C1268" s="12">
        <f t="shared" si="2"/>
        <v>8</v>
      </c>
      <c r="D1268" s="12" t="str">
        <f>IFERROR(__xludf.DUMMYFUNCTION("IFERROR(IF(REGEXMATCH(LOWER(Raw_Data!C1274),""fixed deposit|owealth|savings|target""),""Fixed Deposit"",IF(REGEXMATCH(LOWER(Raw_Data!C1274),""airtime""),""Airtime"",IF(REGEXMATCH(LOWER(Raw_Data!C1274),""electronic money transfer levy""),""Electronic Money"&amp;" Transfer Levy"",IF(REGEXMATCH(LOWER(Raw_Data!C1274),""transfer|trf|send""),""Transfer"",""Other"")))),""Other"")"),"Transfer")</f>
        <v>Transfer</v>
      </c>
      <c r="E1268" s="20">
        <v>150.0</v>
      </c>
      <c r="F1268" s="20">
        <v>0.0</v>
      </c>
      <c r="G1268" s="12" t="str">
        <f t="shared" si="3"/>
        <v>Withdrawal</v>
      </c>
      <c r="H1268" s="12" t="str">
        <f>TEXT(Raw_Data!A1274,"hh:mm:ss")
</f>
        <v>14:07:02</v>
      </c>
      <c r="I1268" s="20">
        <f t="shared" si="4"/>
        <v>150</v>
      </c>
    </row>
    <row r="1269">
      <c r="A1269" s="12" t="str">
        <f>Raw_Data!A1275</f>
        <v>16 Aug 2025 20:24:45</v>
      </c>
      <c r="B1269" s="12" t="str">
        <f t="shared" si="1"/>
        <v>August</v>
      </c>
      <c r="C1269" s="12">
        <f t="shared" si="2"/>
        <v>8</v>
      </c>
      <c r="D1269" s="12" t="str">
        <f>IFERROR(__xludf.DUMMYFUNCTION("IFERROR(IF(REGEXMATCH(LOWER(Raw_Data!C1275),""fixed deposit|owealth|savings|target""),""Fixed Deposit"",IF(REGEXMATCH(LOWER(Raw_Data!C1275),""airtime""),""Airtime"",IF(REGEXMATCH(LOWER(Raw_Data!C1275),""electronic money transfer levy""),""Electronic Money"&amp;" Transfer Levy"",IF(REGEXMATCH(LOWER(Raw_Data!C1275),""transfer|trf|send""),""Transfer"",""Other"")))),""Other"")"),"Transfer")</f>
        <v>Transfer</v>
      </c>
      <c r="E1269" s="20">
        <v>0.0</v>
      </c>
      <c r="F1269" s="20">
        <v>5000.0</v>
      </c>
      <c r="G1269" s="12" t="str">
        <f t="shared" si="3"/>
        <v>Deposit</v>
      </c>
      <c r="H1269" s="12" t="str">
        <f>TEXT(Raw_Data!A1275,"hh:mm:ss")
</f>
        <v>20:24:45</v>
      </c>
      <c r="I1269" s="20">
        <f t="shared" si="4"/>
        <v>5000</v>
      </c>
    </row>
    <row r="1270">
      <c r="A1270" s="12" t="str">
        <f>Raw_Data!A1276</f>
        <v>17 Aug 2025 03:58:07</v>
      </c>
      <c r="B1270" s="12" t="str">
        <f t="shared" si="1"/>
        <v>August</v>
      </c>
      <c r="C1270" s="12">
        <f t="shared" si="2"/>
        <v>8</v>
      </c>
      <c r="D1270" s="12" t="str">
        <f>IFERROR(__xludf.DUMMYFUNCTION("IFERROR(IF(REGEXMATCH(LOWER(Raw_Data!C1276),""fixed deposit|owealth|savings|target""),""Fixed Deposit"",IF(REGEXMATCH(LOWER(Raw_Data!C1276),""airtime""),""Airtime"",IF(REGEXMATCH(LOWER(Raw_Data!C1276),""electronic money transfer levy""),""Electronic Money"&amp;" Transfer Levy"",IF(REGEXMATCH(LOWER(Raw_Data!C1276),""transfer|trf|send""),""Transfer"",""Other"")))),""Other"")"),"Airtime")</f>
        <v>Airtime</v>
      </c>
      <c r="E1270" s="20">
        <v>200.0</v>
      </c>
      <c r="F1270" s="20">
        <v>0.0</v>
      </c>
      <c r="G1270" s="12" t="str">
        <f t="shared" si="3"/>
        <v>Withdrawal</v>
      </c>
      <c r="H1270" s="12" t="str">
        <f>TEXT(Raw_Data!A1276,"hh:mm:ss")
</f>
        <v>03:58:07</v>
      </c>
      <c r="I1270" s="20">
        <f t="shared" si="4"/>
        <v>200</v>
      </c>
    </row>
    <row r="1271">
      <c r="A1271" s="12" t="str">
        <f>Raw_Data!A1277</f>
        <v>17 Aug 2025 07:54:41</v>
      </c>
      <c r="B1271" s="12" t="str">
        <f t="shared" si="1"/>
        <v>August</v>
      </c>
      <c r="C1271" s="12">
        <f t="shared" si="2"/>
        <v>8</v>
      </c>
      <c r="D1271" s="12" t="str">
        <f>IFERROR(__xludf.DUMMYFUNCTION("IFERROR(IF(REGEXMATCH(LOWER(Raw_Data!C1277),""fixed deposit|owealth|savings|target""),""Fixed Deposit"",IF(REGEXMATCH(LOWER(Raw_Data!C1277),""airtime""),""Airtime"",IF(REGEXMATCH(LOWER(Raw_Data!C1277),""electronic money transfer levy""),""Electronic Money"&amp;" Transfer Levy"",IF(REGEXMATCH(LOWER(Raw_Data!C1277),""transfer|trf|send""),""Transfer"",""Other"")))),""Other"")"),"Other")</f>
        <v>Other</v>
      </c>
      <c r="E1271" s="20">
        <v>5100.0</v>
      </c>
      <c r="F1271" s="20">
        <v>0.0</v>
      </c>
      <c r="G1271" s="12" t="str">
        <f t="shared" si="3"/>
        <v>Withdrawal</v>
      </c>
      <c r="H1271" s="12" t="str">
        <f>TEXT(Raw_Data!A1277,"hh:mm:ss")
</f>
        <v>07:54:41</v>
      </c>
      <c r="I1271" s="20">
        <f t="shared" si="4"/>
        <v>5100</v>
      </c>
    </row>
    <row r="1272">
      <c r="A1272" s="12" t="str">
        <f>Raw_Data!A1278</f>
        <v>17 Aug 2025 08:19:10</v>
      </c>
      <c r="B1272" s="12" t="str">
        <f t="shared" si="1"/>
        <v>August</v>
      </c>
      <c r="C1272" s="12">
        <f t="shared" si="2"/>
        <v>8</v>
      </c>
      <c r="D1272" s="12" t="str">
        <f>IFERROR(__xludf.DUMMYFUNCTION("IFERROR(IF(REGEXMATCH(LOWER(Raw_Data!C1278),""fixed deposit|owealth|savings|target""),""Fixed Deposit"",IF(REGEXMATCH(LOWER(Raw_Data!C1278),""airtime""),""Airtime"",IF(REGEXMATCH(LOWER(Raw_Data!C1278),""electronic money transfer levy""),""Electronic Money"&amp;" Transfer Levy"",IF(REGEXMATCH(LOWER(Raw_Data!C1278),""transfer|trf|send""),""Transfer"",""Other"")))),""Other"")"),"Other")</f>
        <v>Other</v>
      </c>
      <c r="E1272" s="20">
        <v>2100.0</v>
      </c>
      <c r="F1272" s="20">
        <v>0.0</v>
      </c>
      <c r="G1272" s="12" t="str">
        <f t="shared" si="3"/>
        <v>Withdrawal</v>
      </c>
      <c r="H1272" s="12" t="str">
        <f>TEXT(Raw_Data!A1278,"hh:mm:ss")
</f>
        <v>08:19:10</v>
      </c>
      <c r="I1272" s="20">
        <f t="shared" si="4"/>
        <v>2100</v>
      </c>
    </row>
    <row r="1273">
      <c r="A1273" s="12" t="str">
        <f>Raw_Data!A1279</f>
        <v>17 Aug 2025 17:07:28</v>
      </c>
      <c r="B1273" s="12" t="str">
        <f t="shared" si="1"/>
        <v>August</v>
      </c>
      <c r="C1273" s="12">
        <f t="shared" si="2"/>
        <v>8</v>
      </c>
      <c r="D1273" s="12" t="str">
        <f>IFERROR(__xludf.DUMMYFUNCTION("IFERROR(IF(REGEXMATCH(LOWER(Raw_Data!C1279),""fixed deposit|owealth|savings|target""),""Fixed Deposit"",IF(REGEXMATCH(LOWER(Raw_Data!C1279),""airtime""),""Airtime"",IF(REGEXMATCH(LOWER(Raw_Data!C1279),""electronic money transfer levy""),""Electronic Money"&amp;" Transfer Levy"",IF(REGEXMATCH(LOWER(Raw_Data!C1279),""transfer|trf|send""),""Transfer"",""Other"")))),""Other"")"),"Other")</f>
        <v>Other</v>
      </c>
      <c r="E1273" s="20">
        <v>900.0</v>
      </c>
      <c r="F1273" s="20">
        <v>0.0</v>
      </c>
      <c r="G1273" s="12" t="str">
        <f t="shared" si="3"/>
        <v>Withdrawal</v>
      </c>
      <c r="H1273" s="12" t="str">
        <f>TEXT(Raw_Data!A1279,"hh:mm:ss")
</f>
        <v>17:07:28</v>
      </c>
      <c r="I1273" s="20">
        <f t="shared" si="4"/>
        <v>900</v>
      </c>
    </row>
    <row r="1274">
      <c r="A1274" s="12" t="str">
        <f>Raw_Data!A1280</f>
        <v>18 Aug 2025 05:27:20</v>
      </c>
      <c r="B1274" s="12" t="str">
        <f t="shared" si="1"/>
        <v>August</v>
      </c>
      <c r="C1274" s="12">
        <f t="shared" si="2"/>
        <v>8</v>
      </c>
      <c r="D1274" s="12" t="str">
        <f>IFERROR(__xludf.DUMMYFUNCTION("IFERROR(IF(REGEXMATCH(LOWER(Raw_Data!C1280),""fixed deposit|owealth|savings|target""),""Fixed Deposit"",IF(REGEXMATCH(LOWER(Raw_Data!C1280),""airtime""),""Airtime"",IF(REGEXMATCH(LOWER(Raw_Data!C1280),""electronic money transfer levy""),""Electronic Money"&amp;" Transfer Levy"",IF(REGEXMATCH(LOWER(Raw_Data!C1280),""transfer|trf|send""),""Transfer"",""Other"")))),""Other"")"),"Airtime")</f>
        <v>Airtime</v>
      </c>
      <c r="E1274" s="20">
        <v>380.0</v>
      </c>
      <c r="F1274" s="20">
        <v>0.0</v>
      </c>
      <c r="G1274" s="12" t="str">
        <f t="shared" si="3"/>
        <v>Withdrawal</v>
      </c>
      <c r="H1274" s="12" t="str">
        <f>TEXT(Raw_Data!A1280,"hh:mm:ss")
</f>
        <v>05:27:20</v>
      </c>
      <c r="I1274" s="20">
        <f t="shared" si="4"/>
        <v>380</v>
      </c>
    </row>
    <row r="1275">
      <c r="A1275" s="12" t="str">
        <f>Raw_Data!A1281</f>
        <v>18 Aug 2025 13:51:51</v>
      </c>
      <c r="B1275" s="12" t="str">
        <f t="shared" si="1"/>
        <v>August</v>
      </c>
      <c r="C1275" s="12">
        <f t="shared" si="2"/>
        <v>8</v>
      </c>
      <c r="D1275" s="12" t="str">
        <f>IFERROR(__xludf.DUMMYFUNCTION("IFERROR(IF(REGEXMATCH(LOWER(Raw_Data!C1281),""fixed deposit|owealth|savings|target""),""Fixed Deposit"",IF(REGEXMATCH(LOWER(Raw_Data!C1281),""airtime""),""Airtime"",IF(REGEXMATCH(LOWER(Raw_Data!C1281),""electronic money transfer levy""),""Electronic Money"&amp;" Transfer Levy"",IF(REGEXMATCH(LOWER(Raw_Data!C1281),""transfer|trf|send""),""Transfer"",""Other"")))),""Other"")"),"Other")</f>
        <v>Other</v>
      </c>
      <c r="E1275" s="20">
        <v>500.0</v>
      </c>
      <c r="F1275" s="20">
        <v>0.0</v>
      </c>
      <c r="G1275" s="12" t="str">
        <f t="shared" si="3"/>
        <v>Withdrawal</v>
      </c>
      <c r="H1275" s="12" t="str">
        <f>TEXT(Raw_Data!A1281,"hh:mm:ss")
</f>
        <v>13:51:51</v>
      </c>
      <c r="I1275" s="20">
        <f t="shared" si="4"/>
        <v>500</v>
      </c>
    </row>
    <row r="1276">
      <c r="A1276" s="12" t="str">
        <f>Raw_Data!A1282</f>
        <v>21 Aug 2025 09:59:43</v>
      </c>
      <c r="B1276" s="12" t="str">
        <f t="shared" si="1"/>
        <v>August</v>
      </c>
      <c r="C1276" s="12">
        <f t="shared" si="2"/>
        <v>8</v>
      </c>
      <c r="D1276" s="12" t="str">
        <f>IFERROR(__xludf.DUMMYFUNCTION("IFERROR(IF(REGEXMATCH(LOWER(Raw_Data!C1282),""fixed deposit|owealth|savings|target""),""Fixed Deposit"",IF(REGEXMATCH(LOWER(Raw_Data!C1282),""airtime""),""Airtime"",IF(REGEXMATCH(LOWER(Raw_Data!C1282),""electronic money transfer levy""),""Electronic Money"&amp;" Transfer Levy"",IF(REGEXMATCH(LOWER(Raw_Data!C1282),""transfer|trf|send""),""Transfer"",""Other"")))),""Other"")"),"Transfer")</f>
        <v>Transfer</v>
      </c>
      <c r="E1276" s="20">
        <v>0.0</v>
      </c>
      <c r="F1276" s="20">
        <v>21000.0</v>
      </c>
      <c r="G1276" s="12" t="str">
        <f t="shared" si="3"/>
        <v>Deposit</v>
      </c>
      <c r="H1276" s="12" t="str">
        <f>TEXT(Raw_Data!A1282,"hh:mm:ss")
</f>
        <v>09:59:43</v>
      </c>
      <c r="I1276" s="20">
        <f t="shared" si="4"/>
        <v>21000</v>
      </c>
    </row>
    <row r="1277">
      <c r="A1277" s="12" t="str">
        <f>Raw_Data!A1283</f>
        <v>21 Aug 2025 09:59:44</v>
      </c>
      <c r="B1277" s="12" t="str">
        <f t="shared" si="1"/>
        <v>August</v>
      </c>
      <c r="C1277" s="12">
        <f t="shared" si="2"/>
        <v>8</v>
      </c>
      <c r="D1277" s="12" t="str">
        <f>IFERROR(__xludf.DUMMYFUNCTION("IFERROR(IF(REGEXMATCH(LOWER(Raw_Data!C1283),""fixed deposit|owealth|savings|target""),""Fixed Deposit"",IF(REGEXMATCH(LOWER(Raw_Data!C1283),""airtime""),""Airtime"",IF(REGEXMATCH(LOWER(Raw_Data!C1283),""electronic money transfer levy""),""Electronic Money"&amp;" Transfer Levy"",IF(REGEXMATCH(LOWER(Raw_Data!C1283),""transfer|trf|send""),""Transfer"",""Other"")))),""Other"")"),"Electronic Money Transfer Levy")</f>
        <v>Electronic Money Transfer Levy</v>
      </c>
      <c r="E1277" s="20">
        <v>50.0</v>
      </c>
      <c r="F1277" s="20">
        <v>0.0</v>
      </c>
      <c r="G1277" s="12" t="str">
        <f t="shared" si="3"/>
        <v>Withdrawal</v>
      </c>
      <c r="H1277" s="12" t="str">
        <f>TEXT(Raw_Data!A1283,"hh:mm:ss")
</f>
        <v>09:59:44</v>
      </c>
      <c r="I1277" s="20">
        <f t="shared" si="4"/>
        <v>50</v>
      </c>
    </row>
    <row r="1278">
      <c r="A1278" s="12" t="str">
        <f>Raw_Data!A1284</f>
        <v>21 Aug 2025 10:00:14</v>
      </c>
      <c r="B1278" s="12" t="str">
        <f t="shared" si="1"/>
        <v>August</v>
      </c>
      <c r="C1278" s="12">
        <f t="shared" si="2"/>
        <v>8</v>
      </c>
      <c r="D1278" s="12" t="str">
        <f>IFERROR(__xludf.DUMMYFUNCTION("IFERROR(IF(REGEXMATCH(LOWER(Raw_Data!C1284),""fixed deposit|owealth|savings|target""),""Fixed Deposit"",IF(REGEXMATCH(LOWER(Raw_Data!C1284),""airtime""),""Airtime"",IF(REGEXMATCH(LOWER(Raw_Data!C1284),""electronic money transfer levy""),""Electronic Money"&amp;" Transfer Levy"",IF(REGEXMATCH(LOWER(Raw_Data!C1284),""transfer|trf|send""),""Transfer"",""Other"")))),""Other"")"),"Transfer")</f>
        <v>Transfer</v>
      </c>
      <c r="E1278" s="20">
        <v>2400.0</v>
      </c>
      <c r="F1278" s="20">
        <v>0.0</v>
      </c>
      <c r="G1278" s="12" t="str">
        <f t="shared" si="3"/>
        <v>Withdrawal</v>
      </c>
      <c r="H1278" s="12" t="str">
        <f>TEXT(Raw_Data!A1284,"hh:mm:ss")
</f>
        <v>10:00:14</v>
      </c>
      <c r="I1278" s="20">
        <f t="shared" si="4"/>
        <v>2400</v>
      </c>
    </row>
    <row r="1279">
      <c r="A1279" s="12" t="str">
        <f>Raw_Data!A1285</f>
        <v>22 Aug 2025 07:30:43</v>
      </c>
      <c r="B1279" s="12" t="str">
        <f t="shared" si="1"/>
        <v>August</v>
      </c>
      <c r="C1279" s="12">
        <f t="shared" si="2"/>
        <v>8</v>
      </c>
      <c r="D1279" s="12" t="str">
        <f>IFERROR(__xludf.DUMMYFUNCTION("IFERROR(IF(REGEXMATCH(LOWER(Raw_Data!C1285),""fixed deposit|owealth|savings|target""),""Fixed Deposit"",IF(REGEXMATCH(LOWER(Raw_Data!C1285),""airtime""),""Airtime"",IF(REGEXMATCH(LOWER(Raw_Data!C1285),""electronic money transfer levy""),""Electronic Money"&amp;" Transfer Levy"",IF(REGEXMATCH(LOWER(Raw_Data!C1285),""transfer|trf|send""),""Transfer"",""Other"")))),""Other"")"),"Transfer")</f>
        <v>Transfer</v>
      </c>
      <c r="E1279" s="20">
        <v>1000.0</v>
      </c>
      <c r="F1279" s="20">
        <v>0.0</v>
      </c>
      <c r="G1279" s="12" t="str">
        <f t="shared" si="3"/>
        <v>Withdrawal</v>
      </c>
      <c r="H1279" s="12" t="str">
        <f>TEXT(Raw_Data!A1285,"hh:mm:ss")
</f>
        <v>07:30:43</v>
      </c>
      <c r="I1279" s="20">
        <f t="shared" si="4"/>
        <v>1000</v>
      </c>
    </row>
    <row r="1280">
      <c r="A1280" s="12" t="str">
        <f>Raw_Data!A1286</f>
        <v>22 Aug 2025 09:10:13</v>
      </c>
      <c r="B1280" s="12" t="str">
        <f t="shared" si="1"/>
        <v>August</v>
      </c>
      <c r="C1280" s="12">
        <f t="shared" si="2"/>
        <v>8</v>
      </c>
      <c r="D1280" s="12" t="str">
        <f>IFERROR(__xludf.DUMMYFUNCTION("IFERROR(IF(REGEXMATCH(LOWER(Raw_Data!C1286),""fixed deposit|owealth|savings|target""),""Fixed Deposit"",IF(REGEXMATCH(LOWER(Raw_Data!C1286),""airtime""),""Airtime"",IF(REGEXMATCH(LOWER(Raw_Data!C1286),""electronic money transfer levy""),""Electronic Money"&amp;" Transfer Levy"",IF(REGEXMATCH(LOWER(Raw_Data!C1286),""transfer|trf|send""),""Transfer"",""Other"")))),""Other"")"),"Transfer")</f>
        <v>Transfer</v>
      </c>
      <c r="E1280" s="20">
        <v>0.0</v>
      </c>
      <c r="F1280" s="20">
        <v>21000.0</v>
      </c>
      <c r="G1280" s="12" t="str">
        <f t="shared" si="3"/>
        <v>Deposit</v>
      </c>
      <c r="H1280" s="12" t="str">
        <f>TEXT(Raw_Data!A1286,"hh:mm:ss")
</f>
        <v>09:10:13</v>
      </c>
      <c r="I1280" s="20">
        <f t="shared" si="4"/>
        <v>21000</v>
      </c>
    </row>
    <row r="1281">
      <c r="A1281" s="12" t="str">
        <f>Raw_Data!A1287</f>
        <v>22 Aug 2025 09:10:15</v>
      </c>
      <c r="B1281" s="12" t="str">
        <f t="shared" si="1"/>
        <v>August</v>
      </c>
      <c r="C1281" s="12">
        <f t="shared" si="2"/>
        <v>8</v>
      </c>
      <c r="D1281" s="12" t="str">
        <f>IFERROR(__xludf.DUMMYFUNCTION("IFERROR(IF(REGEXMATCH(LOWER(Raw_Data!C1287),""fixed deposit|owealth|savings|target""),""Fixed Deposit"",IF(REGEXMATCH(LOWER(Raw_Data!C1287),""airtime""),""Airtime"",IF(REGEXMATCH(LOWER(Raw_Data!C1287),""electronic money transfer levy""),""Electronic Money"&amp;" Transfer Levy"",IF(REGEXMATCH(LOWER(Raw_Data!C1287),""transfer|trf|send""),""Transfer"",""Other"")))),""Other"")"),"Electronic Money Transfer Levy")</f>
        <v>Electronic Money Transfer Levy</v>
      </c>
      <c r="E1281" s="20">
        <v>50.0</v>
      </c>
      <c r="F1281" s="20">
        <v>0.0</v>
      </c>
      <c r="G1281" s="12" t="str">
        <f t="shared" si="3"/>
        <v>Withdrawal</v>
      </c>
      <c r="H1281" s="12" t="str">
        <f>TEXT(Raw_Data!A1287,"hh:mm:ss")
</f>
        <v>09:10:15</v>
      </c>
      <c r="I1281" s="20">
        <f t="shared" si="4"/>
        <v>50</v>
      </c>
    </row>
    <row r="1282">
      <c r="A1282" s="12" t="str">
        <f>Raw_Data!A1288</f>
        <v>22 Aug 2025 09:48:49</v>
      </c>
      <c r="B1282" s="12" t="str">
        <f t="shared" si="1"/>
        <v>August</v>
      </c>
      <c r="C1282" s="12">
        <f t="shared" si="2"/>
        <v>8</v>
      </c>
      <c r="D1282" s="12" t="str">
        <f>IFERROR(__xludf.DUMMYFUNCTION("IFERROR(IF(REGEXMATCH(LOWER(Raw_Data!C1288),""fixed deposit|owealth|savings|target""),""Fixed Deposit"",IF(REGEXMATCH(LOWER(Raw_Data!C1288),""airtime""),""Airtime"",IF(REGEXMATCH(LOWER(Raw_Data!C1288),""electronic money transfer levy""),""Electronic Money"&amp;" Transfer Levy"",IF(REGEXMATCH(LOWER(Raw_Data!C1288),""transfer|trf|send""),""Transfer"",""Other"")))),""Other"")"),"Other")</f>
        <v>Other</v>
      </c>
      <c r="E1282" s="20">
        <v>21000.0</v>
      </c>
      <c r="F1282" s="20">
        <v>0.0</v>
      </c>
      <c r="G1282" s="12" t="str">
        <f t="shared" si="3"/>
        <v>Withdrawal</v>
      </c>
      <c r="H1282" s="12" t="str">
        <f>TEXT(Raw_Data!A1288,"hh:mm:ss")
</f>
        <v>09:48:49</v>
      </c>
      <c r="I1282" s="20">
        <f t="shared" si="4"/>
        <v>21000</v>
      </c>
    </row>
    <row r="1283">
      <c r="A1283" s="12" t="str">
        <f>Raw_Data!A1289</f>
        <v>22 Aug 2025 11:06:38</v>
      </c>
      <c r="B1283" s="12" t="str">
        <f t="shared" si="1"/>
        <v>August</v>
      </c>
      <c r="C1283" s="12">
        <f t="shared" si="2"/>
        <v>8</v>
      </c>
      <c r="D1283" s="12" t="str">
        <f>IFERROR(__xludf.DUMMYFUNCTION("IFERROR(IF(REGEXMATCH(LOWER(Raw_Data!C1289),""fixed deposit|owealth|savings|target""),""Fixed Deposit"",IF(REGEXMATCH(LOWER(Raw_Data!C1289),""airtime""),""Airtime"",IF(REGEXMATCH(LOWER(Raw_Data!C1289),""electronic money transfer levy""),""Electronic Money"&amp;" Transfer Levy"",IF(REGEXMATCH(LOWER(Raw_Data!C1289),""transfer|trf|send""),""Transfer"",""Other"")))),""Other"")"),"Transfer")</f>
        <v>Transfer</v>
      </c>
      <c r="E1283" s="20">
        <v>0.0</v>
      </c>
      <c r="F1283" s="20">
        <v>1000.0</v>
      </c>
      <c r="G1283" s="12" t="str">
        <f t="shared" si="3"/>
        <v>Deposit</v>
      </c>
      <c r="H1283" s="12" t="str">
        <f>TEXT(Raw_Data!A1289,"hh:mm:ss")
</f>
        <v>11:06:38</v>
      </c>
      <c r="I1283" s="20">
        <f t="shared" si="4"/>
        <v>1000</v>
      </c>
    </row>
    <row r="1284">
      <c r="A1284" s="12" t="str">
        <f>Raw_Data!A1290</f>
        <v>23 Aug 2025 09:41:09</v>
      </c>
      <c r="B1284" s="12" t="str">
        <f t="shared" si="1"/>
        <v>August</v>
      </c>
      <c r="C1284" s="12">
        <f t="shared" si="2"/>
        <v>8</v>
      </c>
      <c r="D1284" s="12" t="str">
        <f>IFERROR(__xludf.DUMMYFUNCTION("IFERROR(IF(REGEXMATCH(LOWER(Raw_Data!C1290),""fixed deposit|owealth|savings|target""),""Fixed Deposit"",IF(REGEXMATCH(LOWER(Raw_Data!C1290),""airtime""),""Airtime"",IF(REGEXMATCH(LOWER(Raw_Data!C1290),""electronic money transfer levy""),""Electronic Money"&amp;" Transfer Levy"",IF(REGEXMATCH(LOWER(Raw_Data!C1290),""transfer|trf|send""),""Transfer"",""Other"")))),""Other"")"),"Transfer")</f>
        <v>Transfer</v>
      </c>
      <c r="E1284" s="20">
        <v>360.0</v>
      </c>
      <c r="F1284" s="20">
        <v>0.0</v>
      </c>
      <c r="G1284" s="12" t="str">
        <f t="shared" si="3"/>
        <v>Withdrawal</v>
      </c>
      <c r="H1284" s="12" t="str">
        <f>TEXT(Raw_Data!A1290,"hh:mm:ss")
</f>
        <v>09:41:09</v>
      </c>
      <c r="I1284" s="20">
        <f t="shared" si="4"/>
        <v>360</v>
      </c>
    </row>
    <row r="1285">
      <c r="A1285" s="12" t="str">
        <f>Raw_Data!A1291</f>
        <v>23 Aug 2025 09:41:24</v>
      </c>
      <c r="B1285" s="12" t="str">
        <f t="shared" si="1"/>
        <v>August</v>
      </c>
      <c r="C1285" s="12">
        <f t="shared" si="2"/>
        <v>8</v>
      </c>
      <c r="D1285" s="12" t="str">
        <f>IFERROR(__xludf.DUMMYFUNCTION("IFERROR(IF(REGEXMATCH(LOWER(Raw_Data!C1291),""fixed deposit|owealth|savings|target""),""Fixed Deposit"",IF(REGEXMATCH(LOWER(Raw_Data!C1291),""airtime""),""Airtime"",IF(REGEXMATCH(LOWER(Raw_Data!C1291),""electronic money transfer levy""),""Electronic Money"&amp;" Transfer Levy"",IF(REGEXMATCH(LOWER(Raw_Data!C1291),""transfer|trf|send""),""Transfer"",""Other"")))),""Other"")"),"Airtime")</f>
        <v>Airtime</v>
      </c>
      <c r="E1285" s="20">
        <v>200.0</v>
      </c>
      <c r="F1285" s="20">
        <v>0.0</v>
      </c>
      <c r="G1285" s="12" t="str">
        <f t="shared" si="3"/>
        <v>Withdrawal</v>
      </c>
      <c r="H1285" s="12" t="str">
        <f>TEXT(Raw_Data!A1291,"hh:mm:ss")
</f>
        <v>09:41:24</v>
      </c>
      <c r="I1285" s="20">
        <f t="shared" si="4"/>
        <v>200</v>
      </c>
    </row>
    <row r="1286">
      <c r="A1286" s="12" t="str">
        <f>Raw_Data!A1292</f>
        <v>23 Aug 2025 10:02:37</v>
      </c>
      <c r="B1286" s="12" t="str">
        <f t="shared" si="1"/>
        <v>August</v>
      </c>
      <c r="C1286" s="12">
        <f t="shared" si="2"/>
        <v>8</v>
      </c>
      <c r="D1286" s="12" t="str">
        <f>IFERROR(__xludf.DUMMYFUNCTION("IFERROR(IF(REGEXMATCH(LOWER(Raw_Data!C1292),""fixed deposit|owealth|savings|target""),""Fixed Deposit"",IF(REGEXMATCH(LOWER(Raw_Data!C1292),""airtime""),""Airtime"",IF(REGEXMATCH(LOWER(Raw_Data!C1292),""electronic money transfer levy""),""Electronic Money"&amp;" Transfer Levy"",IF(REGEXMATCH(LOWER(Raw_Data!C1292),""transfer|trf|send""),""Transfer"",""Other"")))),""Other"")"),"Transfer")</f>
        <v>Transfer</v>
      </c>
      <c r="E1286" s="20">
        <v>0.0</v>
      </c>
      <c r="F1286" s="20">
        <v>8000.0</v>
      </c>
      <c r="G1286" s="12" t="str">
        <f t="shared" si="3"/>
        <v>Deposit</v>
      </c>
      <c r="H1286" s="12" t="str">
        <f>TEXT(Raw_Data!A1292,"hh:mm:ss")
</f>
        <v>10:02:37</v>
      </c>
      <c r="I1286" s="20">
        <f t="shared" si="4"/>
        <v>8000</v>
      </c>
    </row>
    <row r="1287">
      <c r="A1287" s="12" t="str">
        <f>Raw_Data!A1293</f>
        <v>23 Aug 2025 10:03:15</v>
      </c>
      <c r="B1287" s="12" t="str">
        <f t="shared" si="1"/>
        <v>August</v>
      </c>
      <c r="C1287" s="12">
        <f t="shared" si="2"/>
        <v>8</v>
      </c>
      <c r="D1287" s="12" t="str">
        <f>IFERROR(__xludf.DUMMYFUNCTION("IFERROR(IF(REGEXMATCH(LOWER(Raw_Data!C1293),""fixed deposit|owealth|savings|target""),""Fixed Deposit"",IF(REGEXMATCH(LOWER(Raw_Data!C1293),""airtime""),""Airtime"",IF(REGEXMATCH(LOWER(Raw_Data!C1293),""electronic money transfer levy""),""Electronic Money"&amp;" Transfer Levy"",IF(REGEXMATCH(LOWER(Raw_Data!C1293),""transfer|trf|send""),""Transfer"",""Other"")))),""Other"")"),"Transfer")</f>
        <v>Transfer</v>
      </c>
      <c r="E1287" s="20">
        <v>2200.0</v>
      </c>
      <c r="F1287" s="20">
        <v>0.0</v>
      </c>
      <c r="G1287" s="12" t="str">
        <f t="shared" si="3"/>
        <v>Withdrawal</v>
      </c>
      <c r="H1287" s="12" t="str">
        <f>TEXT(Raw_Data!A1293,"hh:mm:ss")
</f>
        <v>10:03:15</v>
      </c>
      <c r="I1287" s="20">
        <f t="shared" si="4"/>
        <v>2200</v>
      </c>
    </row>
    <row r="1288">
      <c r="A1288" s="12" t="str">
        <f>Raw_Data!A1294</f>
        <v>23 Aug 2025 10:06:09</v>
      </c>
      <c r="B1288" s="12" t="str">
        <f t="shared" si="1"/>
        <v>August</v>
      </c>
      <c r="C1288" s="12">
        <f t="shared" si="2"/>
        <v>8</v>
      </c>
      <c r="D1288" s="12" t="str">
        <f>IFERROR(__xludf.DUMMYFUNCTION("IFERROR(IF(REGEXMATCH(LOWER(Raw_Data!C1294),""fixed deposit|owealth|savings|target""),""Fixed Deposit"",IF(REGEXMATCH(LOWER(Raw_Data!C1294),""airtime""),""Airtime"",IF(REGEXMATCH(LOWER(Raw_Data!C1294),""electronic money transfer levy""),""Electronic Money"&amp;" Transfer Levy"",IF(REGEXMATCH(LOWER(Raw_Data!C1294),""transfer|trf|send""),""Transfer"",""Other"")))),""Other"")"),"Transfer")</f>
        <v>Transfer</v>
      </c>
      <c r="E1288" s="20">
        <v>6500.0</v>
      </c>
      <c r="F1288" s="20">
        <v>0.0</v>
      </c>
      <c r="G1288" s="12" t="str">
        <f t="shared" si="3"/>
        <v>Withdrawal</v>
      </c>
      <c r="H1288" s="12" t="str">
        <f>TEXT(Raw_Data!A1294,"hh:mm:ss")
</f>
        <v>10:06:09</v>
      </c>
      <c r="I1288" s="20">
        <f t="shared" si="4"/>
        <v>6500</v>
      </c>
    </row>
    <row r="1289">
      <c r="A1289" s="12" t="str">
        <f>Raw_Data!A1295</f>
        <v>23 Aug 2025 10:06:36</v>
      </c>
      <c r="B1289" s="12" t="str">
        <f t="shared" si="1"/>
        <v>August</v>
      </c>
      <c r="C1289" s="12">
        <f t="shared" si="2"/>
        <v>8</v>
      </c>
      <c r="D1289" s="12" t="str">
        <f>IFERROR(__xludf.DUMMYFUNCTION("IFERROR(IF(REGEXMATCH(LOWER(Raw_Data!C1295),""fixed deposit|owealth|savings|target""),""Fixed Deposit"",IF(REGEXMATCH(LOWER(Raw_Data!C1295),""airtime""),""Airtime"",IF(REGEXMATCH(LOWER(Raw_Data!C1295),""electronic money transfer levy""),""Electronic Money"&amp;" Transfer Levy"",IF(REGEXMATCH(LOWER(Raw_Data!C1295),""transfer|trf|send""),""Transfer"",""Other"")))),""Other"")"),"Transfer")</f>
        <v>Transfer</v>
      </c>
      <c r="E1289" s="20">
        <v>0.0</v>
      </c>
      <c r="F1289" s="20">
        <v>2000.0</v>
      </c>
      <c r="G1289" s="12" t="str">
        <f t="shared" si="3"/>
        <v>Deposit</v>
      </c>
      <c r="H1289" s="12" t="str">
        <f>TEXT(Raw_Data!A1295,"hh:mm:ss")
</f>
        <v>10:06:36</v>
      </c>
      <c r="I1289" s="20">
        <f t="shared" si="4"/>
        <v>2000</v>
      </c>
    </row>
    <row r="1290">
      <c r="A1290" s="12" t="str">
        <f>Raw_Data!A1296</f>
        <v>23 Aug 2025 10:07:42</v>
      </c>
      <c r="B1290" s="12" t="str">
        <f t="shared" si="1"/>
        <v>August</v>
      </c>
      <c r="C1290" s="12">
        <f t="shared" si="2"/>
        <v>8</v>
      </c>
      <c r="D1290" s="12" t="str">
        <f>IFERROR(__xludf.DUMMYFUNCTION("IFERROR(IF(REGEXMATCH(LOWER(Raw_Data!C1296),""fixed deposit|owealth|savings|target""),""Fixed Deposit"",IF(REGEXMATCH(LOWER(Raw_Data!C1296),""airtime""),""Airtime"",IF(REGEXMATCH(LOWER(Raw_Data!C1296),""electronic money transfer levy""),""Electronic Money"&amp;" Transfer Levy"",IF(REGEXMATCH(LOWER(Raw_Data!C1296),""transfer|trf|send""),""Transfer"",""Other"")))),""Other"")"),"Transfer")</f>
        <v>Transfer</v>
      </c>
      <c r="E1290" s="20">
        <v>2110.0</v>
      </c>
      <c r="F1290" s="20">
        <v>0.0</v>
      </c>
      <c r="G1290" s="12" t="str">
        <f t="shared" si="3"/>
        <v>Withdrawal</v>
      </c>
      <c r="H1290" s="12" t="str">
        <f>TEXT(Raw_Data!A1296,"hh:mm:ss")
</f>
        <v>10:07:42</v>
      </c>
      <c r="I1290" s="20">
        <f t="shared" si="4"/>
        <v>2110</v>
      </c>
    </row>
    <row r="1291">
      <c r="A1291" s="12" t="str">
        <f>Raw_Data!A1297</f>
        <v>23 Aug 2025 20:50:27</v>
      </c>
      <c r="B1291" s="12" t="str">
        <f t="shared" si="1"/>
        <v>August</v>
      </c>
      <c r="C1291" s="12">
        <f t="shared" si="2"/>
        <v>8</v>
      </c>
      <c r="D1291" s="12" t="str">
        <f>IFERROR(__xludf.DUMMYFUNCTION("IFERROR(IF(REGEXMATCH(LOWER(Raw_Data!C1297),""fixed deposit|owealth|savings|target""),""Fixed Deposit"",IF(REGEXMATCH(LOWER(Raw_Data!C1297),""airtime""),""Airtime"",IF(REGEXMATCH(LOWER(Raw_Data!C1297),""electronic money transfer levy""),""Electronic Money"&amp;" Transfer Levy"",IF(REGEXMATCH(LOWER(Raw_Data!C1297),""transfer|trf|send""),""Transfer"",""Other"")))),""Other"")"),"Transfer")</f>
        <v>Transfer</v>
      </c>
      <c r="E1291" s="20">
        <v>0.0</v>
      </c>
      <c r="F1291" s="20">
        <v>1000.0</v>
      </c>
      <c r="G1291" s="12" t="str">
        <f t="shared" si="3"/>
        <v>Deposit</v>
      </c>
      <c r="H1291" s="12" t="str">
        <f>TEXT(Raw_Data!A1297,"hh:mm:ss")
</f>
        <v>20:50:27</v>
      </c>
      <c r="I1291" s="20">
        <f t="shared" si="4"/>
        <v>1000</v>
      </c>
    </row>
    <row r="1292">
      <c r="A1292" s="12" t="str">
        <f>Raw_Data!A1298</f>
        <v>23 Aug 2025 20:51:46</v>
      </c>
      <c r="B1292" s="12" t="str">
        <f t="shared" si="1"/>
        <v>August</v>
      </c>
      <c r="C1292" s="12">
        <f t="shared" si="2"/>
        <v>8</v>
      </c>
      <c r="D1292" s="12" t="str">
        <f>IFERROR(__xludf.DUMMYFUNCTION("IFERROR(IF(REGEXMATCH(LOWER(Raw_Data!C1298),""fixed deposit|owealth|savings|target""),""Fixed Deposit"",IF(REGEXMATCH(LOWER(Raw_Data!C1298),""airtime""),""Airtime"",IF(REGEXMATCH(LOWER(Raw_Data!C1298),""electronic money transfer levy""),""Electronic Money"&amp;" Transfer Levy"",IF(REGEXMATCH(LOWER(Raw_Data!C1298),""transfer|trf|send""),""Transfer"",""Other"")))),""Other"")"),"Airtime")</f>
        <v>Airtime</v>
      </c>
      <c r="E1292" s="20">
        <v>1000.0</v>
      </c>
      <c r="F1292" s="20">
        <v>0.0</v>
      </c>
      <c r="G1292" s="12" t="str">
        <f t="shared" si="3"/>
        <v>Withdrawal</v>
      </c>
      <c r="H1292" s="12" t="str">
        <f>TEXT(Raw_Data!A1298,"hh:mm:ss")
</f>
        <v>20:51:46</v>
      </c>
      <c r="I1292" s="20">
        <f t="shared" si="4"/>
        <v>1000</v>
      </c>
    </row>
    <row r="1293">
      <c r="A1293" s="12" t="str">
        <f>Raw_Data!A1299</f>
        <v>24 Aug 2025 04:51:41</v>
      </c>
      <c r="B1293" s="12" t="str">
        <f t="shared" si="1"/>
        <v>August</v>
      </c>
      <c r="C1293" s="12">
        <f t="shared" si="2"/>
        <v>8</v>
      </c>
      <c r="D1293" s="12" t="str">
        <f>IFERROR(__xludf.DUMMYFUNCTION("IFERROR(IF(REGEXMATCH(LOWER(Raw_Data!C1299),""fixed deposit|owealth|savings|target""),""Fixed Deposit"",IF(REGEXMATCH(LOWER(Raw_Data!C1299),""airtime""),""Airtime"",IF(REGEXMATCH(LOWER(Raw_Data!C1299),""electronic money transfer levy""),""Electronic Money"&amp;" Transfer Levy"",IF(REGEXMATCH(LOWER(Raw_Data!C1299),""transfer|trf|send""),""Transfer"",""Other"")))),""Other"")"),"Transfer")</f>
        <v>Transfer</v>
      </c>
      <c r="E1293" s="20">
        <v>0.0</v>
      </c>
      <c r="F1293" s="20">
        <v>1000.0</v>
      </c>
      <c r="G1293" s="12" t="str">
        <f t="shared" si="3"/>
        <v>Deposit</v>
      </c>
      <c r="H1293" s="12" t="str">
        <f>TEXT(Raw_Data!A1299,"hh:mm:ss")
</f>
        <v>04:51:41</v>
      </c>
      <c r="I1293" s="20">
        <f t="shared" si="4"/>
        <v>1000</v>
      </c>
    </row>
    <row r="1294">
      <c r="A1294" s="12" t="str">
        <f>Raw_Data!A1300</f>
        <v>24 Aug 2025 04:52:08</v>
      </c>
      <c r="B1294" s="12" t="str">
        <f t="shared" si="1"/>
        <v>August</v>
      </c>
      <c r="C1294" s="12">
        <f t="shared" si="2"/>
        <v>8</v>
      </c>
      <c r="D1294" s="12" t="str">
        <f>IFERROR(__xludf.DUMMYFUNCTION("IFERROR(IF(REGEXMATCH(LOWER(Raw_Data!C1300),""fixed deposit|owealth|savings|target""),""Fixed Deposit"",IF(REGEXMATCH(LOWER(Raw_Data!C1300),""airtime""),""Airtime"",IF(REGEXMATCH(LOWER(Raw_Data!C1300),""electronic money transfer levy""),""Electronic Money"&amp;" Transfer Levy"",IF(REGEXMATCH(LOWER(Raw_Data!C1300),""transfer|trf|send""),""Transfer"",""Other"")))),""Other"")"),"Airtime")</f>
        <v>Airtime</v>
      </c>
      <c r="E1294" s="20">
        <v>18000.0</v>
      </c>
      <c r="F1294" s="20">
        <v>0.0</v>
      </c>
      <c r="G1294" s="12" t="str">
        <f t="shared" si="3"/>
        <v>Withdrawal</v>
      </c>
      <c r="H1294" s="12" t="str">
        <f>TEXT(Raw_Data!A1300,"hh:mm:ss")
</f>
        <v>04:52:08</v>
      </c>
      <c r="I1294" s="20">
        <f t="shared" si="4"/>
        <v>18000</v>
      </c>
    </row>
    <row r="1295">
      <c r="A1295" s="12" t="str">
        <f>Raw_Data!A1301</f>
        <v>24 Aug 2025 04:53:55</v>
      </c>
      <c r="B1295" s="12" t="str">
        <f t="shared" si="1"/>
        <v>August</v>
      </c>
      <c r="C1295" s="12">
        <f t="shared" si="2"/>
        <v>8</v>
      </c>
      <c r="D1295" s="12" t="str">
        <f>IFERROR(__xludf.DUMMYFUNCTION("IFERROR(IF(REGEXMATCH(LOWER(Raw_Data!C1301),""fixed deposit|owealth|savings|target""),""Fixed Deposit"",IF(REGEXMATCH(LOWER(Raw_Data!C1301),""airtime""),""Airtime"",IF(REGEXMATCH(LOWER(Raw_Data!C1301),""electronic money transfer levy""),""Electronic Money"&amp;" Transfer Levy"",IF(REGEXMATCH(LOWER(Raw_Data!C1301),""transfer|trf|send""),""Transfer"",""Other"")))),""Other"")"),"Airtime")</f>
        <v>Airtime</v>
      </c>
      <c r="E1295" s="20">
        <v>400.0</v>
      </c>
      <c r="F1295" s="20">
        <v>0.0</v>
      </c>
      <c r="G1295" s="12" t="str">
        <f t="shared" si="3"/>
        <v>Withdrawal</v>
      </c>
      <c r="H1295" s="12" t="str">
        <f>TEXT(Raw_Data!A1301,"hh:mm:ss")
</f>
        <v>04:53:55</v>
      </c>
      <c r="I1295" s="20">
        <f t="shared" si="4"/>
        <v>400</v>
      </c>
    </row>
    <row r="1296">
      <c r="A1296" s="12" t="str">
        <f>Raw_Data!A1302</f>
        <v>25 Aug 2025 06:29:15</v>
      </c>
      <c r="B1296" s="12" t="str">
        <f t="shared" si="1"/>
        <v>August</v>
      </c>
      <c r="C1296" s="12">
        <f t="shared" si="2"/>
        <v>8</v>
      </c>
      <c r="D1296" s="12" t="str">
        <f>IFERROR(__xludf.DUMMYFUNCTION("IFERROR(IF(REGEXMATCH(LOWER(Raw_Data!C1302),""fixed deposit|owealth|savings|target""),""Fixed Deposit"",IF(REGEXMATCH(LOWER(Raw_Data!C1302),""airtime""),""Airtime"",IF(REGEXMATCH(LOWER(Raw_Data!C1302),""electronic money transfer levy""),""Electronic Money"&amp;" Transfer Levy"",IF(REGEXMATCH(LOWER(Raw_Data!C1302),""transfer|trf|send""),""Transfer"",""Other"")))),""Other"")"),"Transfer")</f>
        <v>Transfer</v>
      </c>
      <c r="E1296" s="20">
        <v>0.0</v>
      </c>
      <c r="F1296" s="20">
        <v>1000.0</v>
      </c>
      <c r="G1296" s="12" t="str">
        <f t="shared" si="3"/>
        <v>Deposit</v>
      </c>
      <c r="H1296" s="12" t="str">
        <f>TEXT(Raw_Data!A1302,"hh:mm:ss")
</f>
        <v>06:29:15</v>
      </c>
      <c r="I1296" s="20">
        <f t="shared" si="4"/>
        <v>1000</v>
      </c>
    </row>
    <row r="1297">
      <c r="A1297" s="12" t="str">
        <f>Raw_Data!A1303</f>
        <v>25 Aug 2025 12:02:12</v>
      </c>
      <c r="B1297" s="12" t="str">
        <f t="shared" si="1"/>
        <v>August</v>
      </c>
      <c r="C1297" s="12">
        <f t="shared" si="2"/>
        <v>8</v>
      </c>
      <c r="D1297" s="12" t="str">
        <f>IFERROR(__xludf.DUMMYFUNCTION("IFERROR(IF(REGEXMATCH(LOWER(Raw_Data!C1303),""fixed deposit|owealth|savings|target""),""Fixed Deposit"",IF(REGEXMATCH(LOWER(Raw_Data!C1303),""airtime""),""Airtime"",IF(REGEXMATCH(LOWER(Raw_Data!C1303),""electronic money transfer levy""),""Electronic Money"&amp;" Transfer Levy"",IF(REGEXMATCH(LOWER(Raw_Data!C1303),""transfer|trf|send""),""Transfer"",""Other"")))),""Other"")"),"Transfer")</f>
        <v>Transfer</v>
      </c>
      <c r="E1297" s="20">
        <v>400.0</v>
      </c>
      <c r="F1297" s="20">
        <v>0.0</v>
      </c>
      <c r="G1297" s="12" t="str">
        <f t="shared" si="3"/>
        <v>Withdrawal</v>
      </c>
      <c r="H1297" s="12" t="str">
        <f>TEXT(Raw_Data!A1303,"hh:mm:ss")
</f>
        <v>12:02:12</v>
      </c>
      <c r="I1297" s="20">
        <f t="shared" si="4"/>
        <v>400</v>
      </c>
    </row>
    <row r="1298">
      <c r="A1298" s="12" t="str">
        <f>Raw_Data!A1304</f>
        <v>25 Aug 2025 17:59:24</v>
      </c>
      <c r="B1298" s="12" t="str">
        <f t="shared" si="1"/>
        <v>August</v>
      </c>
      <c r="C1298" s="12">
        <f t="shared" si="2"/>
        <v>8</v>
      </c>
      <c r="D1298" s="12" t="str">
        <f>IFERROR(__xludf.DUMMYFUNCTION("IFERROR(IF(REGEXMATCH(LOWER(Raw_Data!C1304),""fixed deposit|owealth|savings|target""),""Fixed Deposit"",IF(REGEXMATCH(LOWER(Raw_Data!C1304),""airtime""),""Airtime"",IF(REGEXMATCH(LOWER(Raw_Data!C1304),""electronic money transfer levy""),""Electronic Money"&amp;" Transfer Levy"",IF(REGEXMATCH(LOWER(Raw_Data!C1304),""transfer|trf|send""),""Transfer"",""Other"")))),""Other"")"),"Airtime")</f>
        <v>Airtime</v>
      </c>
      <c r="E1298" s="20">
        <v>200.0</v>
      </c>
      <c r="F1298" s="20">
        <v>0.0</v>
      </c>
      <c r="G1298" s="12" t="str">
        <f t="shared" si="3"/>
        <v>Withdrawal</v>
      </c>
      <c r="H1298" s="12" t="str">
        <f>TEXT(Raw_Data!A1304,"hh:mm:ss")
</f>
        <v>17:59:24</v>
      </c>
      <c r="I1298" s="20">
        <f t="shared" si="4"/>
        <v>200</v>
      </c>
    </row>
    <row r="1299">
      <c r="A1299" s="12" t="str">
        <f>Raw_Data!A1305</f>
        <v>26 Aug 2025 11:45:14</v>
      </c>
      <c r="B1299" s="12" t="str">
        <f t="shared" si="1"/>
        <v>August</v>
      </c>
      <c r="C1299" s="12">
        <f t="shared" si="2"/>
        <v>8</v>
      </c>
      <c r="D1299" s="12" t="str">
        <f>IFERROR(__xludf.DUMMYFUNCTION("IFERROR(IF(REGEXMATCH(LOWER(Raw_Data!C1305),""fixed deposit|owealth|savings|target""),""Fixed Deposit"",IF(REGEXMATCH(LOWER(Raw_Data!C1305),""airtime""),""Airtime"",IF(REGEXMATCH(LOWER(Raw_Data!C1305),""electronic money transfer levy""),""Electronic Money"&amp;" Transfer Levy"",IF(REGEXMATCH(LOWER(Raw_Data!C1305),""transfer|trf|send""),""Transfer"",""Other"")))),""Other"")"),"Transfer")</f>
        <v>Transfer</v>
      </c>
      <c r="E1299" s="20">
        <v>0.0</v>
      </c>
      <c r="F1299" s="20">
        <v>27483.0</v>
      </c>
      <c r="G1299" s="12" t="str">
        <f t="shared" si="3"/>
        <v>Deposit</v>
      </c>
      <c r="H1299" s="12" t="str">
        <f>TEXT(Raw_Data!A1305,"hh:mm:ss")
</f>
        <v>11:45:14</v>
      </c>
      <c r="I1299" s="20">
        <f t="shared" si="4"/>
        <v>27483</v>
      </c>
    </row>
    <row r="1300">
      <c r="A1300" s="12" t="str">
        <f>Raw_Data!A1306</f>
        <v>26 Aug 2025 11:45:15</v>
      </c>
      <c r="B1300" s="12" t="str">
        <f t="shared" si="1"/>
        <v>August</v>
      </c>
      <c r="C1300" s="12">
        <f t="shared" si="2"/>
        <v>8</v>
      </c>
      <c r="D1300" s="12" t="str">
        <f>IFERROR(__xludf.DUMMYFUNCTION("IFERROR(IF(REGEXMATCH(LOWER(Raw_Data!C1306),""fixed deposit|owealth|savings|target""),""Fixed Deposit"",IF(REGEXMATCH(LOWER(Raw_Data!C1306),""airtime""),""Airtime"",IF(REGEXMATCH(LOWER(Raw_Data!C1306),""electronic money transfer levy""),""Electronic Money"&amp;" Transfer Levy"",IF(REGEXMATCH(LOWER(Raw_Data!C1306),""transfer|trf|send""),""Transfer"",""Other"")))),""Other"")"),"Electronic Money Transfer Levy")</f>
        <v>Electronic Money Transfer Levy</v>
      </c>
      <c r="E1300" s="20">
        <v>50.0</v>
      </c>
      <c r="F1300" s="20">
        <v>0.0</v>
      </c>
      <c r="G1300" s="12" t="str">
        <f t="shared" si="3"/>
        <v>Withdrawal</v>
      </c>
      <c r="H1300" s="12" t="str">
        <f>TEXT(Raw_Data!A1306,"hh:mm:ss")
</f>
        <v>11:45:15</v>
      </c>
      <c r="I1300" s="20">
        <f t="shared" si="4"/>
        <v>50</v>
      </c>
    </row>
    <row r="1301">
      <c r="A1301" s="12" t="str">
        <f>Raw_Data!A1307</f>
        <v>26 Aug 2025 11:46:35</v>
      </c>
      <c r="B1301" s="12" t="str">
        <f t="shared" si="1"/>
        <v>August</v>
      </c>
      <c r="C1301" s="12">
        <f t="shared" si="2"/>
        <v>8</v>
      </c>
      <c r="D1301" s="12" t="str">
        <f>IFERROR(__xludf.DUMMYFUNCTION("IFERROR(IF(REGEXMATCH(LOWER(Raw_Data!C1307),""fixed deposit|owealth|savings|target""),""Fixed Deposit"",IF(REGEXMATCH(LOWER(Raw_Data!C1307),""airtime""),""Airtime"",IF(REGEXMATCH(LOWER(Raw_Data!C1307),""electronic money transfer levy""),""Electronic Money"&amp;" Transfer Levy"",IF(REGEXMATCH(LOWER(Raw_Data!C1307),""transfer|trf|send""),""Transfer"",""Other"")))),""Other"")"),"Transfer")</f>
        <v>Transfer</v>
      </c>
      <c r="E1301" s="20">
        <v>27000.0</v>
      </c>
      <c r="F1301" s="20">
        <v>0.0</v>
      </c>
      <c r="G1301" s="12" t="str">
        <f t="shared" si="3"/>
        <v>Withdrawal</v>
      </c>
      <c r="H1301" s="12" t="str">
        <f>TEXT(Raw_Data!A1307,"hh:mm:ss")
</f>
        <v>11:46:35</v>
      </c>
      <c r="I1301" s="20">
        <f t="shared" si="4"/>
        <v>27000</v>
      </c>
    </row>
    <row r="1302">
      <c r="A1302" s="12" t="str">
        <f>Raw_Data!A1308</f>
        <v>26 Aug 2025 13:36:45</v>
      </c>
      <c r="B1302" s="12" t="str">
        <f t="shared" si="1"/>
        <v>August</v>
      </c>
      <c r="C1302" s="12">
        <f t="shared" si="2"/>
        <v>8</v>
      </c>
      <c r="D1302" s="12" t="str">
        <f>IFERROR(__xludf.DUMMYFUNCTION("IFERROR(IF(REGEXMATCH(LOWER(Raw_Data!C1308),""fixed deposit|owealth|savings|target""),""Fixed Deposit"",IF(REGEXMATCH(LOWER(Raw_Data!C1308),""airtime""),""Airtime"",IF(REGEXMATCH(LOWER(Raw_Data!C1308),""electronic money transfer levy""),""Electronic Money"&amp;" Transfer Levy"",IF(REGEXMATCH(LOWER(Raw_Data!C1308),""transfer|trf|send""),""Transfer"",""Other"")))),""Other"")"),"Transfer")</f>
        <v>Transfer</v>
      </c>
      <c r="E1302" s="20">
        <v>0.0</v>
      </c>
      <c r="F1302" s="20">
        <v>1000.0</v>
      </c>
      <c r="G1302" s="12" t="str">
        <f t="shared" si="3"/>
        <v>Deposit</v>
      </c>
      <c r="H1302" s="12" t="str">
        <f>TEXT(Raw_Data!A1308,"hh:mm:ss")
</f>
        <v>13:36:45</v>
      </c>
      <c r="I1302" s="20">
        <f t="shared" si="4"/>
        <v>1000</v>
      </c>
    </row>
    <row r="1303">
      <c r="A1303" s="12" t="str">
        <f>Raw_Data!A1309</f>
        <v>26 Aug 2025 13:37:11</v>
      </c>
      <c r="B1303" s="12" t="str">
        <f t="shared" si="1"/>
        <v>August</v>
      </c>
      <c r="C1303" s="12">
        <f t="shared" si="2"/>
        <v>8</v>
      </c>
      <c r="D1303" s="12" t="str">
        <f>IFERROR(__xludf.DUMMYFUNCTION("IFERROR(IF(REGEXMATCH(LOWER(Raw_Data!C1309),""fixed deposit|owealth|savings|target""),""Fixed Deposit"",IF(REGEXMATCH(LOWER(Raw_Data!C1309),""airtime""),""Airtime"",IF(REGEXMATCH(LOWER(Raw_Data!C1309),""electronic money transfer levy""),""Electronic Money"&amp;" Transfer Levy"",IF(REGEXMATCH(LOWER(Raw_Data!C1309),""transfer|trf|send""),""Transfer"",""Other"")))),""Other"")"),"Transfer")</f>
        <v>Transfer</v>
      </c>
      <c r="E1303" s="20">
        <v>550.0</v>
      </c>
      <c r="F1303" s="20">
        <v>0.0</v>
      </c>
      <c r="G1303" s="12" t="str">
        <f t="shared" si="3"/>
        <v>Withdrawal</v>
      </c>
      <c r="H1303" s="12" t="str">
        <f>TEXT(Raw_Data!A1309,"hh:mm:ss")
</f>
        <v>13:37:11</v>
      </c>
      <c r="I1303" s="20">
        <f t="shared" si="4"/>
        <v>550</v>
      </c>
    </row>
    <row r="1304">
      <c r="A1304" s="12" t="str">
        <f>Raw_Data!A1310</f>
        <v>27 Aug 2025 13:06:47</v>
      </c>
      <c r="B1304" s="12" t="str">
        <f t="shared" si="1"/>
        <v>August</v>
      </c>
      <c r="C1304" s="12">
        <f t="shared" si="2"/>
        <v>8</v>
      </c>
      <c r="D1304" s="12" t="str">
        <f>IFERROR(__xludf.DUMMYFUNCTION("IFERROR(IF(REGEXMATCH(LOWER(Raw_Data!C1310),""fixed deposit|owealth|savings|target""),""Fixed Deposit"",IF(REGEXMATCH(LOWER(Raw_Data!C1310),""airtime""),""Airtime"",IF(REGEXMATCH(LOWER(Raw_Data!C1310),""electronic money transfer levy""),""Electronic Money"&amp;" Transfer Levy"",IF(REGEXMATCH(LOWER(Raw_Data!C1310),""transfer|trf|send""),""Transfer"",""Other"")))),""Other"")"),"Transfer")</f>
        <v>Transfer</v>
      </c>
      <c r="E1304" s="20">
        <v>400.0</v>
      </c>
      <c r="F1304" s="20">
        <v>0.0</v>
      </c>
      <c r="G1304" s="12" t="str">
        <f t="shared" si="3"/>
        <v>Withdrawal</v>
      </c>
      <c r="H1304" s="12" t="str">
        <f>TEXT(Raw_Data!A1310,"hh:mm:ss")
</f>
        <v>13:06:47</v>
      </c>
      <c r="I1304" s="20">
        <f t="shared" si="4"/>
        <v>400</v>
      </c>
    </row>
    <row r="1305">
      <c r="A1305" s="12" t="str">
        <f>Raw_Data!A1311</f>
        <v>27 Aug 2025 14:40:06</v>
      </c>
      <c r="B1305" s="12" t="str">
        <f t="shared" si="1"/>
        <v>August</v>
      </c>
      <c r="C1305" s="12">
        <f t="shared" si="2"/>
        <v>8</v>
      </c>
      <c r="D1305" s="12" t="str">
        <f>IFERROR(__xludf.DUMMYFUNCTION("IFERROR(IF(REGEXMATCH(LOWER(Raw_Data!C1311),""fixed deposit|owealth|savings|target""),""Fixed Deposit"",IF(REGEXMATCH(LOWER(Raw_Data!C1311),""airtime""),""Airtime"",IF(REGEXMATCH(LOWER(Raw_Data!C1311),""electronic money transfer levy""),""Electronic Money"&amp;" Transfer Levy"",IF(REGEXMATCH(LOWER(Raw_Data!C1311),""transfer|trf|send""),""Transfer"",""Other"")))),""Other"")"),"Transfer")</f>
        <v>Transfer</v>
      </c>
      <c r="E1305" s="20">
        <v>250.0</v>
      </c>
      <c r="F1305" s="20">
        <v>0.0</v>
      </c>
      <c r="G1305" s="12" t="str">
        <f t="shared" si="3"/>
        <v>Withdrawal</v>
      </c>
      <c r="H1305" s="12" t="str">
        <f>TEXT(Raw_Data!A1311,"hh:mm:ss")
</f>
        <v>14:40:06</v>
      </c>
      <c r="I1305" s="20">
        <f t="shared" si="4"/>
        <v>250</v>
      </c>
    </row>
    <row r="1306">
      <c r="A1306" s="12" t="str">
        <f>Raw_Data!A1312</f>
        <v>27 Aug 2025 18:53:48</v>
      </c>
      <c r="B1306" s="12" t="str">
        <f t="shared" si="1"/>
        <v>August</v>
      </c>
      <c r="C1306" s="12">
        <f t="shared" si="2"/>
        <v>8</v>
      </c>
      <c r="D1306" s="12" t="str">
        <f>IFERROR(__xludf.DUMMYFUNCTION("IFERROR(IF(REGEXMATCH(LOWER(Raw_Data!C1312),""fixed deposit|owealth|savings|target""),""Fixed Deposit"",IF(REGEXMATCH(LOWER(Raw_Data!C1312),""airtime""),""Airtime"",IF(REGEXMATCH(LOWER(Raw_Data!C1312),""electronic money transfer levy""),""Electronic Money"&amp;" Transfer Levy"",IF(REGEXMATCH(LOWER(Raw_Data!C1312),""transfer|trf|send""),""Transfer"",""Other"")))),""Other"")"),"Airtime")</f>
        <v>Airtime</v>
      </c>
      <c r="E1306" s="20">
        <v>500.0</v>
      </c>
      <c r="F1306" s="20">
        <v>0.0</v>
      </c>
      <c r="G1306" s="12" t="str">
        <f t="shared" si="3"/>
        <v>Withdrawal</v>
      </c>
      <c r="H1306" s="12" t="str">
        <f>TEXT(Raw_Data!A1312,"hh:mm:ss")
</f>
        <v>18:53:48</v>
      </c>
      <c r="I1306" s="20">
        <f t="shared" si="4"/>
        <v>500</v>
      </c>
    </row>
    <row r="1307">
      <c r="A1307" s="12" t="str">
        <f>Raw_Data!A1313</f>
        <v>28 Aug 2025 05:06:49</v>
      </c>
      <c r="B1307" s="12" t="str">
        <f t="shared" si="1"/>
        <v>August</v>
      </c>
      <c r="C1307" s="12">
        <f t="shared" si="2"/>
        <v>8</v>
      </c>
      <c r="D1307" s="12" t="str">
        <f>IFERROR(__xludf.DUMMYFUNCTION("IFERROR(IF(REGEXMATCH(LOWER(Raw_Data!C1313),""fixed deposit|owealth|savings|target""),""Fixed Deposit"",IF(REGEXMATCH(LOWER(Raw_Data!C1313),""airtime""),""Airtime"",IF(REGEXMATCH(LOWER(Raw_Data!C1313),""electronic money transfer levy""),""Electronic Money"&amp;" Transfer Levy"",IF(REGEXMATCH(LOWER(Raw_Data!C1313),""transfer|trf|send""),""Transfer"",""Other"")))),""Other"")"),"Transfer")</f>
        <v>Transfer</v>
      </c>
      <c r="E1307" s="20">
        <v>0.0</v>
      </c>
      <c r="F1307" s="20">
        <v>200000.0</v>
      </c>
      <c r="G1307" s="12" t="str">
        <f t="shared" si="3"/>
        <v>Deposit</v>
      </c>
      <c r="H1307" s="12" t="str">
        <f>TEXT(Raw_Data!A1313,"hh:mm:ss")
</f>
        <v>05:06:49</v>
      </c>
      <c r="I1307" s="20">
        <f t="shared" si="4"/>
        <v>200000</v>
      </c>
    </row>
    <row r="1308">
      <c r="A1308" s="12" t="str">
        <f>Raw_Data!A1314</f>
        <v>28 Aug 2025 05:06:51</v>
      </c>
      <c r="B1308" s="12" t="str">
        <f t="shared" si="1"/>
        <v>August</v>
      </c>
      <c r="C1308" s="12">
        <f t="shared" si="2"/>
        <v>8</v>
      </c>
      <c r="D1308" s="12" t="str">
        <f>IFERROR(__xludf.DUMMYFUNCTION("IFERROR(IF(REGEXMATCH(LOWER(Raw_Data!C1314),""fixed deposit|owealth|savings|target""),""Fixed Deposit"",IF(REGEXMATCH(LOWER(Raw_Data!C1314),""airtime""),""Airtime"",IF(REGEXMATCH(LOWER(Raw_Data!C1314),""electronic money transfer levy""),""Electronic Money"&amp;" Transfer Levy"",IF(REGEXMATCH(LOWER(Raw_Data!C1314),""transfer|trf|send""),""Transfer"",""Other"")))),""Other"")"),"Electronic Money Transfer Levy")</f>
        <v>Electronic Money Transfer Levy</v>
      </c>
      <c r="E1308" s="20">
        <v>50.0</v>
      </c>
      <c r="F1308" s="20">
        <v>0.0</v>
      </c>
      <c r="G1308" s="12" t="str">
        <f t="shared" si="3"/>
        <v>Withdrawal</v>
      </c>
      <c r="H1308" s="12" t="str">
        <f>TEXT(Raw_Data!A1314,"hh:mm:ss")
</f>
        <v>05:06:51</v>
      </c>
      <c r="I1308" s="20">
        <f t="shared" si="4"/>
        <v>50</v>
      </c>
    </row>
    <row r="1309">
      <c r="A1309" s="12" t="str">
        <f>Raw_Data!A1315</f>
        <v>28 Aug 2025 08:23:22</v>
      </c>
      <c r="B1309" s="12" t="str">
        <f t="shared" si="1"/>
        <v>August</v>
      </c>
      <c r="C1309" s="12">
        <f t="shared" si="2"/>
        <v>8</v>
      </c>
      <c r="D1309" s="12" t="str">
        <f>IFERROR(__xludf.DUMMYFUNCTION("IFERROR(IF(REGEXMATCH(LOWER(Raw_Data!C1315),""fixed deposit|owealth|savings|target""),""Fixed Deposit"",IF(REGEXMATCH(LOWER(Raw_Data!C1315),""airtime""),""Airtime"",IF(REGEXMATCH(LOWER(Raw_Data!C1315),""electronic money transfer levy""),""Electronic Money"&amp;" Transfer Levy"",IF(REGEXMATCH(LOWER(Raw_Data!C1315),""transfer|trf|send""),""Transfer"",""Other"")))),""Other"")"),"Transfer")</f>
        <v>Transfer</v>
      </c>
      <c r="E1309" s="20">
        <v>200000.0</v>
      </c>
      <c r="F1309" s="20">
        <v>0.0</v>
      </c>
      <c r="G1309" s="12" t="str">
        <f t="shared" si="3"/>
        <v>Withdrawal</v>
      </c>
      <c r="H1309" s="12" t="str">
        <f>TEXT(Raw_Data!A1315,"hh:mm:ss")
</f>
        <v>08:23:22</v>
      </c>
      <c r="I1309" s="20">
        <f t="shared" si="4"/>
        <v>200000</v>
      </c>
    </row>
    <row r="1310">
      <c r="A1310" s="12" t="str">
        <f>Raw_Data!A1316</f>
        <v>28 Aug 2025 14:08:04</v>
      </c>
      <c r="B1310" s="12" t="str">
        <f t="shared" si="1"/>
        <v>August</v>
      </c>
      <c r="C1310" s="12">
        <f t="shared" si="2"/>
        <v>8</v>
      </c>
      <c r="D1310" s="12" t="str">
        <f>IFERROR(__xludf.DUMMYFUNCTION("IFERROR(IF(REGEXMATCH(LOWER(Raw_Data!C1316),""fixed deposit|owealth|savings|target""),""Fixed Deposit"",IF(REGEXMATCH(LOWER(Raw_Data!C1316),""airtime""),""Airtime"",IF(REGEXMATCH(LOWER(Raw_Data!C1316),""electronic money transfer levy""),""Electronic Money"&amp;" Transfer Levy"",IF(REGEXMATCH(LOWER(Raw_Data!C1316),""transfer|trf|send""),""Transfer"",""Other"")))),""Other"")"),"Transfer")</f>
        <v>Transfer</v>
      </c>
      <c r="E1310" s="20">
        <v>0.0</v>
      </c>
      <c r="F1310" s="20">
        <v>1000.0</v>
      </c>
      <c r="G1310" s="12" t="str">
        <f t="shared" si="3"/>
        <v>Deposit</v>
      </c>
      <c r="H1310" s="12" t="str">
        <f>TEXT(Raw_Data!A1316,"hh:mm:ss")
</f>
        <v>14:08:04</v>
      </c>
      <c r="I1310" s="20">
        <f t="shared" si="4"/>
        <v>1000</v>
      </c>
    </row>
    <row r="1311">
      <c r="A1311" s="12" t="str">
        <f>Raw_Data!A1317</f>
        <v>28 Aug 2025 14:11:28</v>
      </c>
      <c r="B1311" s="12" t="str">
        <f t="shared" si="1"/>
        <v>August</v>
      </c>
      <c r="C1311" s="12">
        <f t="shared" si="2"/>
        <v>8</v>
      </c>
      <c r="D1311" s="12" t="str">
        <f>IFERROR(__xludf.DUMMYFUNCTION("IFERROR(IF(REGEXMATCH(LOWER(Raw_Data!C1317),""fixed deposit|owealth|savings|target""),""Fixed Deposit"",IF(REGEXMATCH(LOWER(Raw_Data!C1317),""airtime""),""Airtime"",IF(REGEXMATCH(LOWER(Raw_Data!C1317),""electronic money transfer levy""),""Electronic Money"&amp;" Transfer Levy"",IF(REGEXMATCH(LOWER(Raw_Data!C1317),""transfer|trf|send""),""Transfer"",""Other"")))),""Other"")"),"Transfer")</f>
        <v>Transfer</v>
      </c>
      <c r="E1311" s="20">
        <v>500.0</v>
      </c>
      <c r="F1311" s="20">
        <v>0.0</v>
      </c>
      <c r="G1311" s="12" t="str">
        <f t="shared" si="3"/>
        <v>Withdrawal</v>
      </c>
      <c r="H1311" s="12" t="str">
        <f>TEXT(Raw_Data!A1317,"hh:mm:ss")
</f>
        <v>14:11:28</v>
      </c>
      <c r="I1311" s="20">
        <f t="shared" si="4"/>
        <v>500</v>
      </c>
    </row>
    <row r="1312">
      <c r="A1312" s="12" t="str">
        <f>Raw_Data!A1318</f>
        <v>28 Aug 2025 17:37:15</v>
      </c>
      <c r="B1312" s="12" t="str">
        <f t="shared" si="1"/>
        <v>August</v>
      </c>
      <c r="C1312" s="12">
        <f t="shared" si="2"/>
        <v>8</v>
      </c>
      <c r="D1312" s="12" t="str">
        <f>IFERROR(__xludf.DUMMYFUNCTION("IFERROR(IF(REGEXMATCH(LOWER(Raw_Data!C1318),""fixed deposit|owealth|savings|target""),""Fixed Deposit"",IF(REGEXMATCH(LOWER(Raw_Data!C1318),""airtime""),""Airtime"",IF(REGEXMATCH(LOWER(Raw_Data!C1318),""electronic money transfer levy""),""Electronic Money"&amp;" Transfer Levy"",IF(REGEXMATCH(LOWER(Raw_Data!C1318),""transfer|trf|send""),""Transfer"",""Other"")))),""Other"")"),"Airtime")</f>
        <v>Airtime</v>
      </c>
      <c r="E1312" s="20">
        <v>200.0</v>
      </c>
      <c r="F1312" s="20">
        <v>0.0</v>
      </c>
      <c r="G1312" s="12" t="str">
        <f t="shared" si="3"/>
        <v>Withdrawal</v>
      </c>
      <c r="H1312" s="12" t="str">
        <f>TEXT(Raw_Data!A1318,"hh:mm:ss")
</f>
        <v>17:37:15</v>
      </c>
      <c r="I1312" s="20">
        <f t="shared" si="4"/>
        <v>200</v>
      </c>
    </row>
    <row r="1313">
      <c r="A1313" s="12" t="str">
        <f>Raw_Data!A1319</f>
        <v>28 Aug 2025 18:57:19</v>
      </c>
      <c r="B1313" s="12" t="str">
        <f t="shared" si="1"/>
        <v>August</v>
      </c>
      <c r="C1313" s="12">
        <f t="shared" si="2"/>
        <v>8</v>
      </c>
      <c r="D1313" s="12" t="str">
        <f>IFERROR(__xludf.DUMMYFUNCTION("IFERROR(IF(REGEXMATCH(LOWER(Raw_Data!C1319),""fixed deposit|owealth|savings|target""),""Fixed Deposit"",IF(REGEXMATCH(LOWER(Raw_Data!C1319),""airtime""),""Airtime"",IF(REGEXMATCH(LOWER(Raw_Data!C1319),""electronic money transfer levy""),""Electronic Money"&amp;" Transfer Levy"",IF(REGEXMATCH(LOWER(Raw_Data!C1319),""transfer|trf|send""),""Transfer"",""Other"")))),""Other"")"),"Transfer")</f>
        <v>Transfer</v>
      </c>
      <c r="E1313" s="20">
        <v>0.0</v>
      </c>
      <c r="F1313" s="20">
        <v>5000.0</v>
      </c>
      <c r="G1313" s="12" t="str">
        <f t="shared" si="3"/>
        <v>Deposit</v>
      </c>
      <c r="H1313" s="12" t="str">
        <f>TEXT(Raw_Data!A1319,"hh:mm:ss")
</f>
        <v>18:57:19</v>
      </c>
      <c r="I1313" s="20">
        <f t="shared" si="4"/>
        <v>5000</v>
      </c>
    </row>
    <row r="1314">
      <c r="A1314" s="12" t="str">
        <f>Raw_Data!A1320</f>
        <v>28 Aug 2025 19:54:33</v>
      </c>
      <c r="B1314" s="12" t="str">
        <f t="shared" si="1"/>
        <v>August</v>
      </c>
      <c r="C1314" s="12">
        <f t="shared" si="2"/>
        <v>8</v>
      </c>
      <c r="D1314" s="12" t="str">
        <f>IFERROR(__xludf.DUMMYFUNCTION("IFERROR(IF(REGEXMATCH(LOWER(Raw_Data!C1320),""fixed deposit|owealth|savings|target""),""Fixed Deposit"",IF(REGEXMATCH(LOWER(Raw_Data!C1320),""airtime""),""Airtime"",IF(REGEXMATCH(LOWER(Raw_Data!C1320),""electronic money transfer levy""),""Electronic Money"&amp;" Transfer Levy"",IF(REGEXMATCH(LOWER(Raw_Data!C1320),""transfer|trf|send""),""Transfer"",""Other"")))),""Other"")"),"Transfer")</f>
        <v>Transfer</v>
      </c>
      <c r="E1314" s="20">
        <v>2700.0</v>
      </c>
      <c r="F1314" s="20">
        <v>0.0</v>
      </c>
      <c r="G1314" s="12" t="str">
        <f t="shared" si="3"/>
        <v>Withdrawal</v>
      </c>
      <c r="H1314" s="12" t="str">
        <f>TEXT(Raw_Data!A1320,"hh:mm:ss")
</f>
        <v>19:54:33</v>
      </c>
      <c r="I1314" s="20">
        <f t="shared" si="4"/>
        <v>2700</v>
      </c>
    </row>
    <row r="1315">
      <c r="A1315" s="12" t="str">
        <f>Raw_Data!A1321</f>
        <v>29 Aug 2025 22:05:55</v>
      </c>
      <c r="B1315" s="12" t="str">
        <f t="shared" si="1"/>
        <v>August</v>
      </c>
      <c r="C1315" s="12">
        <f t="shared" si="2"/>
        <v>8</v>
      </c>
      <c r="D1315" s="12" t="str">
        <f>IFERROR(__xludf.DUMMYFUNCTION("IFERROR(IF(REGEXMATCH(LOWER(Raw_Data!C1321),""fixed deposit|owealth|savings|target""),""Fixed Deposit"",IF(REGEXMATCH(LOWER(Raw_Data!C1321),""airtime""),""Airtime"",IF(REGEXMATCH(LOWER(Raw_Data!C1321),""electronic money transfer levy""),""Electronic Money"&amp;" Transfer Levy"",IF(REGEXMATCH(LOWER(Raw_Data!C1321),""transfer|trf|send""),""Transfer"",""Other"")))),""Other"")"),"Airtime")</f>
        <v>Airtime</v>
      </c>
      <c r="E1315" s="20">
        <v>500.0</v>
      </c>
      <c r="F1315" s="20">
        <v>0.0</v>
      </c>
      <c r="G1315" s="12" t="str">
        <f t="shared" si="3"/>
        <v>Withdrawal</v>
      </c>
      <c r="H1315" s="12" t="str">
        <f>TEXT(Raw_Data!A1321,"hh:mm:ss")
</f>
        <v>22:05:55</v>
      </c>
      <c r="I1315" s="20">
        <f t="shared" si="4"/>
        <v>500</v>
      </c>
    </row>
    <row r="1316">
      <c r="A1316" s="12" t="str">
        <f>Raw_Data!A1322</f>
        <v>30 Aug 2025 08:42:52</v>
      </c>
      <c r="B1316" s="12" t="str">
        <f t="shared" si="1"/>
        <v>August</v>
      </c>
      <c r="C1316" s="12">
        <f t="shared" si="2"/>
        <v>8</v>
      </c>
      <c r="D1316" s="12" t="str">
        <f>IFERROR(__xludf.DUMMYFUNCTION("IFERROR(IF(REGEXMATCH(LOWER(Raw_Data!C1322),""fixed deposit|owealth|savings|target""),""Fixed Deposit"",IF(REGEXMATCH(LOWER(Raw_Data!C1322),""airtime""),""Airtime"",IF(REGEXMATCH(LOWER(Raw_Data!C1322),""electronic money transfer levy""),""Electronic Money"&amp;" Transfer Levy"",IF(REGEXMATCH(LOWER(Raw_Data!C1322),""transfer|trf|send""),""Transfer"",""Other"")))),""Other"")"),"Transfer")</f>
        <v>Transfer</v>
      </c>
      <c r="E1316" s="20">
        <v>0.0</v>
      </c>
      <c r="F1316" s="20">
        <v>3000.0</v>
      </c>
      <c r="G1316" s="12" t="str">
        <f t="shared" si="3"/>
        <v>Deposit</v>
      </c>
      <c r="H1316" s="12" t="str">
        <f>TEXT(Raw_Data!A1322,"hh:mm:ss")
</f>
        <v>08:42:52</v>
      </c>
      <c r="I1316" s="20">
        <f t="shared" si="4"/>
        <v>3000</v>
      </c>
    </row>
    <row r="1317">
      <c r="A1317" s="12" t="str">
        <f>Raw_Data!A1323</f>
        <v>30 Aug 2025 08:56:31</v>
      </c>
      <c r="B1317" s="12" t="str">
        <f t="shared" si="1"/>
        <v>August</v>
      </c>
      <c r="C1317" s="12">
        <f t="shared" si="2"/>
        <v>8</v>
      </c>
      <c r="D1317" s="12" t="str">
        <f>IFERROR(__xludf.DUMMYFUNCTION("IFERROR(IF(REGEXMATCH(LOWER(Raw_Data!C1323),""fixed deposit|owealth|savings|target""),""Fixed Deposit"",IF(REGEXMATCH(LOWER(Raw_Data!C1323),""airtime""),""Airtime"",IF(REGEXMATCH(LOWER(Raw_Data!C1323),""electronic money transfer levy""),""Electronic Money"&amp;" Transfer Levy"",IF(REGEXMATCH(LOWER(Raw_Data!C1323),""transfer|trf|send""),""Transfer"",""Other"")))),""Other"")"),"Transfer")</f>
        <v>Transfer</v>
      </c>
      <c r="E1317" s="20">
        <v>1050.0</v>
      </c>
      <c r="F1317" s="20">
        <v>0.0</v>
      </c>
      <c r="G1317" s="12" t="str">
        <f t="shared" si="3"/>
        <v>Withdrawal</v>
      </c>
      <c r="H1317" s="12" t="str">
        <f>TEXT(Raw_Data!A1323,"hh:mm:ss")
</f>
        <v>08:56:31</v>
      </c>
      <c r="I1317" s="20">
        <f t="shared" si="4"/>
        <v>1050</v>
      </c>
    </row>
    <row r="1318">
      <c r="A1318" s="12" t="str">
        <f>Raw_Data!A1324</f>
        <v>30 Aug 2025 09:29:57</v>
      </c>
      <c r="B1318" s="12" t="str">
        <f t="shared" si="1"/>
        <v>August</v>
      </c>
      <c r="C1318" s="12">
        <f t="shared" si="2"/>
        <v>8</v>
      </c>
      <c r="D1318" s="12" t="str">
        <f>IFERROR(__xludf.DUMMYFUNCTION("IFERROR(IF(REGEXMATCH(LOWER(Raw_Data!C1324),""fixed deposit|owealth|savings|target""),""Fixed Deposit"",IF(REGEXMATCH(LOWER(Raw_Data!C1324),""airtime""),""Airtime"",IF(REGEXMATCH(LOWER(Raw_Data!C1324),""electronic money transfer levy""),""Electronic Money"&amp;" Transfer Levy"",IF(REGEXMATCH(LOWER(Raw_Data!C1324),""transfer|trf|send""),""Transfer"",""Other"")))),""Other"")"),"Other")</f>
        <v>Other</v>
      </c>
      <c r="E1318" s="20">
        <v>750.0</v>
      </c>
      <c r="F1318" s="20">
        <v>0.0</v>
      </c>
      <c r="G1318" s="12" t="str">
        <f t="shared" si="3"/>
        <v>Withdrawal</v>
      </c>
      <c r="H1318" s="12" t="str">
        <f>TEXT(Raw_Data!A1324,"hh:mm:ss")
</f>
        <v>09:29:57</v>
      </c>
      <c r="I1318" s="20">
        <f t="shared" si="4"/>
        <v>750</v>
      </c>
    </row>
    <row r="1319">
      <c r="A1319" s="12" t="str">
        <f>Raw_Data!A1325</f>
        <v>30 Aug 2025 10:03:12</v>
      </c>
      <c r="B1319" s="12" t="str">
        <f t="shared" si="1"/>
        <v>August</v>
      </c>
      <c r="C1319" s="12">
        <f t="shared" si="2"/>
        <v>8</v>
      </c>
      <c r="D1319" s="12" t="str">
        <f>IFERROR(__xludf.DUMMYFUNCTION("IFERROR(IF(REGEXMATCH(LOWER(Raw_Data!C1325),""fixed deposit|owealth|savings|target""),""Fixed Deposit"",IF(REGEXMATCH(LOWER(Raw_Data!C1325),""airtime""),""Airtime"",IF(REGEXMATCH(LOWER(Raw_Data!C1325),""electronic money transfer levy""),""Electronic Money"&amp;" Transfer Levy"",IF(REGEXMATCH(LOWER(Raw_Data!C1325),""transfer|trf|send""),""Transfer"",""Other"")))),""Other"")"),"Transfer")</f>
        <v>Transfer</v>
      </c>
      <c r="E1319" s="20">
        <v>2100.0</v>
      </c>
      <c r="F1319" s="20">
        <v>0.0</v>
      </c>
      <c r="G1319" s="12" t="str">
        <f t="shared" si="3"/>
        <v>Withdrawal</v>
      </c>
      <c r="H1319" s="12" t="str">
        <f>TEXT(Raw_Data!A1325,"hh:mm:ss")
</f>
        <v>10:03:12</v>
      </c>
      <c r="I1319" s="20">
        <f t="shared" si="4"/>
        <v>2100</v>
      </c>
    </row>
    <row r="1320">
      <c r="A1320" s="12" t="str">
        <f>Raw_Data!A1326</f>
        <v>30 Aug 2025 10:03:28</v>
      </c>
      <c r="B1320" s="12" t="str">
        <f t="shared" si="1"/>
        <v>August</v>
      </c>
      <c r="C1320" s="12">
        <f t="shared" si="2"/>
        <v>8</v>
      </c>
      <c r="D1320" s="12" t="str">
        <f>IFERROR(__xludf.DUMMYFUNCTION("IFERROR(IF(REGEXMATCH(LOWER(Raw_Data!C1326),""fixed deposit|owealth|savings|target""),""Fixed Deposit"",IF(REGEXMATCH(LOWER(Raw_Data!C1326),""airtime""),""Airtime"",IF(REGEXMATCH(LOWER(Raw_Data!C1326),""electronic money transfer levy""),""Electronic Money"&amp;" Transfer Levy"",IF(REGEXMATCH(LOWER(Raw_Data!C1326),""transfer|trf|send""),""Transfer"",""Other"")))),""Other"")"),"Transfer")</f>
        <v>Transfer</v>
      </c>
      <c r="E1320" s="20">
        <v>200.0</v>
      </c>
      <c r="F1320" s="20">
        <v>0.0</v>
      </c>
      <c r="G1320" s="12" t="str">
        <f t="shared" si="3"/>
        <v>Withdrawal</v>
      </c>
      <c r="H1320" s="12" t="str">
        <f>TEXT(Raw_Data!A1326,"hh:mm:ss")
</f>
        <v>10:03:28</v>
      </c>
      <c r="I1320" s="20">
        <f t="shared" si="4"/>
        <v>200</v>
      </c>
    </row>
    <row r="1321">
      <c r="A1321" s="12" t="str">
        <f>Raw_Data!A1327</f>
        <v>30 Aug 2025 10:30:57</v>
      </c>
      <c r="B1321" s="12" t="str">
        <f t="shared" si="1"/>
        <v>August</v>
      </c>
      <c r="C1321" s="12">
        <f t="shared" si="2"/>
        <v>8</v>
      </c>
      <c r="D1321" s="12" t="str">
        <f>IFERROR(__xludf.DUMMYFUNCTION("IFERROR(IF(REGEXMATCH(LOWER(Raw_Data!C1327),""fixed deposit|owealth|savings|target""),""Fixed Deposit"",IF(REGEXMATCH(LOWER(Raw_Data!C1327),""airtime""),""Airtime"",IF(REGEXMATCH(LOWER(Raw_Data!C1327),""electronic money transfer levy""),""Electronic Money"&amp;" Transfer Levy"",IF(REGEXMATCH(LOWER(Raw_Data!C1327),""transfer|trf|send""),""Transfer"",""Other"")))),""Other"")"),"Transfer")</f>
        <v>Transfer</v>
      </c>
      <c r="E1321" s="20">
        <v>0.0</v>
      </c>
      <c r="F1321" s="20">
        <v>5000.0</v>
      </c>
      <c r="G1321" s="12" t="str">
        <f t="shared" si="3"/>
        <v>Deposit</v>
      </c>
      <c r="H1321" s="12" t="str">
        <f>TEXT(Raw_Data!A1327,"hh:mm:ss")
</f>
        <v>10:30:57</v>
      </c>
      <c r="I1321" s="20">
        <f t="shared" si="4"/>
        <v>5000</v>
      </c>
    </row>
    <row r="1322">
      <c r="A1322" s="12" t="str">
        <f>Raw_Data!A1328</f>
        <v>30 Aug 2025 16:37:25</v>
      </c>
      <c r="B1322" s="12" t="str">
        <f t="shared" si="1"/>
        <v>August</v>
      </c>
      <c r="C1322" s="12">
        <f t="shared" si="2"/>
        <v>8</v>
      </c>
      <c r="D1322" s="12" t="str">
        <f>IFERROR(__xludf.DUMMYFUNCTION("IFERROR(IF(REGEXMATCH(LOWER(Raw_Data!C1328),""fixed deposit|owealth|savings|target""),""Fixed Deposit"",IF(REGEXMATCH(LOWER(Raw_Data!C1328),""airtime""),""Airtime"",IF(REGEXMATCH(LOWER(Raw_Data!C1328),""electronic money transfer levy""),""Electronic Money"&amp;" Transfer Levy"",IF(REGEXMATCH(LOWER(Raw_Data!C1328),""transfer|trf|send""),""Transfer"",""Other"")))),""Other"")"),"Transfer")</f>
        <v>Transfer</v>
      </c>
      <c r="E1322" s="20">
        <v>0.0</v>
      </c>
      <c r="F1322" s="20">
        <v>5000.0</v>
      </c>
      <c r="G1322" s="12" t="str">
        <f t="shared" si="3"/>
        <v>Deposit</v>
      </c>
      <c r="H1322" s="12" t="str">
        <f>TEXT(Raw_Data!A1328,"hh:mm:ss")
</f>
        <v>16:37:25</v>
      </c>
      <c r="I1322" s="20">
        <f t="shared" si="4"/>
        <v>5000</v>
      </c>
    </row>
    <row r="1323">
      <c r="A1323" s="12" t="str">
        <f>Raw_Data!A1329</f>
        <v>30 Aug 2025 16:47:24</v>
      </c>
      <c r="B1323" s="12" t="str">
        <f t="shared" si="1"/>
        <v>August</v>
      </c>
      <c r="C1323" s="12">
        <f t="shared" si="2"/>
        <v>8</v>
      </c>
      <c r="D1323" s="12" t="str">
        <f>IFERROR(__xludf.DUMMYFUNCTION("IFERROR(IF(REGEXMATCH(LOWER(Raw_Data!C1329),""fixed deposit|owealth|savings|target""),""Fixed Deposit"",IF(REGEXMATCH(LOWER(Raw_Data!C1329),""airtime""),""Airtime"",IF(REGEXMATCH(LOWER(Raw_Data!C1329),""electronic money transfer levy""),""Electronic Money"&amp;" Transfer Levy"",IF(REGEXMATCH(LOWER(Raw_Data!C1329),""transfer|trf|send""),""Transfer"",""Other"")))),""Other"")"),"Transfer")</f>
        <v>Transfer</v>
      </c>
      <c r="E1323" s="20">
        <v>0.0</v>
      </c>
      <c r="F1323" s="20">
        <v>3000.0</v>
      </c>
      <c r="G1323" s="12" t="str">
        <f t="shared" si="3"/>
        <v>Deposit</v>
      </c>
      <c r="H1323" s="12" t="str">
        <f>TEXT(Raw_Data!A1329,"hh:mm:ss")
</f>
        <v>16:47:24</v>
      </c>
      <c r="I1323" s="20">
        <f t="shared" si="4"/>
        <v>3000</v>
      </c>
    </row>
    <row r="1324">
      <c r="A1324" s="12" t="str">
        <f>Raw_Data!A1330</f>
        <v>30 Aug 2025 17:05:23</v>
      </c>
      <c r="B1324" s="12" t="str">
        <f t="shared" si="1"/>
        <v>August</v>
      </c>
      <c r="C1324" s="12">
        <f t="shared" si="2"/>
        <v>8</v>
      </c>
      <c r="D1324" s="12" t="str">
        <f>IFERROR(__xludf.DUMMYFUNCTION("IFERROR(IF(REGEXMATCH(LOWER(Raw_Data!C1330),""fixed deposit|owealth|savings|target""),""Fixed Deposit"",IF(REGEXMATCH(LOWER(Raw_Data!C1330),""airtime""),""Airtime"",IF(REGEXMATCH(LOWER(Raw_Data!C1330),""electronic money transfer levy""),""Electronic Money"&amp;" Transfer Levy"",IF(REGEXMATCH(LOWER(Raw_Data!C1330),""transfer|trf|send""),""Transfer"",""Other"")))),""Other"")"),"Transfer")</f>
        <v>Transfer</v>
      </c>
      <c r="E1324" s="20">
        <v>13010.0</v>
      </c>
      <c r="F1324" s="20">
        <v>0.0</v>
      </c>
      <c r="G1324" s="12" t="str">
        <f t="shared" si="3"/>
        <v>Withdrawal</v>
      </c>
      <c r="H1324" s="12" t="str">
        <f>TEXT(Raw_Data!A1330,"hh:mm:ss")
</f>
        <v>17:05:23</v>
      </c>
      <c r="I1324" s="20">
        <f t="shared" si="4"/>
        <v>13010</v>
      </c>
    </row>
    <row r="1325">
      <c r="A1325" s="12" t="str">
        <f>Raw_Data!A1331</f>
        <v>30 Aug 2025 18:23:05</v>
      </c>
      <c r="B1325" s="12" t="str">
        <f t="shared" si="1"/>
        <v>August</v>
      </c>
      <c r="C1325" s="12">
        <f t="shared" si="2"/>
        <v>8</v>
      </c>
      <c r="D1325" s="12" t="str">
        <f>IFERROR(__xludf.DUMMYFUNCTION("IFERROR(IF(REGEXMATCH(LOWER(Raw_Data!C1331),""fixed deposit|owealth|savings|target""),""Fixed Deposit"",IF(REGEXMATCH(LOWER(Raw_Data!C1331),""airtime""),""Airtime"",IF(REGEXMATCH(LOWER(Raw_Data!C1331),""electronic money transfer levy""),""Electronic Money"&amp;" Transfer Levy"",IF(REGEXMATCH(LOWER(Raw_Data!C1331),""transfer|trf|send""),""Transfer"",""Other"")))),""Other"")"),"Other")</f>
        <v>Other</v>
      </c>
      <c r="E1325" s="20">
        <v>1000.0</v>
      </c>
      <c r="F1325" s="20">
        <v>0.0</v>
      </c>
      <c r="G1325" s="12" t="str">
        <f t="shared" si="3"/>
        <v>Withdrawal</v>
      </c>
      <c r="H1325" s="12" t="str">
        <f>TEXT(Raw_Data!A1331,"hh:mm:ss")
</f>
        <v>18:23:05</v>
      </c>
      <c r="I1325" s="20">
        <f t="shared" si="4"/>
        <v>1000</v>
      </c>
    </row>
    <row r="1326">
      <c r="A1326" s="12" t="str">
        <f>Raw_Data!A1332</f>
        <v>31 Aug 2025 04:50:54</v>
      </c>
      <c r="B1326" s="12" t="str">
        <f t="shared" si="1"/>
        <v>August</v>
      </c>
      <c r="C1326" s="12">
        <f t="shared" si="2"/>
        <v>8</v>
      </c>
      <c r="D1326" s="12" t="str">
        <f>IFERROR(__xludf.DUMMYFUNCTION("IFERROR(IF(REGEXMATCH(LOWER(Raw_Data!C1332),""fixed deposit|owealth|savings|target""),""Fixed Deposit"",IF(REGEXMATCH(LOWER(Raw_Data!C1332),""airtime""),""Airtime"",IF(REGEXMATCH(LOWER(Raw_Data!C1332),""electronic money transfer levy""),""Electronic Money"&amp;" Transfer Levy"",IF(REGEXMATCH(LOWER(Raw_Data!C1332),""transfer|trf|send""),""Transfer"",""Other"")))),""Other"")"),"Transfer")</f>
        <v>Transfer</v>
      </c>
      <c r="E1326" s="20">
        <v>0.0</v>
      </c>
      <c r="F1326" s="20">
        <v>3000.0</v>
      </c>
      <c r="G1326" s="12" t="str">
        <f t="shared" si="3"/>
        <v>Deposit</v>
      </c>
      <c r="H1326" s="12" t="str">
        <f>TEXT(Raw_Data!A1332,"hh:mm:ss")
</f>
        <v>04:50:54</v>
      </c>
      <c r="I1326" s="20">
        <f t="shared" si="4"/>
        <v>3000</v>
      </c>
    </row>
    <row r="1327">
      <c r="A1327" s="12" t="str">
        <f>Raw_Data!A1333</f>
        <v>31 Aug 2025 10:27:45</v>
      </c>
      <c r="B1327" s="12" t="str">
        <f t="shared" si="1"/>
        <v>August</v>
      </c>
      <c r="C1327" s="12">
        <f t="shared" si="2"/>
        <v>8</v>
      </c>
      <c r="D1327" s="12" t="str">
        <f>IFERROR(__xludf.DUMMYFUNCTION("IFERROR(IF(REGEXMATCH(LOWER(Raw_Data!C1333),""fixed deposit|owealth|savings|target""),""Fixed Deposit"",IF(REGEXMATCH(LOWER(Raw_Data!C1333),""airtime""),""Airtime"",IF(REGEXMATCH(LOWER(Raw_Data!C1333),""electronic money transfer levy""),""Electronic Money"&amp;" Transfer Levy"",IF(REGEXMATCH(LOWER(Raw_Data!C1333),""transfer|trf|send""),""Transfer"",""Other"")))),""Other"")"),"Transfer")</f>
        <v>Transfer</v>
      </c>
      <c r="E1327" s="20">
        <v>0.0</v>
      </c>
      <c r="F1327" s="20">
        <v>5000.0</v>
      </c>
      <c r="G1327" s="12" t="str">
        <f t="shared" si="3"/>
        <v>Deposit</v>
      </c>
      <c r="H1327" s="12" t="str">
        <f>TEXT(Raw_Data!A1333,"hh:mm:ss")
</f>
        <v>10:27:45</v>
      </c>
      <c r="I1327" s="20">
        <f t="shared" si="4"/>
        <v>5000</v>
      </c>
    </row>
    <row r="1328">
      <c r="A1328" s="12" t="str">
        <f>Raw_Data!A1334</f>
        <v>31 Aug 2025 10:40:04</v>
      </c>
      <c r="B1328" s="12" t="str">
        <f t="shared" si="1"/>
        <v>August</v>
      </c>
      <c r="C1328" s="12">
        <f t="shared" si="2"/>
        <v>8</v>
      </c>
      <c r="D1328" s="12" t="str">
        <f>IFERROR(__xludf.DUMMYFUNCTION("IFERROR(IF(REGEXMATCH(LOWER(Raw_Data!C1334),""fixed deposit|owealth|savings|target""),""Fixed Deposit"",IF(REGEXMATCH(LOWER(Raw_Data!C1334),""airtime""),""Airtime"",IF(REGEXMATCH(LOWER(Raw_Data!C1334),""electronic money transfer levy""),""Electronic Money"&amp;" Transfer Levy"",IF(REGEXMATCH(LOWER(Raw_Data!C1334),""transfer|trf|send""),""Transfer"",""Other"")))),""Other"")"),"Transfer")</f>
        <v>Transfer</v>
      </c>
      <c r="E1328" s="20">
        <v>0.0</v>
      </c>
      <c r="F1328" s="20">
        <v>5000.0</v>
      </c>
      <c r="G1328" s="12" t="str">
        <f t="shared" si="3"/>
        <v>Deposit</v>
      </c>
      <c r="H1328" s="12" t="str">
        <f>TEXT(Raw_Data!A1334,"hh:mm:ss")
</f>
        <v>10:40:04</v>
      </c>
      <c r="I1328" s="20">
        <f t="shared" si="4"/>
        <v>5000</v>
      </c>
    </row>
    <row r="1329">
      <c r="A1329" s="12" t="str">
        <f>Raw_Data!A1335</f>
        <v>31 Aug 2025 12:34:49</v>
      </c>
      <c r="B1329" s="12" t="str">
        <f t="shared" si="1"/>
        <v>August</v>
      </c>
      <c r="C1329" s="12">
        <f t="shared" si="2"/>
        <v>8</v>
      </c>
      <c r="D1329" s="12" t="str">
        <f>IFERROR(__xludf.DUMMYFUNCTION("IFERROR(IF(REGEXMATCH(LOWER(Raw_Data!C1335),""fixed deposit|owealth|savings|target""),""Fixed Deposit"",IF(REGEXMATCH(LOWER(Raw_Data!C1335),""airtime""),""Airtime"",IF(REGEXMATCH(LOWER(Raw_Data!C1335),""electronic money transfer levy""),""Electronic Money"&amp;" Transfer Levy"",IF(REGEXMATCH(LOWER(Raw_Data!C1335),""transfer|trf|send""),""Transfer"",""Other"")))),""Other"")"),"Airtime")</f>
        <v>Airtime</v>
      </c>
      <c r="E1329" s="20">
        <v>500.0</v>
      </c>
      <c r="F1329" s="20">
        <v>0.0</v>
      </c>
      <c r="G1329" s="12" t="str">
        <f t="shared" si="3"/>
        <v>Withdrawal</v>
      </c>
      <c r="H1329" s="12" t="str">
        <f>TEXT(Raw_Data!A1335,"hh:mm:ss")
</f>
        <v>12:34:49</v>
      </c>
      <c r="I1329" s="20">
        <f t="shared" si="4"/>
        <v>500</v>
      </c>
    </row>
    <row r="1330">
      <c r="A1330" s="12" t="str">
        <f>Raw_Data!A1336</f>
        <v>31 Aug 2025 13:20:13</v>
      </c>
      <c r="B1330" s="12" t="str">
        <f t="shared" si="1"/>
        <v>August</v>
      </c>
      <c r="C1330" s="12">
        <f t="shared" si="2"/>
        <v>8</v>
      </c>
      <c r="D1330" s="12" t="str">
        <f>IFERROR(__xludf.DUMMYFUNCTION("IFERROR(IF(REGEXMATCH(LOWER(Raw_Data!C1336),""fixed deposit|owealth|savings|target""),""Fixed Deposit"",IF(REGEXMATCH(LOWER(Raw_Data!C1336),""airtime""),""Airtime"",IF(REGEXMATCH(LOWER(Raw_Data!C1336),""electronic money transfer levy""),""Electronic Money"&amp;" Transfer Levy"",IF(REGEXMATCH(LOWER(Raw_Data!C1336),""transfer|trf|send""),""Transfer"",""Other"")))),""Other"")"),"Transfer")</f>
        <v>Transfer</v>
      </c>
      <c r="E1330" s="20">
        <v>2500.0</v>
      </c>
      <c r="F1330" s="20">
        <v>0.0</v>
      </c>
      <c r="G1330" s="12" t="str">
        <f t="shared" si="3"/>
        <v>Withdrawal</v>
      </c>
      <c r="H1330" s="12" t="str">
        <f>TEXT(Raw_Data!A1336,"hh:mm:ss")
</f>
        <v>13:20:13</v>
      </c>
      <c r="I1330" s="20">
        <f t="shared" si="4"/>
        <v>2500</v>
      </c>
    </row>
    <row r="1331">
      <c r="A1331" s="12" t="str">
        <f>Raw_Data!A1337</f>
        <v>31 Aug 2025 13:36:15</v>
      </c>
      <c r="B1331" s="12" t="str">
        <f t="shared" si="1"/>
        <v>August</v>
      </c>
      <c r="C1331" s="12">
        <f t="shared" si="2"/>
        <v>8</v>
      </c>
      <c r="D1331" s="12" t="str">
        <f>IFERROR(__xludf.DUMMYFUNCTION("IFERROR(IF(REGEXMATCH(LOWER(Raw_Data!C1337),""fixed deposit|owealth|savings|target""),""Fixed Deposit"",IF(REGEXMATCH(LOWER(Raw_Data!C1337),""airtime""),""Airtime"",IF(REGEXMATCH(LOWER(Raw_Data!C1337),""electronic money transfer levy""),""Electronic Money"&amp;" Transfer Levy"",IF(REGEXMATCH(LOWER(Raw_Data!C1337),""transfer|trf|send""),""Transfer"",""Other"")))),""Other"")"),"Transfer")</f>
        <v>Transfer</v>
      </c>
      <c r="E1331" s="20">
        <v>4100.0</v>
      </c>
      <c r="F1331" s="20">
        <v>0.0</v>
      </c>
      <c r="G1331" s="12" t="str">
        <f t="shared" si="3"/>
        <v>Withdrawal</v>
      </c>
      <c r="H1331" s="12" t="str">
        <f>TEXT(Raw_Data!A1337,"hh:mm:ss")
</f>
        <v>13:36:15</v>
      </c>
      <c r="I1331" s="20">
        <f t="shared" si="4"/>
        <v>4100</v>
      </c>
    </row>
    <row r="1332">
      <c r="A1332" s="12" t="str">
        <f>Raw_Data!A1338</f>
        <v>31 Aug 2025 14:30:19</v>
      </c>
      <c r="B1332" s="12" t="str">
        <f t="shared" si="1"/>
        <v>August</v>
      </c>
      <c r="C1332" s="12">
        <f t="shared" si="2"/>
        <v>8</v>
      </c>
      <c r="D1332" s="12" t="str">
        <f>IFERROR(__xludf.DUMMYFUNCTION("IFERROR(IF(REGEXMATCH(LOWER(Raw_Data!C1338),""fixed deposit|owealth|savings|target""),""Fixed Deposit"",IF(REGEXMATCH(LOWER(Raw_Data!C1338),""airtime""),""Airtime"",IF(REGEXMATCH(LOWER(Raw_Data!C1338),""electronic money transfer levy""),""Electronic Money"&amp;" Transfer Levy"",IF(REGEXMATCH(LOWER(Raw_Data!C1338),""transfer|trf|send""),""Transfer"",""Other"")))),""Other"")"),"Other")</f>
        <v>Other</v>
      </c>
      <c r="E1332" s="20">
        <v>900.0</v>
      </c>
      <c r="F1332" s="20">
        <v>0.0</v>
      </c>
      <c r="G1332" s="12" t="str">
        <f t="shared" si="3"/>
        <v>Withdrawal</v>
      </c>
      <c r="H1332" s="12" t="str">
        <f>TEXT(Raw_Data!A1338,"hh:mm:ss")
</f>
        <v>14:30:19</v>
      </c>
      <c r="I1332" s="20">
        <f t="shared" si="4"/>
        <v>900</v>
      </c>
    </row>
    <row r="1333">
      <c r="A1333" s="12" t="str">
        <f>Raw_Data!A1339</f>
        <v>31 Aug 2025 14:48:55</v>
      </c>
      <c r="B1333" s="12" t="str">
        <f t="shared" si="1"/>
        <v>August</v>
      </c>
      <c r="C1333" s="12">
        <f t="shared" si="2"/>
        <v>8</v>
      </c>
      <c r="D1333" s="12" t="str">
        <f>IFERROR(__xludf.DUMMYFUNCTION("IFERROR(IF(REGEXMATCH(LOWER(Raw_Data!C1339),""fixed deposit|owealth|savings|target""),""Fixed Deposit"",IF(REGEXMATCH(LOWER(Raw_Data!C1339),""airtime""),""Airtime"",IF(REGEXMATCH(LOWER(Raw_Data!C1339),""electronic money transfer levy""),""Electronic Money"&amp;" Transfer Levy"",IF(REGEXMATCH(LOWER(Raw_Data!C1339),""transfer|trf|send""),""Transfer"",""Other"")))),""Other"")"),"Transfer")</f>
        <v>Transfer</v>
      </c>
      <c r="E1333" s="20">
        <v>150.0</v>
      </c>
      <c r="F1333" s="20">
        <v>0.0</v>
      </c>
      <c r="G1333" s="12" t="str">
        <f t="shared" si="3"/>
        <v>Withdrawal</v>
      </c>
      <c r="H1333" s="12" t="str">
        <f>TEXT(Raw_Data!A1339,"hh:mm:ss")
</f>
        <v>14:48:55</v>
      </c>
      <c r="I1333" s="20">
        <f t="shared" si="4"/>
        <v>150</v>
      </c>
    </row>
    <row r="1334">
      <c r="A1334" s="12" t="str">
        <f>Raw_Data!A1340</f>
        <v>31 Aug 2025 17:02:30</v>
      </c>
      <c r="B1334" s="12" t="str">
        <f t="shared" si="1"/>
        <v>August</v>
      </c>
      <c r="C1334" s="12">
        <f t="shared" si="2"/>
        <v>8</v>
      </c>
      <c r="D1334" s="12" t="str">
        <f>IFERROR(__xludf.DUMMYFUNCTION("IFERROR(IF(REGEXMATCH(LOWER(Raw_Data!C1340),""fixed deposit|owealth|savings|target""),""Fixed Deposit"",IF(REGEXMATCH(LOWER(Raw_Data!C1340),""airtime""),""Airtime"",IF(REGEXMATCH(LOWER(Raw_Data!C1340),""electronic money transfer levy""),""Electronic Money"&amp;" Transfer Levy"",IF(REGEXMATCH(LOWER(Raw_Data!C1340),""transfer|trf|send""),""Transfer"",""Other"")))),""Other"")"),"Transfer")</f>
        <v>Transfer</v>
      </c>
      <c r="E1334" s="20">
        <v>150.0</v>
      </c>
      <c r="F1334" s="20">
        <v>0.0</v>
      </c>
      <c r="G1334" s="12" t="str">
        <f t="shared" si="3"/>
        <v>Withdrawal</v>
      </c>
      <c r="H1334" s="12" t="str">
        <f>TEXT(Raw_Data!A1340,"hh:mm:ss")
</f>
        <v>17:02:30</v>
      </c>
      <c r="I1334" s="20">
        <f t="shared" si="4"/>
        <v>150</v>
      </c>
    </row>
    <row r="1335">
      <c r="A1335" s="12" t="str">
        <f>Raw_Data!A1341</f>
        <v>31 Aug 2025 18:10:57</v>
      </c>
      <c r="B1335" s="12" t="str">
        <f t="shared" si="1"/>
        <v>August</v>
      </c>
      <c r="C1335" s="12">
        <f t="shared" si="2"/>
        <v>8</v>
      </c>
      <c r="D1335" s="12" t="str">
        <f>IFERROR(__xludf.DUMMYFUNCTION("IFERROR(IF(REGEXMATCH(LOWER(Raw_Data!C1341),""fixed deposit|owealth|savings|target""),""Fixed Deposit"",IF(REGEXMATCH(LOWER(Raw_Data!C1341),""airtime""),""Airtime"",IF(REGEXMATCH(LOWER(Raw_Data!C1341),""electronic money transfer levy""),""Electronic Money"&amp;" Transfer Levy"",IF(REGEXMATCH(LOWER(Raw_Data!C1341),""transfer|trf|send""),""Transfer"",""Other"")))),""Other"")"),"Transfer")</f>
        <v>Transfer</v>
      </c>
      <c r="E1335" s="20">
        <v>550.0</v>
      </c>
      <c r="F1335" s="20">
        <v>0.0</v>
      </c>
      <c r="G1335" s="12" t="str">
        <f t="shared" si="3"/>
        <v>Withdrawal</v>
      </c>
      <c r="H1335" s="12" t="str">
        <f>TEXT(Raw_Data!A1341,"hh:mm:ss")
</f>
        <v>18:10:57</v>
      </c>
      <c r="I1335" s="20">
        <f t="shared" si="4"/>
        <v>550</v>
      </c>
    </row>
    <row r="1336">
      <c r="A1336" s="12" t="str">
        <f>Raw_Data!A1342</f>
        <v>01 Sep 2025 14:55:55</v>
      </c>
      <c r="B1336" s="12" t="str">
        <f t="shared" si="1"/>
        <v>September</v>
      </c>
      <c r="C1336" s="12">
        <f t="shared" si="2"/>
        <v>9</v>
      </c>
      <c r="D1336" s="12" t="str">
        <f>IFERROR(__xludf.DUMMYFUNCTION("IFERROR(IF(REGEXMATCH(LOWER(Raw_Data!C1342),""fixed deposit|owealth|savings|target""),""Fixed Deposit"",IF(REGEXMATCH(LOWER(Raw_Data!C1342),""airtime""),""Airtime"",IF(REGEXMATCH(LOWER(Raw_Data!C1342),""electronic money transfer levy""),""Electronic Money"&amp;" Transfer Levy"",IF(REGEXMATCH(LOWER(Raw_Data!C1342),""transfer|trf|send""),""Transfer"",""Other"")))),""Other"")"),"Transfer")</f>
        <v>Transfer</v>
      </c>
      <c r="E1336" s="20">
        <v>1500.0</v>
      </c>
      <c r="F1336" s="20">
        <v>0.0</v>
      </c>
      <c r="G1336" s="12" t="str">
        <f t="shared" si="3"/>
        <v>Withdrawal</v>
      </c>
      <c r="H1336" s="12" t="str">
        <f>TEXT(Raw_Data!A1342,"hh:mm:ss")
</f>
        <v>14:55:55</v>
      </c>
      <c r="I1336" s="20">
        <f t="shared" si="4"/>
        <v>1500</v>
      </c>
    </row>
    <row r="1337">
      <c r="A1337" s="12" t="str">
        <f>Raw_Data!A1343</f>
        <v>01 Sep 2025 17:37:36</v>
      </c>
      <c r="B1337" s="12" t="str">
        <f t="shared" si="1"/>
        <v>September</v>
      </c>
      <c r="C1337" s="12">
        <f t="shared" si="2"/>
        <v>9</v>
      </c>
      <c r="D1337" s="12" t="str">
        <f>IFERROR(__xludf.DUMMYFUNCTION("IFERROR(IF(REGEXMATCH(LOWER(Raw_Data!C1343),""fixed deposit|owealth|savings|target""),""Fixed Deposit"",IF(REGEXMATCH(LOWER(Raw_Data!C1343),""airtime""),""Airtime"",IF(REGEXMATCH(LOWER(Raw_Data!C1343),""electronic money transfer levy""),""Electronic Money"&amp;" Transfer Levy"",IF(REGEXMATCH(LOWER(Raw_Data!C1343),""transfer|trf|send""),""Transfer"",""Other"")))),""Other"")"),"Airtime")</f>
        <v>Airtime</v>
      </c>
      <c r="E1337" s="20">
        <v>100.0</v>
      </c>
      <c r="F1337" s="20">
        <v>0.0</v>
      </c>
      <c r="G1337" s="12" t="str">
        <f t="shared" si="3"/>
        <v>Withdrawal</v>
      </c>
      <c r="H1337" s="12" t="str">
        <f>TEXT(Raw_Data!A1343,"hh:mm:ss")
</f>
        <v>17:37:36</v>
      </c>
      <c r="I1337" s="20">
        <f t="shared" si="4"/>
        <v>100</v>
      </c>
    </row>
    <row r="1338">
      <c r="A1338" s="12" t="str">
        <f>Raw_Data!A1344</f>
        <v>01 Sep 2025 17:56:27</v>
      </c>
      <c r="B1338" s="12" t="str">
        <f t="shared" si="1"/>
        <v>September</v>
      </c>
      <c r="C1338" s="12">
        <f t="shared" si="2"/>
        <v>9</v>
      </c>
      <c r="D1338" s="12" t="str">
        <f>IFERROR(__xludf.DUMMYFUNCTION("IFERROR(IF(REGEXMATCH(LOWER(Raw_Data!C1344),""fixed deposit|owealth|savings|target""),""Fixed Deposit"",IF(REGEXMATCH(LOWER(Raw_Data!C1344),""airtime""),""Airtime"",IF(REGEXMATCH(LOWER(Raw_Data!C1344),""electronic money transfer levy""),""Electronic Money"&amp;" Transfer Levy"",IF(REGEXMATCH(LOWER(Raw_Data!C1344),""transfer|trf|send""),""Transfer"",""Other"")))),""Other"")"),"Airtime")</f>
        <v>Airtime</v>
      </c>
      <c r="E1338" s="20">
        <v>2000.0</v>
      </c>
      <c r="F1338" s="20">
        <v>0.0</v>
      </c>
      <c r="G1338" s="12" t="str">
        <f t="shared" si="3"/>
        <v>Withdrawal</v>
      </c>
      <c r="H1338" s="12" t="str">
        <f>TEXT(Raw_Data!A1344,"hh:mm:ss")
</f>
        <v>17:56:27</v>
      </c>
      <c r="I1338" s="20">
        <f t="shared" si="4"/>
        <v>2000</v>
      </c>
    </row>
    <row r="1339">
      <c r="A1339" s="12" t="str">
        <f>Raw_Data!A1345</f>
        <v>01 Sep 2025 18:49:39</v>
      </c>
      <c r="B1339" s="12" t="str">
        <f t="shared" si="1"/>
        <v>September</v>
      </c>
      <c r="C1339" s="12">
        <f t="shared" si="2"/>
        <v>9</v>
      </c>
      <c r="D1339" s="12" t="str">
        <f>IFERROR(__xludf.DUMMYFUNCTION("IFERROR(IF(REGEXMATCH(LOWER(Raw_Data!C1345),""fixed deposit|owealth|savings|target""),""Fixed Deposit"",IF(REGEXMATCH(LOWER(Raw_Data!C1345),""airtime""),""Airtime"",IF(REGEXMATCH(LOWER(Raw_Data!C1345),""electronic money transfer levy""),""Electronic Money"&amp;" Transfer Levy"",IF(REGEXMATCH(LOWER(Raw_Data!C1345),""transfer|trf|send""),""Transfer"",""Other"")))),""Other"")"),"Transfer")</f>
        <v>Transfer</v>
      </c>
      <c r="E1339" s="20">
        <v>0.0</v>
      </c>
      <c r="F1339" s="20">
        <v>2000.0</v>
      </c>
      <c r="G1339" s="12" t="str">
        <f t="shared" si="3"/>
        <v>Deposit</v>
      </c>
      <c r="H1339" s="12" t="str">
        <f>TEXT(Raw_Data!A1345,"hh:mm:ss")
</f>
        <v>18:49:39</v>
      </c>
      <c r="I1339" s="20">
        <f t="shared" si="4"/>
        <v>2000</v>
      </c>
    </row>
    <row r="1340">
      <c r="A1340" s="12" t="str">
        <f>Raw_Data!A1346</f>
        <v>01 Sep 2025 18:51:08</v>
      </c>
      <c r="B1340" s="12" t="str">
        <f t="shared" si="1"/>
        <v>September</v>
      </c>
      <c r="C1340" s="12">
        <f t="shared" si="2"/>
        <v>9</v>
      </c>
      <c r="D1340" s="12" t="str">
        <f>IFERROR(__xludf.DUMMYFUNCTION("IFERROR(IF(REGEXMATCH(LOWER(Raw_Data!C1346),""fixed deposit|owealth|savings|target""),""Fixed Deposit"",IF(REGEXMATCH(LOWER(Raw_Data!C1346),""airtime""),""Airtime"",IF(REGEXMATCH(LOWER(Raw_Data!C1346),""electronic money transfer levy""),""Electronic Money"&amp;" Transfer Levy"",IF(REGEXMATCH(LOWER(Raw_Data!C1346),""transfer|trf|send""),""Transfer"",""Other"")))),""Other"")"),"Transfer")</f>
        <v>Transfer</v>
      </c>
      <c r="E1340" s="20">
        <v>1900.0</v>
      </c>
      <c r="F1340" s="20">
        <v>0.0</v>
      </c>
      <c r="G1340" s="12" t="str">
        <f t="shared" si="3"/>
        <v>Withdrawal</v>
      </c>
      <c r="H1340" s="12" t="str">
        <f>TEXT(Raw_Data!A1346,"hh:mm:ss")
</f>
        <v>18:51:08</v>
      </c>
      <c r="I1340" s="20">
        <f t="shared" si="4"/>
        <v>1900</v>
      </c>
    </row>
    <row r="1341">
      <c r="A1341" s="12" t="str">
        <f>Raw_Data!A1347</f>
        <v>03 Sep 2025 07:12:22</v>
      </c>
      <c r="B1341" s="12" t="str">
        <f t="shared" si="1"/>
        <v>September</v>
      </c>
      <c r="C1341" s="12">
        <f t="shared" si="2"/>
        <v>9</v>
      </c>
      <c r="D1341" s="12" t="str">
        <f>IFERROR(__xludf.DUMMYFUNCTION("IFERROR(IF(REGEXMATCH(LOWER(Raw_Data!C1347),""fixed deposit|owealth|savings|target""),""Fixed Deposit"",IF(REGEXMATCH(LOWER(Raw_Data!C1347),""airtime""),""Airtime"",IF(REGEXMATCH(LOWER(Raw_Data!C1347),""electronic money transfer levy""),""Electronic Money"&amp;" Transfer Levy"",IF(REGEXMATCH(LOWER(Raw_Data!C1347),""transfer|trf|send""),""Transfer"",""Other"")))),""Other"")"),"Airtime")</f>
        <v>Airtime</v>
      </c>
      <c r="E1341" s="20">
        <v>200.0</v>
      </c>
      <c r="F1341" s="20">
        <v>0.0</v>
      </c>
      <c r="G1341" s="12" t="str">
        <f t="shared" si="3"/>
        <v>Withdrawal</v>
      </c>
      <c r="H1341" s="12" t="str">
        <f>TEXT(Raw_Data!A1347,"hh:mm:ss")
</f>
        <v>07:12:22</v>
      </c>
      <c r="I1341" s="20">
        <f t="shared" si="4"/>
        <v>200</v>
      </c>
    </row>
    <row r="1342">
      <c r="A1342" s="12" t="str">
        <f>Raw_Data!A1348</f>
        <v>04 Sep 2025 08:16:24</v>
      </c>
      <c r="B1342" s="12" t="str">
        <f t="shared" si="1"/>
        <v>September</v>
      </c>
      <c r="C1342" s="12">
        <f t="shared" si="2"/>
        <v>9</v>
      </c>
      <c r="D1342" s="12" t="str">
        <f>IFERROR(__xludf.DUMMYFUNCTION("IFERROR(IF(REGEXMATCH(LOWER(Raw_Data!C1348),""fixed deposit|owealth|savings|target""),""Fixed Deposit"",IF(REGEXMATCH(LOWER(Raw_Data!C1348),""airtime""),""Airtime"",IF(REGEXMATCH(LOWER(Raw_Data!C1348),""electronic money transfer levy""),""Electronic Money"&amp;" Transfer Levy"",IF(REGEXMATCH(LOWER(Raw_Data!C1348),""transfer|trf|send""),""Transfer"",""Other"")))),""Other"")"),"Transfer")</f>
        <v>Transfer</v>
      </c>
      <c r="E1342" s="20">
        <v>0.0</v>
      </c>
      <c r="F1342" s="20">
        <v>30000.0</v>
      </c>
      <c r="G1342" s="12" t="str">
        <f t="shared" si="3"/>
        <v>Deposit</v>
      </c>
      <c r="H1342" s="12" t="str">
        <f>TEXT(Raw_Data!A1348,"hh:mm:ss")
</f>
        <v>08:16:24</v>
      </c>
      <c r="I1342" s="20">
        <f t="shared" si="4"/>
        <v>30000</v>
      </c>
    </row>
    <row r="1343">
      <c r="A1343" s="12" t="str">
        <f>Raw_Data!A1349</f>
        <v>04 Sep 2025 08:16:26</v>
      </c>
      <c r="B1343" s="12" t="str">
        <f t="shared" si="1"/>
        <v>September</v>
      </c>
      <c r="C1343" s="12">
        <f t="shared" si="2"/>
        <v>9</v>
      </c>
      <c r="D1343" s="12" t="str">
        <f>IFERROR(__xludf.DUMMYFUNCTION("IFERROR(IF(REGEXMATCH(LOWER(Raw_Data!C1349),""fixed deposit|owealth|savings|target""),""Fixed Deposit"",IF(REGEXMATCH(LOWER(Raw_Data!C1349),""airtime""),""Airtime"",IF(REGEXMATCH(LOWER(Raw_Data!C1349),""electronic money transfer levy""),""Electronic Money"&amp;" Transfer Levy"",IF(REGEXMATCH(LOWER(Raw_Data!C1349),""transfer|trf|send""),""Transfer"",""Other"")))),""Other"")"),"Electronic Money Transfer Levy")</f>
        <v>Electronic Money Transfer Levy</v>
      </c>
      <c r="E1343" s="20">
        <v>50.0</v>
      </c>
      <c r="F1343" s="20">
        <v>0.0</v>
      </c>
      <c r="G1343" s="12" t="str">
        <f t="shared" si="3"/>
        <v>Withdrawal</v>
      </c>
      <c r="H1343" s="12" t="str">
        <f>TEXT(Raw_Data!A1349,"hh:mm:ss")
</f>
        <v>08:16:26</v>
      </c>
      <c r="I1343" s="20">
        <f t="shared" si="4"/>
        <v>50</v>
      </c>
    </row>
    <row r="1344">
      <c r="A1344" s="12" t="str">
        <f>Raw_Data!A1350</f>
        <v>04 Sep 2025 08:17:04</v>
      </c>
      <c r="B1344" s="12" t="str">
        <f t="shared" si="1"/>
        <v>September</v>
      </c>
      <c r="C1344" s="12">
        <f t="shared" si="2"/>
        <v>9</v>
      </c>
      <c r="D1344" s="12" t="str">
        <f>IFERROR(__xludf.DUMMYFUNCTION("IFERROR(IF(REGEXMATCH(LOWER(Raw_Data!C1350),""fixed deposit|owealth|savings|target""),""Fixed Deposit"",IF(REGEXMATCH(LOWER(Raw_Data!C1350),""airtime""),""Airtime"",IF(REGEXMATCH(LOWER(Raw_Data!C1350),""electronic money transfer levy""),""Electronic Money"&amp;" Transfer Levy"",IF(REGEXMATCH(LOWER(Raw_Data!C1350),""transfer|trf|send""),""Transfer"",""Other"")))),""Other"")"),"Other")</f>
        <v>Other</v>
      </c>
      <c r="E1344" s="20">
        <v>29595.0</v>
      </c>
      <c r="F1344" s="20">
        <v>0.0</v>
      </c>
      <c r="G1344" s="12" t="str">
        <f t="shared" si="3"/>
        <v>Withdrawal</v>
      </c>
      <c r="H1344" s="12" t="str">
        <f>TEXT(Raw_Data!A1350,"hh:mm:ss")
</f>
        <v>08:17:04</v>
      </c>
      <c r="I1344" s="20">
        <f t="shared" si="4"/>
        <v>29595</v>
      </c>
    </row>
    <row r="1345">
      <c r="A1345" s="12" t="str">
        <f>Raw_Data!A1351</f>
        <v>04 Sep 2025 20:51:47</v>
      </c>
      <c r="B1345" s="12" t="str">
        <f t="shared" si="1"/>
        <v>September</v>
      </c>
      <c r="C1345" s="12">
        <f t="shared" si="2"/>
        <v>9</v>
      </c>
      <c r="D1345" s="12" t="str">
        <f>IFERROR(__xludf.DUMMYFUNCTION("IFERROR(IF(REGEXMATCH(LOWER(Raw_Data!C1351),""fixed deposit|owealth|savings|target""),""Fixed Deposit"",IF(REGEXMATCH(LOWER(Raw_Data!C1351),""airtime""),""Airtime"",IF(REGEXMATCH(LOWER(Raw_Data!C1351),""electronic money transfer levy""),""Electronic Money"&amp;" Transfer Levy"",IF(REGEXMATCH(LOWER(Raw_Data!C1351),""transfer|trf|send""),""Transfer"",""Other"")))),""Other"")"),"Airtime")</f>
        <v>Airtime</v>
      </c>
      <c r="E1345" s="20">
        <v>200.0</v>
      </c>
      <c r="F1345" s="20">
        <v>0.0</v>
      </c>
      <c r="G1345" s="12" t="str">
        <f t="shared" si="3"/>
        <v>Withdrawal</v>
      </c>
      <c r="H1345" s="12" t="str">
        <f>TEXT(Raw_Data!A1351,"hh:mm:ss")
</f>
        <v>20:51:47</v>
      </c>
      <c r="I1345" s="20">
        <f t="shared" si="4"/>
        <v>200</v>
      </c>
    </row>
    <row r="1346">
      <c r="A1346" s="12" t="str">
        <f>Raw_Data!A1352</f>
        <v>07 Sep 2025 14:23:59</v>
      </c>
      <c r="B1346" s="12" t="str">
        <f t="shared" si="1"/>
        <v>September</v>
      </c>
      <c r="C1346" s="12">
        <f t="shared" si="2"/>
        <v>9</v>
      </c>
      <c r="D1346" s="12" t="str">
        <f>IFERROR(__xludf.DUMMYFUNCTION("IFERROR(IF(REGEXMATCH(LOWER(Raw_Data!C1352),""fixed deposit|owealth|savings|target""),""Fixed Deposit"",IF(REGEXMATCH(LOWER(Raw_Data!C1352),""airtime""),""Airtime"",IF(REGEXMATCH(LOWER(Raw_Data!C1352),""electronic money transfer levy""),""Electronic Money"&amp;" Transfer Levy"",IF(REGEXMATCH(LOWER(Raw_Data!C1352),""transfer|trf|send""),""Transfer"",""Other"")))),""Other"")"),"Transfer")</f>
        <v>Transfer</v>
      </c>
      <c r="E1346" s="20">
        <v>0.0</v>
      </c>
      <c r="F1346" s="20">
        <v>30057.0</v>
      </c>
      <c r="G1346" s="12" t="str">
        <f t="shared" si="3"/>
        <v>Deposit</v>
      </c>
      <c r="H1346" s="12" t="str">
        <f>TEXT(Raw_Data!A1352,"hh:mm:ss")
</f>
        <v>14:23:59</v>
      </c>
      <c r="I1346" s="20">
        <f t="shared" si="4"/>
        <v>30057</v>
      </c>
    </row>
    <row r="1347">
      <c r="A1347" s="12" t="str">
        <f>Raw_Data!A1353</f>
        <v>07 Sep 2025 14:24:01</v>
      </c>
      <c r="B1347" s="12" t="str">
        <f t="shared" si="1"/>
        <v>September</v>
      </c>
      <c r="C1347" s="12">
        <f t="shared" si="2"/>
        <v>9</v>
      </c>
      <c r="D1347" s="12" t="str">
        <f>IFERROR(__xludf.DUMMYFUNCTION("IFERROR(IF(REGEXMATCH(LOWER(Raw_Data!C1353),""fixed deposit|owealth|savings|target""),""Fixed Deposit"",IF(REGEXMATCH(LOWER(Raw_Data!C1353),""airtime""),""Airtime"",IF(REGEXMATCH(LOWER(Raw_Data!C1353),""electronic money transfer levy""),""Electronic Money"&amp;" Transfer Levy"",IF(REGEXMATCH(LOWER(Raw_Data!C1353),""transfer|trf|send""),""Transfer"",""Other"")))),""Other"")"),"Electronic Money Transfer Levy")</f>
        <v>Electronic Money Transfer Levy</v>
      </c>
      <c r="E1347" s="20">
        <v>50.0</v>
      </c>
      <c r="F1347" s="20">
        <v>0.0</v>
      </c>
      <c r="G1347" s="12" t="str">
        <f t="shared" si="3"/>
        <v>Withdrawal</v>
      </c>
      <c r="H1347" s="12" t="str">
        <f>TEXT(Raw_Data!A1353,"hh:mm:ss")
</f>
        <v>14:24:01</v>
      </c>
      <c r="I1347" s="20">
        <f t="shared" si="4"/>
        <v>50</v>
      </c>
    </row>
    <row r="1348">
      <c r="A1348" s="12" t="str">
        <f>Raw_Data!A1354</f>
        <v>07 Sep 2025 14:24:53</v>
      </c>
      <c r="B1348" s="12" t="str">
        <f t="shared" si="1"/>
        <v>September</v>
      </c>
      <c r="C1348" s="12">
        <f t="shared" si="2"/>
        <v>9</v>
      </c>
      <c r="D1348" s="12" t="str">
        <f>IFERROR(__xludf.DUMMYFUNCTION("IFERROR(IF(REGEXMATCH(LOWER(Raw_Data!C1354),""fixed deposit|owealth|savings|target""),""Fixed Deposit"",IF(REGEXMATCH(LOWER(Raw_Data!C1354),""airtime""),""Airtime"",IF(REGEXMATCH(LOWER(Raw_Data!C1354),""electronic money transfer levy""),""Electronic Money"&amp;" Transfer Levy"",IF(REGEXMATCH(LOWER(Raw_Data!C1354),""transfer|trf|send""),""Transfer"",""Other"")))),""Other"")"),"Transfer")</f>
        <v>Transfer</v>
      </c>
      <c r="E1348" s="20">
        <v>30000.0</v>
      </c>
      <c r="F1348" s="20">
        <v>0.0</v>
      </c>
      <c r="G1348" s="12" t="str">
        <f t="shared" si="3"/>
        <v>Withdrawal</v>
      </c>
      <c r="H1348" s="12" t="str">
        <f>TEXT(Raw_Data!A1354,"hh:mm:ss")
</f>
        <v>14:24:53</v>
      </c>
      <c r="I1348" s="20">
        <f t="shared" si="4"/>
        <v>30000</v>
      </c>
    </row>
    <row r="1349">
      <c r="A1349" s="12" t="str">
        <f>Raw_Data!A1355</f>
        <v>07 Sep 2025 14:35:18</v>
      </c>
      <c r="B1349" s="12" t="str">
        <f t="shared" si="1"/>
        <v>September</v>
      </c>
      <c r="C1349" s="12">
        <f t="shared" si="2"/>
        <v>9</v>
      </c>
      <c r="D1349" s="12" t="str">
        <f>IFERROR(__xludf.DUMMYFUNCTION("IFERROR(IF(REGEXMATCH(LOWER(Raw_Data!C1355),""fixed deposit|owealth|savings|target""),""Fixed Deposit"",IF(REGEXMATCH(LOWER(Raw_Data!C1355),""airtime""),""Airtime"",IF(REGEXMATCH(LOWER(Raw_Data!C1355),""electronic money transfer levy""),""Electronic Money"&amp;" Transfer Levy"",IF(REGEXMATCH(LOWER(Raw_Data!C1355),""transfer|trf|send""),""Transfer"",""Other"")))),""Other"")"),"Transfer")</f>
        <v>Transfer</v>
      </c>
      <c r="E1349" s="20">
        <v>400.0</v>
      </c>
      <c r="F1349" s="20">
        <v>0.0</v>
      </c>
      <c r="G1349" s="12" t="str">
        <f t="shared" si="3"/>
        <v>Withdrawal</v>
      </c>
      <c r="H1349" s="12" t="str">
        <f>TEXT(Raw_Data!A1355,"hh:mm:ss")
</f>
        <v>14:35:18</v>
      </c>
      <c r="I1349" s="20">
        <f t="shared" si="4"/>
        <v>400</v>
      </c>
    </row>
    <row r="1350">
      <c r="A1350" s="12" t="str">
        <f>Raw_Data!A1356</f>
        <v>08 Sep 2025 09:44:26</v>
      </c>
      <c r="B1350" s="12" t="str">
        <f t="shared" si="1"/>
        <v>September</v>
      </c>
      <c r="C1350" s="12">
        <f t="shared" si="2"/>
        <v>9</v>
      </c>
      <c r="D1350" s="12" t="str">
        <f>IFERROR(__xludf.DUMMYFUNCTION("IFERROR(IF(REGEXMATCH(LOWER(Raw_Data!C1356),""fixed deposit|owealth|savings|target""),""Fixed Deposit"",IF(REGEXMATCH(LOWER(Raw_Data!C1356),""airtime""),""Airtime"",IF(REGEXMATCH(LOWER(Raw_Data!C1356),""electronic money transfer levy""),""Electronic Money"&amp;" Transfer Levy"",IF(REGEXMATCH(LOWER(Raw_Data!C1356),""transfer|trf|send""),""Transfer"",""Other"")))),""Other"")"),"Transfer")</f>
        <v>Transfer</v>
      </c>
      <c r="E1350" s="20">
        <v>0.0</v>
      </c>
      <c r="F1350" s="20">
        <v>5000.0</v>
      </c>
      <c r="G1350" s="12" t="str">
        <f t="shared" si="3"/>
        <v>Deposit</v>
      </c>
      <c r="H1350" s="12" t="str">
        <f>TEXT(Raw_Data!A1356,"hh:mm:ss")
</f>
        <v>09:44:26</v>
      </c>
      <c r="I1350" s="20">
        <f t="shared" si="4"/>
        <v>5000</v>
      </c>
    </row>
    <row r="1351">
      <c r="A1351" s="12" t="str">
        <f>Raw_Data!A1357</f>
        <v>08 Sep 2025 12:35:31</v>
      </c>
      <c r="B1351" s="12" t="str">
        <f t="shared" si="1"/>
        <v>September</v>
      </c>
      <c r="C1351" s="12">
        <f t="shared" si="2"/>
        <v>9</v>
      </c>
      <c r="D1351" s="12" t="str">
        <f>IFERROR(__xludf.DUMMYFUNCTION("IFERROR(IF(REGEXMATCH(LOWER(Raw_Data!C1357),""fixed deposit|owealth|savings|target""),""Fixed Deposit"",IF(REGEXMATCH(LOWER(Raw_Data!C1357),""airtime""),""Airtime"",IF(REGEXMATCH(LOWER(Raw_Data!C1357),""electronic money transfer levy""),""Electronic Money"&amp;" Transfer Levy"",IF(REGEXMATCH(LOWER(Raw_Data!C1357),""transfer|trf|send""),""Transfer"",""Other"")))),""Other"")"),"Transfer")</f>
        <v>Transfer</v>
      </c>
      <c r="E1351" s="20">
        <v>0.0</v>
      </c>
      <c r="F1351" s="20">
        <v>3000.0</v>
      </c>
      <c r="G1351" s="12" t="str">
        <f t="shared" si="3"/>
        <v>Deposit</v>
      </c>
      <c r="H1351" s="12" t="str">
        <f>TEXT(Raw_Data!A1357,"hh:mm:ss")
</f>
        <v>12:35:31</v>
      </c>
      <c r="I1351" s="20">
        <f t="shared" si="4"/>
        <v>3000</v>
      </c>
    </row>
    <row r="1352">
      <c r="A1352" s="12" t="str">
        <f>Raw_Data!A1358</f>
        <v>08 Sep 2025 12:44:58</v>
      </c>
      <c r="B1352" s="12" t="str">
        <f t="shared" si="1"/>
        <v>September</v>
      </c>
      <c r="C1352" s="12">
        <f t="shared" si="2"/>
        <v>9</v>
      </c>
      <c r="D1352" s="12" t="str">
        <f>IFERROR(__xludf.DUMMYFUNCTION("IFERROR(IF(REGEXMATCH(LOWER(Raw_Data!C1358),""fixed deposit|owealth|savings|target""),""Fixed Deposit"",IF(REGEXMATCH(LOWER(Raw_Data!C1358),""airtime""),""Airtime"",IF(REGEXMATCH(LOWER(Raw_Data!C1358),""electronic money transfer levy""),""Electronic Money"&amp;" Transfer Levy"",IF(REGEXMATCH(LOWER(Raw_Data!C1358),""transfer|trf|send""),""Transfer"",""Other"")))),""Other"")"),"Transfer")</f>
        <v>Transfer</v>
      </c>
      <c r="E1352" s="20">
        <v>4100.0</v>
      </c>
      <c r="F1352" s="20">
        <v>0.0</v>
      </c>
      <c r="G1352" s="12" t="str">
        <f t="shared" si="3"/>
        <v>Withdrawal</v>
      </c>
      <c r="H1352" s="12" t="str">
        <f>TEXT(Raw_Data!A1358,"hh:mm:ss")
</f>
        <v>12:44:58</v>
      </c>
      <c r="I1352" s="20">
        <f t="shared" si="4"/>
        <v>4100</v>
      </c>
    </row>
    <row r="1353">
      <c r="A1353" s="12" t="str">
        <f>Raw_Data!A1359</f>
        <v>08 Sep 2025 20:07:11</v>
      </c>
      <c r="B1353" s="12" t="str">
        <f t="shared" si="1"/>
        <v>September</v>
      </c>
      <c r="C1353" s="12">
        <f t="shared" si="2"/>
        <v>9</v>
      </c>
      <c r="D1353" s="12" t="str">
        <f>IFERROR(__xludf.DUMMYFUNCTION("IFERROR(IF(REGEXMATCH(LOWER(Raw_Data!C1359),""fixed deposit|owealth|savings|target""),""Fixed Deposit"",IF(REGEXMATCH(LOWER(Raw_Data!C1359),""airtime""),""Airtime"",IF(REGEXMATCH(LOWER(Raw_Data!C1359),""electronic money transfer levy""),""Electronic Money"&amp;" Transfer Levy"",IF(REGEXMATCH(LOWER(Raw_Data!C1359),""transfer|trf|send""),""Transfer"",""Other"")))),""Other"")"),"Airtime")</f>
        <v>Airtime</v>
      </c>
      <c r="E1353" s="20">
        <v>500.0</v>
      </c>
      <c r="F1353" s="20">
        <v>0.0</v>
      </c>
      <c r="G1353" s="12" t="str">
        <f t="shared" si="3"/>
        <v>Withdrawal</v>
      </c>
      <c r="H1353" s="12" t="str">
        <f>TEXT(Raw_Data!A1359,"hh:mm:ss")
</f>
        <v>20:07:11</v>
      </c>
      <c r="I1353" s="20">
        <f t="shared" si="4"/>
        <v>500</v>
      </c>
    </row>
    <row r="1354">
      <c r="A1354" s="12" t="str">
        <f>Raw_Data!A1360</f>
        <v>09 Sep 2025 08:11:24</v>
      </c>
      <c r="B1354" s="12" t="str">
        <f t="shared" si="1"/>
        <v>September</v>
      </c>
      <c r="C1354" s="12">
        <f t="shared" si="2"/>
        <v>9</v>
      </c>
      <c r="D1354" s="12" t="str">
        <f>IFERROR(__xludf.DUMMYFUNCTION("IFERROR(IF(REGEXMATCH(LOWER(Raw_Data!C1360),""fixed deposit|owealth|savings|target""),""Fixed Deposit"",IF(REGEXMATCH(LOWER(Raw_Data!C1360),""airtime""),""Airtime"",IF(REGEXMATCH(LOWER(Raw_Data!C1360),""electronic money transfer levy""),""Electronic Money"&amp;" Transfer Levy"",IF(REGEXMATCH(LOWER(Raw_Data!C1360),""transfer|trf|send""),""Transfer"",""Other"")))),""Other"")"),"Transfer")</f>
        <v>Transfer</v>
      </c>
      <c r="E1354" s="20">
        <v>2000.0</v>
      </c>
      <c r="F1354" s="20">
        <v>0.0</v>
      </c>
      <c r="G1354" s="12" t="str">
        <f t="shared" si="3"/>
        <v>Withdrawal</v>
      </c>
      <c r="H1354" s="12" t="str">
        <f>TEXT(Raw_Data!A1360,"hh:mm:ss")
</f>
        <v>08:11:24</v>
      </c>
      <c r="I1354" s="20">
        <f t="shared" si="4"/>
        <v>2000</v>
      </c>
    </row>
    <row r="1355">
      <c r="A1355" s="12" t="str">
        <f>Raw_Data!A1361</f>
        <v>09 Sep 2025 11:10:14</v>
      </c>
      <c r="B1355" s="12" t="str">
        <f t="shared" si="1"/>
        <v>September</v>
      </c>
      <c r="C1355" s="12">
        <f t="shared" si="2"/>
        <v>9</v>
      </c>
      <c r="D1355" s="12" t="str">
        <f>IFERROR(__xludf.DUMMYFUNCTION("IFERROR(IF(REGEXMATCH(LOWER(Raw_Data!C1361),""fixed deposit|owealth|savings|target""),""Fixed Deposit"",IF(REGEXMATCH(LOWER(Raw_Data!C1361),""airtime""),""Airtime"",IF(REGEXMATCH(LOWER(Raw_Data!C1361),""electronic money transfer levy""),""Electronic Money"&amp;" Transfer Levy"",IF(REGEXMATCH(LOWER(Raw_Data!C1361),""transfer|trf|send""),""Transfer"",""Other"")))),""Other"")"),"Transfer")</f>
        <v>Transfer</v>
      </c>
      <c r="E1355" s="20">
        <v>1000.0</v>
      </c>
      <c r="F1355" s="20">
        <v>0.0</v>
      </c>
      <c r="G1355" s="12" t="str">
        <f t="shared" si="3"/>
        <v>Withdrawal</v>
      </c>
      <c r="H1355" s="12" t="str">
        <f>TEXT(Raw_Data!A1361,"hh:mm:ss")
</f>
        <v>11:10:14</v>
      </c>
      <c r="I1355" s="20">
        <f t="shared" si="4"/>
        <v>1000</v>
      </c>
    </row>
    <row r="1356">
      <c r="A1356" s="12" t="str">
        <f>Raw_Data!A1362</f>
        <v>09 Sep 2025 13:27:54</v>
      </c>
      <c r="B1356" s="12" t="str">
        <f t="shared" si="1"/>
        <v>September</v>
      </c>
      <c r="C1356" s="12">
        <f t="shared" si="2"/>
        <v>9</v>
      </c>
      <c r="D1356" s="12" t="str">
        <f>IFERROR(__xludf.DUMMYFUNCTION("IFERROR(IF(REGEXMATCH(LOWER(Raw_Data!C1362),""fixed deposit|owealth|savings|target""),""Fixed Deposit"",IF(REGEXMATCH(LOWER(Raw_Data!C1362),""airtime""),""Airtime"",IF(REGEXMATCH(LOWER(Raw_Data!C1362),""electronic money transfer levy""),""Electronic Money"&amp;" Transfer Levy"",IF(REGEXMATCH(LOWER(Raw_Data!C1362),""transfer|trf|send""),""Transfer"",""Other"")))),""Other"")"),"Transfer")</f>
        <v>Transfer</v>
      </c>
      <c r="E1356" s="20">
        <v>0.0</v>
      </c>
      <c r="F1356" s="20">
        <v>3000.0</v>
      </c>
      <c r="G1356" s="12" t="str">
        <f t="shared" si="3"/>
        <v>Deposit</v>
      </c>
      <c r="H1356" s="12" t="str">
        <f>TEXT(Raw_Data!A1362,"hh:mm:ss")
</f>
        <v>13:27:54</v>
      </c>
      <c r="I1356" s="20">
        <f t="shared" si="4"/>
        <v>3000</v>
      </c>
    </row>
    <row r="1357">
      <c r="A1357" s="12" t="str">
        <f>Raw_Data!A1363</f>
        <v>10 Sep 2025 11:34:54</v>
      </c>
      <c r="B1357" s="12" t="str">
        <f t="shared" si="1"/>
        <v>September</v>
      </c>
      <c r="C1357" s="12">
        <f t="shared" si="2"/>
        <v>9</v>
      </c>
      <c r="D1357" s="12" t="str">
        <f>IFERROR(__xludf.DUMMYFUNCTION("IFERROR(IF(REGEXMATCH(LOWER(Raw_Data!C1363),""fixed deposit|owealth|savings|target""),""Fixed Deposit"",IF(REGEXMATCH(LOWER(Raw_Data!C1363),""airtime""),""Airtime"",IF(REGEXMATCH(LOWER(Raw_Data!C1363),""electronic money transfer levy""),""Electronic Money"&amp;" Transfer Levy"",IF(REGEXMATCH(LOWER(Raw_Data!C1363),""transfer|trf|send""),""Transfer"",""Other"")))),""Other"")"),"Airtime")</f>
        <v>Airtime</v>
      </c>
      <c r="E1357" s="20">
        <v>300.0</v>
      </c>
      <c r="F1357" s="20">
        <v>0.0</v>
      </c>
      <c r="G1357" s="12" t="str">
        <f t="shared" si="3"/>
        <v>Withdrawal</v>
      </c>
      <c r="H1357" s="12" t="str">
        <f>TEXT(Raw_Data!A1363,"hh:mm:ss")
</f>
        <v>11:34:54</v>
      </c>
      <c r="I1357" s="20">
        <f t="shared" si="4"/>
        <v>300</v>
      </c>
    </row>
    <row r="1358">
      <c r="A1358" s="12" t="str">
        <f>Raw_Data!A1364</f>
        <v>11 Sep 2025 14:02:30</v>
      </c>
      <c r="B1358" s="12" t="str">
        <f t="shared" si="1"/>
        <v>September</v>
      </c>
      <c r="C1358" s="12">
        <f t="shared" si="2"/>
        <v>9</v>
      </c>
      <c r="D1358" s="12" t="str">
        <f>IFERROR(__xludf.DUMMYFUNCTION("IFERROR(IF(REGEXMATCH(LOWER(Raw_Data!C1364),""fixed deposit|owealth|savings|target""),""Fixed Deposit"",IF(REGEXMATCH(LOWER(Raw_Data!C1364),""airtime""),""Airtime"",IF(REGEXMATCH(LOWER(Raw_Data!C1364),""electronic money transfer levy""),""Electronic Money"&amp;" Transfer Levy"",IF(REGEXMATCH(LOWER(Raw_Data!C1364),""transfer|trf|send""),""Transfer"",""Other"")))),""Other"")"),"Transfer")</f>
        <v>Transfer</v>
      </c>
      <c r="E1358" s="20">
        <v>0.0</v>
      </c>
      <c r="F1358" s="20">
        <v>4000.0</v>
      </c>
      <c r="G1358" s="12" t="str">
        <f t="shared" si="3"/>
        <v>Deposit</v>
      </c>
      <c r="H1358" s="12" t="str">
        <f>TEXT(Raw_Data!A1364,"hh:mm:ss")
</f>
        <v>14:02:30</v>
      </c>
      <c r="I1358" s="20">
        <f t="shared" si="4"/>
        <v>4000</v>
      </c>
    </row>
    <row r="1359">
      <c r="A1359" s="12" t="str">
        <f>Raw_Data!A1365</f>
        <v>11 Sep 2025 15:38:10</v>
      </c>
      <c r="B1359" s="12" t="str">
        <f t="shared" si="1"/>
        <v>September</v>
      </c>
      <c r="C1359" s="12">
        <f t="shared" si="2"/>
        <v>9</v>
      </c>
      <c r="D1359" s="12" t="str">
        <f>IFERROR(__xludf.DUMMYFUNCTION("IFERROR(IF(REGEXMATCH(LOWER(Raw_Data!C1365),""fixed deposit|owealth|savings|target""),""Fixed Deposit"",IF(REGEXMATCH(LOWER(Raw_Data!C1365),""airtime""),""Airtime"",IF(REGEXMATCH(LOWER(Raw_Data!C1365),""electronic money transfer levy""),""Electronic Money"&amp;" Transfer Levy"",IF(REGEXMATCH(LOWER(Raw_Data!C1365),""transfer|trf|send""),""Transfer"",""Other"")))),""Other"")"),"Transfer")</f>
        <v>Transfer</v>
      </c>
      <c r="E1359" s="20">
        <v>4100.0</v>
      </c>
      <c r="F1359" s="20">
        <v>0.0</v>
      </c>
      <c r="G1359" s="12" t="str">
        <f t="shared" si="3"/>
        <v>Withdrawal</v>
      </c>
      <c r="H1359" s="12" t="str">
        <f>TEXT(Raw_Data!A1365,"hh:mm:ss")
</f>
        <v>15:38:10</v>
      </c>
      <c r="I1359" s="20">
        <f t="shared" si="4"/>
        <v>4100</v>
      </c>
    </row>
    <row r="1360">
      <c r="A1360" s="12" t="str">
        <f>Raw_Data!A1366</f>
        <v>12 Sep 2025 01:48:35</v>
      </c>
      <c r="B1360" s="12" t="str">
        <f t="shared" si="1"/>
        <v>September</v>
      </c>
      <c r="C1360" s="12">
        <f t="shared" si="2"/>
        <v>9</v>
      </c>
      <c r="D1360" s="12" t="str">
        <f>IFERROR(__xludf.DUMMYFUNCTION("IFERROR(IF(REGEXMATCH(LOWER(Raw_Data!C1366),""fixed deposit|owealth|savings|target""),""Fixed Deposit"",IF(REGEXMATCH(LOWER(Raw_Data!C1366),""airtime""),""Airtime"",IF(REGEXMATCH(LOWER(Raw_Data!C1366),""electronic money transfer levy""),""Electronic Money"&amp;" Transfer Levy"",IF(REGEXMATCH(LOWER(Raw_Data!C1366),""transfer|trf|send""),""Transfer"",""Other"")))),""Other"")"),"Transfer")</f>
        <v>Transfer</v>
      </c>
      <c r="E1360" s="20">
        <v>300.0</v>
      </c>
      <c r="F1360" s="20">
        <v>0.0</v>
      </c>
      <c r="G1360" s="12" t="str">
        <f t="shared" si="3"/>
        <v>Withdrawal</v>
      </c>
      <c r="H1360" s="12" t="str">
        <f>TEXT(Raw_Data!A1366,"hh:mm:ss")
</f>
        <v>01:48:35</v>
      </c>
      <c r="I1360" s="20">
        <f t="shared" si="4"/>
        <v>300</v>
      </c>
    </row>
    <row r="1361">
      <c r="A1361" s="12" t="str">
        <f>Raw_Data!A1367</f>
        <v>12 Sep 2025 01:48:49</v>
      </c>
      <c r="B1361" s="12" t="str">
        <f t="shared" si="1"/>
        <v>September</v>
      </c>
      <c r="C1361" s="12">
        <f t="shared" si="2"/>
        <v>9</v>
      </c>
      <c r="D1361" s="12" t="str">
        <f>IFERROR(__xludf.DUMMYFUNCTION("IFERROR(IF(REGEXMATCH(LOWER(Raw_Data!C1367),""fixed deposit|owealth|savings|target""),""Fixed Deposit"",IF(REGEXMATCH(LOWER(Raw_Data!C1367),""airtime""),""Airtime"",IF(REGEXMATCH(LOWER(Raw_Data!C1367),""electronic money transfer levy""),""Electronic Money"&amp;" Transfer Levy"",IF(REGEXMATCH(LOWER(Raw_Data!C1367),""transfer|trf|send""),""Transfer"",""Other"")))),""Other"")"),"Airtime")</f>
        <v>Airtime</v>
      </c>
      <c r="E1361" s="20">
        <v>300.0</v>
      </c>
      <c r="F1361" s="20">
        <v>0.0</v>
      </c>
      <c r="G1361" s="12" t="str">
        <f t="shared" si="3"/>
        <v>Withdrawal</v>
      </c>
      <c r="H1361" s="12" t="str">
        <f>TEXT(Raw_Data!A1367,"hh:mm:ss")
</f>
        <v>01:48:49</v>
      </c>
      <c r="I1361" s="20">
        <f t="shared" si="4"/>
        <v>300</v>
      </c>
    </row>
    <row r="1362">
      <c r="A1362" s="12" t="str">
        <f>Raw_Data!A1368</f>
        <v>12 Sep 2025 17:01:39</v>
      </c>
      <c r="B1362" s="12" t="str">
        <f t="shared" si="1"/>
        <v>September</v>
      </c>
      <c r="C1362" s="12">
        <f t="shared" si="2"/>
        <v>9</v>
      </c>
      <c r="D1362" s="12" t="str">
        <f>IFERROR(__xludf.DUMMYFUNCTION("IFERROR(IF(REGEXMATCH(LOWER(Raw_Data!C1368),""fixed deposit|owealth|savings|target""),""Fixed Deposit"",IF(REGEXMATCH(LOWER(Raw_Data!C1368),""airtime""),""Airtime"",IF(REGEXMATCH(LOWER(Raw_Data!C1368),""electronic money transfer levy""),""Electronic Money"&amp;" Transfer Levy"",IF(REGEXMATCH(LOWER(Raw_Data!C1368),""transfer|trf|send""),""Transfer"",""Other"")))),""Other"")"),"Other")</f>
        <v>Other</v>
      </c>
      <c r="E1362" s="20">
        <v>750.0</v>
      </c>
      <c r="F1362" s="20">
        <v>0.0</v>
      </c>
      <c r="G1362" s="12" t="str">
        <f t="shared" si="3"/>
        <v>Withdrawal</v>
      </c>
      <c r="H1362" s="12" t="str">
        <f>TEXT(Raw_Data!A1368,"hh:mm:ss")
</f>
        <v>17:01:39</v>
      </c>
      <c r="I1362" s="20">
        <f t="shared" si="4"/>
        <v>750</v>
      </c>
    </row>
    <row r="1363">
      <c r="A1363" s="12" t="str">
        <f>Raw_Data!A1369</f>
        <v>12 Sep 2025 17:22:38</v>
      </c>
      <c r="B1363" s="12" t="str">
        <f t="shared" si="1"/>
        <v>September</v>
      </c>
      <c r="C1363" s="12">
        <f t="shared" si="2"/>
        <v>9</v>
      </c>
      <c r="D1363" s="12" t="str">
        <f>IFERROR(__xludf.DUMMYFUNCTION("IFERROR(IF(REGEXMATCH(LOWER(Raw_Data!C1369),""fixed deposit|owealth|savings|target""),""Fixed Deposit"",IF(REGEXMATCH(LOWER(Raw_Data!C1369),""airtime""),""Airtime"",IF(REGEXMATCH(LOWER(Raw_Data!C1369),""electronic money transfer levy""),""Electronic Money"&amp;" Transfer Levy"",IF(REGEXMATCH(LOWER(Raw_Data!C1369),""transfer|trf|send""),""Transfer"",""Other"")))),""Other"")"),"Transfer")</f>
        <v>Transfer</v>
      </c>
      <c r="E1363" s="20">
        <v>0.0</v>
      </c>
      <c r="F1363" s="20">
        <v>1000.0</v>
      </c>
      <c r="G1363" s="12" t="str">
        <f t="shared" si="3"/>
        <v>Deposit</v>
      </c>
      <c r="H1363" s="12" t="str">
        <f>TEXT(Raw_Data!A1369,"hh:mm:ss")
</f>
        <v>17:22:38</v>
      </c>
      <c r="I1363" s="20">
        <f t="shared" si="4"/>
        <v>1000</v>
      </c>
    </row>
    <row r="1364">
      <c r="A1364" s="12" t="str">
        <f>Raw_Data!A1370</f>
        <v>12 Sep 2025 19:57:14</v>
      </c>
      <c r="B1364" s="12" t="str">
        <f t="shared" si="1"/>
        <v>September</v>
      </c>
      <c r="C1364" s="12">
        <f t="shared" si="2"/>
        <v>9</v>
      </c>
      <c r="D1364" s="12" t="str">
        <f>IFERROR(__xludf.DUMMYFUNCTION("IFERROR(IF(REGEXMATCH(LOWER(Raw_Data!C1370),""fixed deposit|owealth|savings|target""),""Fixed Deposit"",IF(REGEXMATCH(LOWER(Raw_Data!C1370),""airtime""),""Airtime"",IF(REGEXMATCH(LOWER(Raw_Data!C1370),""electronic money transfer levy""),""Electronic Money"&amp;" Transfer Levy"",IF(REGEXMATCH(LOWER(Raw_Data!C1370),""transfer|trf|send""),""Transfer"",""Other"")))),""Other"")"),"Transfer")</f>
        <v>Transfer</v>
      </c>
      <c r="E1364" s="20">
        <v>0.0</v>
      </c>
      <c r="F1364" s="20">
        <v>32000.0</v>
      </c>
      <c r="G1364" s="12" t="str">
        <f t="shared" si="3"/>
        <v>Deposit</v>
      </c>
      <c r="H1364" s="12" t="str">
        <f>TEXT(Raw_Data!A1370,"hh:mm:ss")
</f>
        <v>19:57:14</v>
      </c>
      <c r="I1364" s="20">
        <f t="shared" si="4"/>
        <v>32000</v>
      </c>
    </row>
    <row r="1365">
      <c r="A1365" s="12" t="str">
        <f>Raw_Data!A1371</f>
        <v>12 Sep 2025 19:57:23</v>
      </c>
      <c r="B1365" s="12" t="str">
        <f t="shared" si="1"/>
        <v>September</v>
      </c>
      <c r="C1365" s="12">
        <f t="shared" si="2"/>
        <v>9</v>
      </c>
      <c r="D1365" s="12" t="str">
        <f>IFERROR(__xludf.DUMMYFUNCTION("IFERROR(IF(REGEXMATCH(LOWER(Raw_Data!C1371),""fixed deposit|owealth|savings|target""),""Fixed Deposit"",IF(REGEXMATCH(LOWER(Raw_Data!C1371),""airtime""),""Airtime"",IF(REGEXMATCH(LOWER(Raw_Data!C1371),""electronic money transfer levy""),""Electronic Money"&amp;" Transfer Levy"",IF(REGEXMATCH(LOWER(Raw_Data!C1371),""transfer|trf|send""),""Transfer"",""Other"")))),""Other"")"),"Electronic Money Transfer Levy")</f>
        <v>Electronic Money Transfer Levy</v>
      </c>
      <c r="E1365" s="20">
        <v>50.0</v>
      </c>
      <c r="F1365" s="20">
        <v>0.0</v>
      </c>
      <c r="G1365" s="12" t="str">
        <f t="shared" si="3"/>
        <v>Withdrawal</v>
      </c>
      <c r="H1365" s="12" t="str">
        <f>TEXT(Raw_Data!A1371,"hh:mm:ss")
</f>
        <v>19:57:23</v>
      </c>
      <c r="I1365" s="20">
        <f t="shared" si="4"/>
        <v>50</v>
      </c>
    </row>
    <row r="1366">
      <c r="A1366" s="12" t="str">
        <f>Raw_Data!A1372</f>
        <v>13 Sep 2025 07:48:08</v>
      </c>
      <c r="B1366" s="12" t="str">
        <f t="shared" si="1"/>
        <v>September</v>
      </c>
      <c r="C1366" s="12">
        <f t="shared" si="2"/>
        <v>9</v>
      </c>
      <c r="D1366" s="12" t="str">
        <f>IFERROR(__xludf.DUMMYFUNCTION("IFERROR(IF(REGEXMATCH(LOWER(Raw_Data!C1372),""fixed deposit|owealth|savings|target""),""Fixed Deposit"",IF(REGEXMATCH(LOWER(Raw_Data!C1372),""airtime""),""Airtime"",IF(REGEXMATCH(LOWER(Raw_Data!C1372),""electronic money transfer levy""),""Electronic Money"&amp;" Transfer Levy"",IF(REGEXMATCH(LOWER(Raw_Data!C1372),""transfer|trf|send""),""Transfer"",""Other"")))),""Other"")"),"Transfer")</f>
        <v>Transfer</v>
      </c>
      <c r="E1366" s="20">
        <v>32000.0</v>
      </c>
      <c r="F1366" s="20">
        <v>0.0</v>
      </c>
      <c r="G1366" s="12" t="str">
        <f t="shared" si="3"/>
        <v>Withdrawal</v>
      </c>
      <c r="H1366" s="12" t="str">
        <f>TEXT(Raw_Data!A1372,"hh:mm:ss")
</f>
        <v>07:48:08</v>
      </c>
      <c r="I1366" s="20">
        <f t="shared" si="4"/>
        <v>32000</v>
      </c>
    </row>
    <row r="1367">
      <c r="A1367" s="12" t="str">
        <f>Raw_Data!A1373</f>
        <v>13 Sep 2025 11:54:23</v>
      </c>
      <c r="B1367" s="12" t="str">
        <f t="shared" si="1"/>
        <v>September</v>
      </c>
      <c r="C1367" s="12">
        <f t="shared" si="2"/>
        <v>9</v>
      </c>
      <c r="D1367" s="12" t="str">
        <f>IFERROR(__xludf.DUMMYFUNCTION("IFERROR(IF(REGEXMATCH(LOWER(Raw_Data!C1373),""fixed deposit|owealth|savings|target""),""Fixed Deposit"",IF(REGEXMATCH(LOWER(Raw_Data!C1373),""airtime""),""Airtime"",IF(REGEXMATCH(LOWER(Raw_Data!C1373),""electronic money transfer levy""),""Electronic Money"&amp;" Transfer Levy"",IF(REGEXMATCH(LOWER(Raw_Data!C1373),""transfer|trf|send""),""Transfer"",""Other"")))),""Other"")"),"Transfer")</f>
        <v>Transfer</v>
      </c>
      <c r="E1367" s="20">
        <v>0.0</v>
      </c>
      <c r="F1367" s="20">
        <v>7000.0</v>
      </c>
      <c r="G1367" s="12" t="str">
        <f t="shared" si="3"/>
        <v>Deposit</v>
      </c>
      <c r="H1367" s="12" t="str">
        <f>TEXT(Raw_Data!A1373,"hh:mm:ss")
</f>
        <v>11:54:23</v>
      </c>
      <c r="I1367" s="20">
        <f t="shared" si="4"/>
        <v>7000</v>
      </c>
    </row>
    <row r="1368">
      <c r="A1368" s="12" t="str">
        <f>Raw_Data!A1374</f>
        <v>13 Sep 2025 18:41:31</v>
      </c>
      <c r="B1368" s="12" t="str">
        <f t="shared" si="1"/>
        <v>September</v>
      </c>
      <c r="C1368" s="12">
        <f t="shared" si="2"/>
        <v>9</v>
      </c>
      <c r="D1368" s="12" t="str">
        <f>IFERROR(__xludf.DUMMYFUNCTION("IFERROR(IF(REGEXMATCH(LOWER(Raw_Data!C1374),""fixed deposit|owealth|savings|target""),""Fixed Deposit"",IF(REGEXMATCH(LOWER(Raw_Data!C1374),""airtime""),""Airtime"",IF(REGEXMATCH(LOWER(Raw_Data!C1374),""electronic money transfer levy""),""Electronic Money"&amp;" Transfer Levy"",IF(REGEXMATCH(LOWER(Raw_Data!C1374),""transfer|trf|send""),""Transfer"",""Other"")))),""Other"")"),"Transfer")</f>
        <v>Transfer</v>
      </c>
      <c r="E1368" s="20">
        <v>0.0</v>
      </c>
      <c r="F1368" s="20">
        <v>17000.0</v>
      </c>
      <c r="G1368" s="12" t="str">
        <f t="shared" si="3"/>
        <v>Deposit</v>
      </c>
      <c r="H1368" s="12" t="str">
        <f>TEXT(Raw_Data!A1374,"hh:mm:ss")
</f>
        <v>18:41:31</v>
      </c>
      <c r="I1368" s="20">
        <f t="shared" si="4"/>
        <v>17000</v>
      </c>
    </row>
    <row r="1369">
      <c r="A1369" s="12" t="str">
        <f>Raw_Data!A1375</f>
        <v>13 Sep 2025 18:41:39</v>
      </c>
      <c r="B1369" s="12" t="str">
        <f t="shared" si="1"/>
        <v>September</v>
      </c>
      <c r="C1369" s="12">
        <f t="shared" si="2"/>
        <v>9</v>
      </c>
      <c r="D1369" s="12" t="str">
        <f>IFERROR(__xludf.DUMMYFUNCTION("IFERROR(IF(REGEXMATCH(LOWER(Raw_Data!C1375),""fixed deposit|owealth|savings|target""),""Fixed Deposit"",IF(REGEXMATCH(LOWER(Raw_Data!C1375),""airtime""),""Airtime"",IF(REGEXMATCH(LOWER(Raw_Data!C1375),""electronic money transfer levy""),""Electronic Money"&amp;" Transfer Levy"",IF(REGEXMATCH(LOWER(Raw_Data!C1375),""transfer|trf|send""),""Transfer"",""Other"")))),""Other"")"),"Electronic Money Transfer Levy")</f>
        <v>Electronic Money Transfer Levy</v>
      </c>
      <c r="E1369" s="20">
        <v>50.0</v>
      </c>
      <c r="F1369" s="20">
        <v>0.0</v>
      </c>
      <c r="G1369" s="12" t="str">
        <f t="shared" si="3"/>
        <v>Withdrawal</v>
      </c>
      <c r="H1369" s="12" t="str">
        <f>TEXT(Raw_Data!A1375,"hh:mm:ss")
</f>
        <v>18:41:39</v>
      </c>
      <c r="I1369" s="20">
        <f t="shared" si="4"/>
        <v>50</v>
      </c>
    </row>
    <row r="1370">
      <c r="A1370" s="12" t="str">
        <f>Raw_Data!A1376</f>
        <v>13 Sep 2025 19:03:36</v>
      </c>
      <c r="B1370" s="12" t="str">
        <f t="shared" si="1"/>
        <v>September</v>
      </c>
      <c r="C1370" s="12">
        <f t="shared" si="2"/>
        <v>9</v>
      </c>
      <c r="D1370" s="12" t="str">
        <f>IFERROR(__xludf.DUMMYFUNCTION("IFERROR(IF(REGEXMATCH(LOWER(Raw_Data!C1376),""fixed deposit|owealth|savings|target""),""Fixed Deposit"",IF(REGEXMATCH(LOWER(Raw_Data!C1376),""airtime""),""Airtime"",IF(REGEXMATCH(LOWER(Raw_Data!C1376),""electronic money transfer levy""),""Electronic Money"&amp;" Transfer Levy"",IF(REGEXMATCH(LOWER(Raw_Data!C1376),""transfer|trf|send""),""Transfer"",""Other"")))),""Other"")"),"Transfer")</f>
        <v>Transfer</v>
      </c>
      <c r="E1370" s="20">
        <v>0.0</v>
      </c>
      <c r="F1370" s="20">
        <v>1600.0</v>
      </c>
      <c r="G1370" s="12" t="str">
        <f t="shared" si="3"/>
        <v>Deposit</v>
      </c>
      <c r="H1370" s="12" t="str">
        <f>TEXT(Raw_Data!A1376,"hh:mm:ss")
</f>
        <v>19:03:36</v>
      </c>
      <c r="I1370" s="20">
        <f t="shared" si="4"/>
        <v>1600</v>
      </c>
    </row>
    <row r="1371">
      <c r="A1371" s="12" t="str">
        <f>Raw_Data!A1377</f>
        <v>13 Sep 2025 19:05:09</v>
      </c>
      <c r="B1371" s="12" t="str">
        <f t="shared" si="1"/>
        <v>September</v>
      </c>
      <c r="C1371" s="12">
        <f t="shared" si="2"/>
        <v>9</v>
      </c>
      <c r="D1371" s="12" t="str">
        <f>IFERROR(__xludf.DUMMYFUNCTION("IFERROR(IF(REGEXMATCH(LOWER(Raw_Data!C1377),""fixed deposit|owealth|savings|target""),""Fixed Deposit"",IF(REGEXMATCH(LOWER(Raw_Data!C1377),""airtime""),""Airtime"",IF(REGEXMATCH(LOWER(Raw_Data!C1377),""electronic money transfer levy""),""Electronic Money"&amp;" Transfer Levy"",IF(REGEXMATCH(LOWER(Raw_Data!C1377),""transfer|trf|send""),""Transfer"",""Other"")))),""Other"")"),"Transfer")</f>
        <v>Transfer</v>
      </c>
      <c r="E1371" s="20">
        <v>1600.0</v>
      </c>
      <c r="F1371" s="20">
        <v>0.0</v>
      </c>
      <c r="G1371" s="12" t="str">
        <f t="shared" si="3"/>
        <v>Withdrawal</v>
      </c>
      <c r="H1371" s="12" t="str">
        <f>TEXT(Raw_Data!A1377,"hh:mm:ss")
</f>
        <v>19:05:09</v>
      </c>
      <c r="I1371" s="20">
        <f t="shared" si="4"/>
        <v>1600</v>
      </c>
    </row>
    <row r="1372">
      <c r="A1372" s="12" t="str">
        <f>Raw_Data!A1378</f>
        <v>14 Sep 2025 00:32:07</v>
      </c>
      <c r="B1372" s="12" t="str">
        <f t="shared" si="1"/>
        <v>September</v>
      </c>
      <c r="C1372" s="12">
        <f t="shared" si="2"/>
        <v>9</v>
      </c>
      <c r="D1372" s="12" t="str">
        <f>IFERROR(__xludf.DUMMYFUNCTION("IFERROR(IF(REGEXMATCH(LOWER(Raw_Data!C1378),""fixed deposit|owealth|savings|target""),""Fixed Deposit"",IF(REGEXMATCH(LOWER(Raw_Data!C1378),""airtime""),""Airtime"",IF(REGEXMATCH(LOWER(Raw_Data!C1378),""electronic money transfer levy""),""Electronic Money"&amp;" Transfer Levy"",IF(REGEXMATCH(LOWER(Raw_Data!C1378),""transfer|trf|send""),""Transfer"",""Other"")))),""Other"")"),"Other")</f>
        <v>Other</v>
      </c>
      <c r="E1372" s="20">
        <v>750.0</v>
      </c>
      <c r="F1372" s="20">
        <v>0.0</v>
      </c>
      <c r="G1372" s="12" t="str">
        <f t="shared" si="3"/>
        <v>Withdrawal</v>
      </c>
      <c r="H1372" s="12" t="str">
        <f>TEXT(Raw_Data!A1378,"hh:mm:ss")
</f>
        <v>00:32:07</v>
      </c>
      <c r="I1372" s="20">
        <f t="shared" si="4"/>
        <v>750</v>
      </c>
    </row>
    <row r="1373">
      <c r="A1373" s="12" t="str">
        <f>Raw_Data!A1379</f>
        <v>14 Sep 2025 10:47:42</v>
      </c>
      <c r="B1373" s="12" t="str">
        <f t="shared" si="1"/>
        <v>September</v>
      </c>
      <c r="C1373" s="12">
        <f t="shared" si="2"/>
        <v>9</v>
      </c>
      <c r="D1373" s="12" t="str">
        <f>IFERROR(__xludf.DUMMYFUNCTION("IFERROR(IF(REGEXMATCH(LOWER(Raw_Data!C1379),""fixed deposit|owealth|savings|target""),""Fixed Deposit"",IF(REGEXMATCH(LOWER(Raw_Data!C1379),""airtime""),""Airtime"",IF(REGEXMATCH(LOWER(Raw_Data!C1379),""electronic money transfer levy""),""Electronic Money"&amp;" Transfer Levy"",IF(REGEXMATCH(LOWER(Raw_Data!C1379),""transfer|trf|send""),""Transfer"",""Other"")))),""Other"")"),"Transfer")</f>
        <v>Transfer</v>
      </c>
      <c r="E1373" s="20">
        <v>2100.0</v>
      </c>
      <c r="F1373" s="20">
        <v>0.0</v>
      </c>
      <c r="G1373" s="12" t="str">
        <f t="shared" si="3"/>
        <v>Withdrawal</v>
      </c>
      <c r="H1373" s="12" t="str">
        <f>TEXT(Raw_Data!A1379,"hh:mm:ss")
</f>
        <v>10:47:42</v>
      </c>
      <c r="I1373" s="20">
        <f t="shared" si="4"/>
        <v>2100</v>
      </c>
    </row>
    <row r="1374">
      <c r="A1374" s="12" t="str">
        <f>Raw_Data!A1380</f>
        <v>14 Sep 2025 13:02:09</v>
      </c>
      <c r="B1374" s="12" t="str">
        <f t="shared" si="1"/>
        <v>September</v>
      </c>
      <c r="C1374" s="12">
        <f t="shared" si="2"/>
        <v>9</v>
      </c>
      <c r="D1374" s="12" t="str">
        <f>IFERROR(__xludf.DUMMYFUNCTION("IFERROR(IF(REGEXMATCH(LOWER(Raw_Data!C1380),""fixed deposit|owealth|savings|target""),""Fixed Deposit"",IF(REGEXMATCH(LOWER(Raw_Data!C1380),""airtime""),""Airtime"",IF(REGEXMATCH(LOWER(Raw_Data!C1380),""electronic money transfer levy""),""Electronic Money"&amp;" Transfer Levy"",IF(REGEXMATCH(LOWER(Raw_Data!C1380),""transfer|trf|send""),""Transfer"",""Other"")))),""Other"")"),"Transfer")</f>
        <v>Transfer</v>
      </c>
      <c r="E1374" s="20">
        <v>15000.0</v>
      </c>
      <c r="F1374" s="20">
        <v>0.0</v>
      </c>
      <c r="G1374" s="12" t="str">
        <f t="shared" si="3"/>
        <v>Withdrawal</v>
      </c>
      <c r="H1374" s="12" t="str">
        <f>TEXT(Raw_Data!A1380,"hh:mm:ss")
</f>
        <v>13:02:09</v>
      </c>
      <c r="I1374" s="20">
        <f t="shared" si="4"/>
        <v>15000</v>
      </c>
    </row>
    <row r="1375">
      <c r="A1375" s="12" t="str">
        <f>Raw_Data!A1381</f>
        <v>14 Sep 2025 17:07:42</v>
      </c>
      <c r="B1375" s="12" t="str">
        <f t="shared" si="1"/>
        <v>September</v>
      </c>
      <c r="C1375" s="12">
        <f t="shared" si="2"/>
        <v>9</v>
      </c>
      <c r="D1375" s="12" t="str">
        <f>IFERROR(__xludf.DUMMYFUNCTION("IFERROR(IF(REGEXMATCH(LOWER(Raw_Data!C1381),""fixed deposit|owealth|savings|target""),""Fixed Deposit"",IF(REGEXMATCH(LOWER(Raw_Data!C1381),""airtime""),""Airtime"",IF(REGEXMATCH(LOWER(Raw_Data!C1381),""electronic money transfer levy""),""Electronic Money"&amp;" Transfer Levy"",IF(REGEXMATCH(LOWER(Raw_Data!C1381),""transfer|trf|send""),""Transfer"",""Other"")))),""Other"")"),"Airtime")</f>
        <v>Airtime</v>
      </c>
      <c r="E1375" s="20">
        <v>400.0</v>
      </c>
      <c r="F1375" s="20">
        <v>0.0</v>
      </c>
      <c r="G1375" s="12" t="str">
        <f t="shared" si="3"/>
        <v>Withdrawal</v>
      </c>
      <c r="H1375" s="12" t="str">
        <f>TEXT(Raw_Data!A1381,"hh:mm:ss")
</f>
        <v>17:07:42</v>
      </c>
      <c r="I1375" s="20">
        <f t="shared" si="4"/>
        <v>400</v>
      </c>
    </row>
    <row r="1376">
      <c r="A1376" s="12" t="str">
        <f>Raw_Data!A1382</f>
        <v>15 Sep 2025 21:15:30</v>
      </c>
      <c r="B1376" s="12" t="str">
        <f t="shared" si="1"/>
        <v>September</v>
      </c>
      <c r="C1376" s="12">
        <f t="shared" si="2"/>
        <v>9</v>
      </c>
      <c r="D1376" s="12" t="str">
        <f>IFERROR(__xludf.DUMMYFUNCTION("IFERROR(IF(REGEXMATCH(LOWER(Raw_Data!C1382),""fixed deposit|owealth|savings|target""),""Fixed Deposit"",IF(REGEXMATCH(LOWER(Raw_Data!C1382),""airtime""),""Airtime"",IF(REGEXMATCH(LOWER(Raw_Data!C1382),""electronic money transfer levy""),""Electronic Money"&amp;" Transfer Levy"",IF(REGEXMATCH(LOWER(Raw_Data!C1382),""transfer|trf|send""),""Transfer"",""Other"")))),""Other"")"),"Transfer")</f>
        <v>Transfer</v>
      </c>
      <c r="E1376" s="20">
        <v>0.0</v>
      </c>
      <c r="F1376" s="20">
        <v>2000.0</v>
      </c>
      <c r="G1376" s="12" t="str">
        <f t="shared" si="3"/>
        <v>Deposit</v>
      </c>
      <c r="H1376" s="12" t="str">
        <f>TEXT(Raw_Data!A1382,"hh:mm:ss")
</f>
        <v>21:15:30</v>
      </c>
      <c r="I1376" s="20">
        <f t="shared" si="4"/>
        <v>2000</v>
      </c>
    </row>
    <row r="1377">
      <c r="A1377" s="12" t="str">
        <f>Raw_Data!A1383</f>
        <v>16 Sep 2025 09:09:37</v>
      </c>
      <c r="B1377" s="12" t="str">
        <f t="shared" si="1"/>
        <v>September</v>
      </c>
      <c r="C1377" s="12">
        <f t="shared" si="2"/>
        <v>9</v>
      </c>
      <c r="D1377" s="12" t="str">
        <f>IFERROR(__xludf.DUMMYFUNCTION("IFERROR(IF(REGEXMATCH(LOWER(Raw_Data!C1383),""fixed deposit|owealth|savings|target""),""Fixed Deposit"",IF(REGEXMATCH(LOWER(Raw_Data!C1383),""airtime""),""Airtime"",IF(REGEXMATCH(LOWER(Raw_Data!C1383),""electronic money transfer levy""),""Electronic Money"&amp;" Transfer Levy"",IF(REGEXMATCH(LOWER(Raw_Data!C1383),""transfer|trf|send""),""Transfer"",""Other"")))),""Other"")"),"Transfer")</f>
        <v>Transfer</v>
      </c>
      <c r="E1377" s="20">
        <v>0.0</v>
      </c>
      <c r="F1377" s="20">
        <v>5000.0</v>
      </c>
      <c r="G1377" s="12" t="str">
        <f t="shared" si="3"/>
        <v>Deposit</v>
      </c>
      <c r="H1377" s="12" t="str">
        <f>TEXT(Raw_Data!A1383,"hh:mm:ss")
</f>
        <v>09:09:37</v>
      </c>
      <c r="I1377" s="20">
        <f t="shared" si="4"/>
        <v>5000</v>
      </c>
    </row>
    <row r="1378">
      <c r="A1378" s="12" t="str">
        <f>Raw_Data!A1384</f>
        <v>16 Sep 2025 19:13:09</v>
      </c>
      <c r="B1378" s="12" t="str">
        <f t="shared" si="1"/>
        <v>September</v>
      </c>
      <c r="C1378" s="12">
        <f t="shared" si="2"/>
        <v>9</v>
      </c>
      <c r="D1378" s="12" t="str">
        <f>IFERROR(__xludf.DUMMYFUNCTION("IFERROR(IF(REGEXMATCH(LOWER(Raw_Data!C1384),""fixed deposit|owealth|savings|target""),""Fixed Deposit"",IF(REGEXMATCH(LOWER(Raw_Data!C1384),""airtime""),""Airtime"",IF(REGEXMATCH(LOWER(Raw_Data!C1384),""electronic money transfer levy""),""Electronic Money"&amp;" Transfer Levy"",IF(REGEXMATCH(LOWER(Raw_Data!C1384),""transfer|trf|send""),""Transfer"",""Other"")))),""Other"")"),"Transfer")</f>
        <v>Transfer</v>
      </c>
      <c r="E1378" s="20">
        <v>450.0</v>
      </c>
      <c r="F1378" s="20">
        <v>0.0</v>
      </c>
      <c r="G1378" s="12" t="str">
        <f t="shared" si="3"/>
        <v>Withdrawal</v>
      </c>
      <c r="H1378" s="12" t="str">
        <f>TEXT(Raw_Data!A1384,"hh:mm:ss")
</f>
        <v>19:13:09</v>
      </c>
      <c r="I1378" s="20">
        <f t="shared" si="4"/>
        <v>450</v>
      </c>
    </row>
    <row r="1379">
      <c r="A1379" s="12" t="str">
        <f>Raw_Data!A1385</f>
        <v>16 Sep 2025 21:23:59</v>
      </c>
      <c r="B1379" s="12" t="str">
        <f t="shared" si="1"/>
        <v>September</v>
      </c>
      <c r="C1379" s="12">
        <f t="shared" si="2"/>
        <v>9</v>
      </c>
      <c r="D1379" s="12" t="str">
        <f>IFERROR(__xludf.DUMMYFUNCTION("IFERROR(IF(REGEXMATCH(LOWER(Raw_Data!C1385),""fixed deposit|owealth|savings|target""),""Fixed Deposit"",IF(REGEXMATCH(LOWER(Raw_Data!C1385),""airtime""),""Airtime"",IF(REGEXMATCH(LOWER(Raw_Data!C1385),""electronic money transfer levy""),""Electronic Money"&amp;" Transfer Levy"",IF(REGEXMATCH(LOWER(Raw_Data!C1385),""transfer|trf|send""),""Transfer"",""Other"")))),""Other"")"),"Airtime")</f>
        <v>Airtime</v>
      </c>
      <c r="E1379" s="20">
        <v>500.0</v>
      </c>
      <c r="F1379" s="20">
        <v>0.0</v>
      </c>
      <c r="G1379" s="12" t="str">
        <f t="shared" si="3"/>
        <v>Withdrawal</v>
      </c>
      <c r="H1379" s="12" t="str">
        <f>TEXT(Raw_Data!A1385,"hh:mm:ss")
</f>
        <v>21:23:59</v>
      </c>
      <c r="I1379" s="20">
        <f t="shared" si="4"/>
        <v>500</v>
      </c>
    </row>
    <row r="1380">
      <c r="A1380" s="12" t="str">
        <f>Raw_Data!A1386</f>
        <v>17 Sep 2025 07:43:52</v>
      </c>
      <c r="B1380" s="12" t="str">
        <f t="shared" si="1"/>
        <v>September</v>
      </c>
      <c r="C1380" s="12">
        <f t="shared" si="2"/>
        <v>9</v>
      </c>
      <c r="D1380" s="12" t="str">
        <f>IFERROR(__xludf.DUMMYFUNCTION("IFERROR(IF(REGEXMATCH(LOWER(Raw_Data!C1386),""fixed deposit|owealth|savings|target""),""Fixed Deposit"",IF(REGEXMATCH(LOWER(Raw_Data!C1386),""airtime""),""Airtime"",IF(REGEXMATCH(LOWER(Raw_Data!C1386),""electronic money transfer levy""),""Electronic Money"&amp;" Transfer Levy"",IF(REGEXMATCH(LOWER(Raw_Data!C1386),""transfer|trf|send""),""Transfer"",""Other"")))),""Other"")"),"Airtime")</f>
        <v>Airtime</v>
      </c>
      <c r="E1380" s="20">
        <v>11000.0</v>
      </c>
      <c r="F1380" s="20">
        <v>0.0</v>
      </c>
      <c r="G1380" s="12" t="str">
        <f t="shared" si="3"/>
        <v>Withdrawal</v>
      </c>
      <c r="H1380" s="12" t="str">
        <f>TEXT(Raw_Data!A1386,"hh:mm:ss")
</f>
        <v>07:43:52</v>
      </c>
      <c r="I1380" s="20">
        <f t="shared" si="4"/>
        <v>11000</v>
      </c>
    </row>
    <row r="1381">
      <c r="A1381" s="12" t="str">
        <f>Raw_Data!A1387</f>
        <v>18 Sep 2025 10:16:13</v>
      </c>
      <c r="B1381" s="12" t="str">
        <f t="shared" si="1"/>
        <v>September</v>
      </c>
      <c r="C1381" s="12">
        <f t="shared" si="2"/>
        <v>9</v>
      </c>
      <c r="D1381" s="12" t="str">
        <f>IFERROR(__xludf.DUMMYFUNCTION("IFERROR(IF(REGEXMATCH(LOWER(Raw_Data!C1387),""fixed deposit|owealth|savings|target""),""Fixed Deposit"",IF(REGEXMATCH(LOWER(Raw_Data!C1387),""airtime""),""Airtime"",IF(REGEXMATCH(LOWER(Raw_Data!C1387),""electronic money transfer levy""),""Electronic Money"&amp;" Transfer Levy"",IF(REGEXMATCH(LOWER(Raw_Data!C1387),""transfer|trf|send""),""Transfer"",""Other"")))),""Other"")"),"Transfer")</f>
        <v>Transfer</v>
      </c>
      <c r="E1381" s="20">
        <v>0.0</v>
      </c>
      <c r="F1381" s="20">
        <v>37678.0</v>
      </c>
      <c r="G1381" s="12" t="str">
        <f t="shared" si="3"/>
        <v>Deposit</v>
      </c>
      <c r="H1381" s="12" t="str">
        <f>TEXT(Raw_Data!A1387,"hh:mm:ss")
</f>
        <v>10:16:13</v>
      </c>
      <c r="I1381" s="20">
        <f t="shared" si="4"/>
        <v>37678</v>
      </c>
    </row>
    <row r="1382">
      <c r="A1382" s="12" t="str">
        <f>Raw_Data!A1388</f>
        <v>18 Sep 2025 10:16:15</v>
      </c>
      <c r="B1382" s="12" t="str">
        <f t="shared" si="1"/>
        <v>September</v>
      </c>
      <c r="C1382" s="12">
        <f t="shared" si="2"/>
        <v>9</v>
      </c>
      <c r="D1382" s="12" t="str">
        <f>IFERROR(__xludf.DUMMYFUNCTION("IFERROR(IF(REGEXMATCH(LOWER(Raw_Data!C1388),""fixed deposit|owealth|savings|target""),""Fixed Deposit"",IF(REGEXMATCH(LOWER(Raw_Data!C1388),""airtime""),""Airtime"",IF(REGEXMATCH(LOWER(Raw_Data!C1388),""electronic money transfer levy""),""Electronic Money"&amp;" Transfer Levy"",IF(REGEXMATCH(LOWER(Raw_Data!C1388),""transfer|trf|send""),""Transfer"",""Other"")))),""Other"")"),"Electronic Money Transfer Levy")</f>
        <v>Electronic Money Transfer Levy</v>
      </c>
      <c r="E1382" s="20">
        <v>50.0</v>
      </c>
      <c r="F1382" s="20">
        <v>0.0</v>
      </c>
      <c r="G1382" s="12" t="str">
        <f t="shared" si="3"/>
        <v>Withdrawal</v>
      </c>
      <c r="H1382" s="12" t="str">
        <f>TEXT(Raw_Data!A1388,"hh:mm:ss")
</f>
        <v>10:16:15</v>
      </c>
      <c r="I1382" s="20">
        <f t="shared" si="4"/>
        <v>50</v>
      </c>
    </row>
    <row r="1383">
      <c r="A1383" s="12" t="str">
        <f>Raw_Data!A1389</f>
        <v>18 Sep 2025 10:17:37</v>
      </c>
      <c r="B1383" s="12" t="str">
        <f t="shared" si="1"/>
        <v>September</v>
      </c>
      <c r="C1383" s="12">
        <f t="shared" si="2"/>
        <v>9</v>
      </c>
      <c r="D1383" s="12" t="str">
        <f>IFERROR(__xludf.DUMMYFUNCTION("IFERROR(IF(REGEXMATCH(LOWER(Raw_Data!C1389),""fixed deposit|owealth|savings|target""),""Fixed Deposit"",IF(REGEXMATCH(LOWER(Raw_Data!C1389),""airtime""),""Airtime"",IF(REGEXMATCH(LOWER(Raw_Data!C1389),""electronic money transfer levy""),""Electronic Money"&amp;" Transfer Levy"",IF(REGEXMATCH(LOWER(Raw_Data!C1389),""transfer|trf|send""),""Transfer"",""Other"")))),""Other"")"),"Transfer")</f>
        <v>Transfer</v>
      </c>
      <c r="E1383" s="20">
        <v>37000.0</v>
      </c>
      <c r="F1383" s="20">
        <v>0.0</v>
      </c>
      <c r="G1383" s="12" t="str">
        <f t="shared" si="3"/>
        <v>Withdrawal</v>
      </c>
      <c r="H1383" s="12" t="str">
        <f>TEXT(Raw_Data!A1389,"hh:mm:ss")
</f>
        <v>10:17:37</v>
      </c>
      <c r="I1383" s="20">
        <f t="shared" si="4"/>
        <v>37000</v>
      </c>
    </row>
    <row r="1384">
      <c r="A1384" s="12" t="str">
        <f>Raw_Data!A1390</f>
        <v>18 Sep 2025 20:43:12</v>
      </c>
      <c r="B1384" s="12" t="str">
        <f t="shared" si="1"/>
        <v>September</v>
      </c>
      <c r="C1384" s="12">
        <f t="shared" si="2"/>
        <v>9</v>
      </c>
      <c r="D1384" s="12" t="str">
        <f>IFERROR(__xludf.DUMMYFUNCTION("IFERROR(IF(REGEXMATCH(LOWER(Raw_Data!C1390),""fixed deposit|owealth|savings|target""),""Fixed Deposit"",IF(REGEXMATCH(LOWER(Raw_Data!C1390),""airtime""),""Airtime"",IF(REGEXMATCH(LOWER(Raw_Data!C1390),""electronic money transfer levy""),""Electronic Money"&amp;" Transfer Levy"",IF(REGEXMATCH(LOWER(Raw_Data!C1390),""transfer|trf|send""),""Transfer"",""Other"")))),""Other"")"),"Transfer")</f>
        <v>Transfer</v>
      </c>
      <c r="E1384" s="20">
        <v>1000.0</v>
      </c>
      <c r="F1384" s="20">
        <v>0.0</v>
      </c>
      <c r="G1384" s="12" t="str">
        <f t="shared" si="3"/>
        <v>Withdrawal</v>
      </c>
      <c r="H1384" s="12" t="str">
        <f>TEXT(Raw_Data!A1390,"hh:mm:ss")
</f>
        <v>20:43:12</v>
      </c>
      <c r="I1384" s="20">
        <f t="shared" si="4"/>
        <v>1000</v>
      </c>
    </row>
    <row r="1385">
      <c r="A1385" s="12" t="str">
        <f>Raw_Data!A1391</f>
        <v>18 Sep 2025 20:44:06</v>
      </c>
      <c r="B1385" s="12" t="str">
        <f t="shared" si="1"/>
        <v>September</v>
      </c>
      <c r="C1385" s="12">
        <f t="shared" si="2"/>
        <v>9</v>
      </c>
      <c r="D1385" s="12" t="str">
        <f>IFERROR(__xludf.DUMMYFUNCTION("IFERROR(IF(REGEXMATCH(LOWER(Raw_Data!C1391),""fixed deposit|owealth|savings|target""),""Fixed Deposit"",IF(REGEXMATCH(LOWER(Raw_Data!C1391),""airtime""),""Airtime"",IF(REGEXMATCH(LOWER(Raw_Data!C1391),""electronic money transfer levy""),""Electronic Money"&amp;" Transfer Levy"",IF(REGEXMATCH(LOWER(Raw_Data!C1391),""transfer|trf|send""),""Transfer"",""Other"")))),""Other"")"),"Other")</f>
        <v>Other</v>
      </c>
      <c r="E1385" s="20">
        <v>100.0</v>
      </c>
      <c r="F1385" s="20">
        <v>0.0</v>
      </c>
      <c r="G1385" s="12" t="str">
        <f t="shared" si="3"/>
        <v>Withdrawal</v>
      </c>
      <c r="H1385" s="12" t="str">
        <f>TEXT(Raw_Data!A1391,"hh:mm:ss")
</f>
        <v>20:44:06</v>
      </c>
      <c r="I1385" s="20">
        <f t="shared" si="4"/>
        <v>100</v>
      </c>
    </row>
    <row r="1386">
      <c r="A1386" s="12" t="str">
        <f>Raw_Data!A1392</f>
        <v>19 Sep 2025 16:47:21</v>
      </c>
      <c r="B1386" s="12" t="str">
        <f t="shared" si="1"/>
        <v>September</v>
      </c>
      <c r="C1386" s="12">
        <f t="shared" si="2"/>
        <v>9</v>
      </c>
      <c r="D1386" s="12" t="str">
        <f>IFERROR(__xludf.DUMMYFUNCTION("IFERROR(IF(REGEXMATCH(LOWER(Raw_Data!C1392),""fixed deposit|owealth|savings|target""),""Fixed Deposit"",IF(REGEXMATCH(LOWER(Raw_Data!C1392),""airtime""),""Airtime"",IF(REGEXMATCH(LOWER(Raw_Data!C1392),""electronic money transfer levy""),""Electronic Money"&amp;" Transfer Levy"",IF(REGEXMATCH(LOWER(Raw_Data!C1392),""transfer|trf|send""),""Transfer"",""Other"")))),""Other"")"),"Transfer")</f>
        <v>Transfer</v>
      </c>
      <c r="E1386" s="20">
        <v>400.0</v>
      </c>
      <c r="F1386" s="20">
        <v>0.0</v>
      </c>
      <c r="G1386" s="12" t="str">
        <f t="shared" si="3"/>
        <v>Withdrawal</v>
      </c>
      <c r="H1386" s="12" t="str">
        <f>TEXT(Raw_Data!A1392,"hh:mm:ss")
</f>
        <v>16:47:21</v>
      </c>
      <c r="I1386" s="20">
        <f t="shared" si="4"/>
        <v>400</v>
      </c>
    </row>
    <row r="1387">
      <c r="A1387" s="12" t="str">
        <f>Raw_Data!A1393</f>
        <v>19 Sep 2025 16:47:40</v>
      </c>
      <c r="B1387" s="12" t="str">
        <f t="shared" si="1"/>
        <v>September</v>
      </c>
      <c r="C1387" s="12">
        <f t="shared" si="2"/>
        <v>9</v>
      </c>
      <c r="D1387" s="12" t="str">
        <f>IFERROR(__xludf.DUMMYFUNCTION("IFERROR(IF(REGEXMATCH(LOWER(Raw_Data!C1393),""fixed deposit|owealth|savings|target""),""Fixed Deposit"",IF(REGEXMATCH(LOWER(Raw_Data!C1393),""airtime""),""Airtime"",IF(REGEXMATCH(LOWER(Raw_Data!C1393),""electronic money transfer levy""),""Electronic Money"&amp;" Transfer Levy"",IF(REGEXMATCH(LOWER(Raw_Data!C1393),""transfer|trf|send""),""Transfer"",""Other"")))),""Other"")"),"Transfer")</f>
        <v>Transfer</v>
      </c>
      <c r="E1387" s="20">
        <v>950.0</v>
      </c>
      <c r="F1387" s="20">
        <v>0.0</v>
      </c>
      <c r="G1387" s="12" t="str">
        <f t="shared" si="3"/>
        <v>Withdrawal</v>
      </c>
      <c r="H1387" s="12" t="str">
        <f>TEXT(Raw_Data!A1393,"hh:mm:ss")
</f>
        <v>16:47:40</v>
      </c>
      <c r="I1387" s="20">
        <f t="shared" si="4"/>
        <v>950</v>
      </c>
    </row>
    <row r="1388">
      <c r="A1388" s="12" t="str">
        <f>Raw_Data!A1394</f>
        <v>21 Sep 2025 11:33:00</v>
      </c>
      <c r="B1388" s="12" t="str">
        <f t="shared" si="1"/>
        <v>September</v>
      </c>
      <c r="C1388" s="12">
        <f t="shared" si="2"/>
        <v>9</v>
      </c>
      <c r="D1388" s="12" t="str">
        <f>IFERROR(__xludf.DUMMYFUNCTION("IFERROR(IF(REGEXMATCH(LOWER(Raw_Data!C1394),""fixed deposit|owealth|savings|target""),""Fixed Deposit"",IF(REGEXMATCH(LOWER(Raw_Data!C1394),""airtime""),""Airtime"",IF(REGEXMATCH(LOWER(Raw_Data!C1394),""electronic money transfer levy""),""Electronic Money"&amp;" Transfer Levy"",IF(REGEXMATCH(LOWER(Raw_Data!C1394),""transfer|trf|send""),""Transfer"",""Other"")))),""Other"")"),"Transfer")</f>
        <v>Transfer</v>
      </c>
      <c r="E1388" s="20">
        <v>0.0</v>
      </c>
      <c r="F1388" s="20">
        <v>1500.0</v>
      </c>
      <c r="G1388" s="12" t="str">
        <f t="shared" si="3"/>
        <v>Deposit</v>
      </c>
      <c r="H1388" s="12" t="str">
        <f>TEXT(Raw_Data!A1394,"hh:mm:ss")
</f>
        <v>11:33:00</v>
      </c>
      <c r="I1388" s="20">
        <f t="shared" si="4"/>
        <v>1500</v>
      </c>
    </row>
    <row r="1389">
      <c r="A1389" s="12" t="str">
        <f>Raw_Data!A1395</f>
        <v>21 Sep 2025 12:19:27</v>
      </c>
      <c r="B1389" s="12" t="str">
        <f t="shared" si="1"/>
        <v>September</v>
      </c>
      <c r="C1389" s="12">
        <f t="shared" si="2"/>
        <v>9</v>
      </c>
      <c r="D1389" s="12" t="str">
        <f>IFERROR(__xludf.DUMMYFUNCTION("IFERROR(IF(REGEXMATCH(LOWER(Raw_Data!C1395),""fixed deposit|owealth|savings|target""),""Fixed Deposit"",IF(REGEXMATCH(LOWER(Raw_Data!C1395),""airtime""),""Airtime"",IF(REGEXMATCH(LOWER(Raw_Data!C1395),""electronic money transfer levy""),""Electronic Money"&amp;" Transfer Levy"",IF(REGEXMATCH(LOWER(Raw_Data!C1395),""transfer|trf|send""),""Transfer"",""Other"")))),""Other"")"),"Transfer")</f>
        <v>Transfer</v>
      </c>
      <c r="E1389" s="20">
        <v>2400.0</v>
      </c>
      <c r="F1389" s="20">
        <v>0.0</v>
      </c>
      <c r="G1389" s="12" t="str">
        <f t="shared" si="3"/>
        <v>Withdrawal</v>
      </c>
      <c r="H1389" s="12" t="str">
        <f>TEXT(Raw_Data!A1395,"hh:mm:ss")
</f>
        <v>12:19:27</v>
      </c>
      <c r="I1389" s="20">
        <f t="shared" si="4"/>
        <v>2400</v>
      </c>
    </row>
    <row r="1390">
      <c r="A1390" s="12" t="str">
        <f>Raw_Data!A1396</f>
        <v>22 Sep 2025 10:03:49</v>
      </c>
      <c r="B1390" s="12" t="str">
        <f t="shared" si="1"/>
        <v>September</v>
      </c>
      <c r="C1390" s="12">
        <f t="shared" si="2"/>
        <v>9</v>
      </c>
      <c r="D1390" s="12" t="str">
        <f>IFERROR(__xludf.DUMMYFUNCTION("IFERROR(IF(REGEXMATCH(LOWER(Raw_Data!C1396),""fixed deposit|owealth|savings|target""),""Fixed Deposit"",IF(REGEXMATCH(LOWER(Raw_Data!C1396),""airtime""),""Airtime"",IF(REGEXMATCH(LOWER(Raw_Data!C1396),""electronic money transfer levy""),""Electronic Money"&amp;" Transfer Levy"",IF(REGEXMATCH(LOWER(Raw_Data!C1396),""transfer|trf|send""),""Transfer"",""Other"")))),""Other"")"),"Transfer")</f>
        <v>Transfer</v>
      </c>
      <c r="E1390" s="20">
        <v>0.0</v>
      </c>
      <c r="F1390" s="20">
        <v>15036.5</v>
      </c>
      <c r="G1390" s="12" t="str">
        <f t="shared" si="3"/>
        <v>Deposit</v>
      </c>
      <c r="H1390" s="12" t="str">
        <f>TEXT(Raw_Data!A1396,"hh:mm:ss")
</f>
        <v>10:03:49</v>
      </c>
      <c r="I1390" s="20">
        <f t="shared" si="4"/>
        <v>15036.5</v>
      </c>
    </row>
    <row r="1391">
      <c r="A1391" s="12" t="str">
        <f>Raw_Data!A1397</f>
        <v>22 Sep 2025 10:03:51</v>
      </c>
      <c r="B1391" s="12" t="str">
        <f t="shared" si="1"/>
        <v>September</v>
      </c>
      <c r="C1391" s="12">
        <f t="shared" si="2"/>
        <v>9</v>
      </c>
      <c r="D1391" s="12" t="str">
        <f>IFERROR(__xludf.DUMMYFUNCTION("IFERROR(IF(REGEXMATCH(LOWER(Raw_Data!C1397),""fixed deposit|owealth|savings|target""),""Fixed Deposit"",IF(REGEXMATCH(LOWER(Raw_Data!C1397),""airtime""),""Airtime"",IF(REGEXMATCH(LOWER(Raw_Data!C1397),""electronic money transfer levy""),""Electronic Money"&amp;" Transfer Levy"",IF(REGEXMATCH(LOWER(Raw_Data!C1397),""transfer|trf|send""),""Transfer"",""Other"")))),""Other"")"),"Electronic Money Transfer Levy")</f>
        <v>Electronic Money Transfer Levy</v>
      </c>
      <c r="E1391" s="20">
        <v>50.0</v>
      </c>
      <c r="F1391" s="20">
        <v>0.0</v>
      </c>
      <c r="G1391" s="12" t="str">
        <f t="shared" si="3"/>
        <v>Withdrawal</v>
      </c>
      <c r="H1391" s="12" t="str">
        <f>TEXT(Raw_Data!A1397,"hh:mm:ss")
</f>
        <v>10:03:51</v>
      </c>
      <c r="I1391" s="20">
        <f t="shared" si="4"/>
        <v>50</v>
      </c>
    </row>
    <row r="1392">
      <c r="A1392" s="12" t="str">
        <f>Raw_Data!A1398</f>
        <v>22 Sep 2025 10:04:59</v>
      </c>
      <c r="B1392" s="12" t="str">
        <f t="shared" si="1"/>
        <v>September</v>
      </c>
      <c r="C1392" s="12">
        <f t="shared" si="2"/>
        <v>9</v>
      </c>
      <c r="D1392" s="12" t="str">
        <f>IFERROR(__xludf.DUMMYFUNCTION("IFERROR(IF(REGEXMATCH(LOWER(Raw_Data!C1398),""fixed deposit|owealth|savings|target""),""Fixed Deposit"",IF(REGEXMATCH(LOWER(Raw_Data!C1398),""airtime""),""Airtime"",IF(REGEXMATCH(LOWER(Raw_Data!C1398),""electronic money transfer levy""),""Electronic Money"&amp;" Transfer Levy"",IF(REGEXMATCH(LOWER(Raw_Data!C1398),""transfer|trf|send""),""Transfer"",""Other"")))),""Other"")"),"Transfer")</f>
        <v>Transfer</v>
      </c>
      <c r="E1392" s="20">
        <v>14900.0</v>
      </c>
      <c r="F1392" s="20">
        <v>0.0</v>
      </c>
      <c r="G1392" s="12" t="str">
        <f t="shared" si="3"/>
        <v>Withdrawal</v>
      </c>
      <c r="H1392" s="12" t="str">
        <f>TEXT(Raw_Data!A1398,"hh:mm:ss")
</f>
        <v>10:04:59</v>
      </c>
      <c r="I1392" s="20">
        <f t="shared" si="4"/>
        <v>14900</v>
      </c>
    </row>
    <row r="1393">
      <c r="A1393" s="12" t="str">
        <f>Raw_Data!A1399</f>
        <v>23 Sep 2025 13:15:36</v>
      </c>
      <c r="B1393" s="12" t="str">
        <f t="shared" si="1"/>
        <v>September</v>
      </c>
      <c r="C1393" s="12">
        <f t="shared" si="2"/>
        <v>9</v>
      </c>
      <c r="D1393" s="12" t="str">
        <f>IFERROR(__xludf.DUMMYFUNCTION("IFERROR(IF(REGEXMATCH(LOWER(Raw_Data!C1399),""fixed deposit|owealth|savings|target""),""Fixed Deposit"",IF(REGEXMATCH(LOWER(Raw_Data!C1399),""airtime""),""Airtime"",IF(REGEXMATCH(LOWER(Raw_Data!C1399),""electronic money transfer levy""),""Electronic Money"&amp;" Transfer Levy"",IF(REGEXMATCH(LOWER(Raw_Data!C1399),""transfer|trf|send""),""Transfer"",""Other"")))),""Other"")"),"Transfer")</f>
        <v>Transfer</v>
      </c>
      <c r="E1393" s="20">
        <v>0.0</v>
      </c>
      <c r="F1393" s="20">
        <v>2000.0</v>
      </c>
      <c r="G1393" s="12" t="str">
        <f t="shared" si="3"/>
        <v>Deposit</v>
      </c>
      <c r="H1393" s="12" t="str">
        <f>TEXT(Raw_Data!A1399,"hh:mm:ss")
</f>
        <v>13:15:36</v>
      </c>
      <c r="I1393" s="20">
        <f t="shared" si="4"/>
        <v>2000</v>
      </c>
    </row>
    <row r="1394">
      <c r="A1394" s="12" t="str">
        <f>Raw_Data!A1400</f>
        <v>23 Sep 2025 13:17:57</v>
      </c>
      <c r="B1394" s="12" t="str">
        <f t="shared" si="1"/>
        <v>September</v>
      </c>
      <c r="C1394" s="12">
        <f t="shared" si="2"/>
        <v>9</v>
      </c>
      <c r="D1394" s="12" t="str">
        <f>IFERROR(__xludf.DUMMYFUNCTION("IFERROR(IF(REGEXMATCH(LOWER(Raw_Data!C1400),""fixed deposit|owealth|savings|target""),""Fixed Deposit"",IF(REGEXMATCH(LOWER(Raw_Data!C1400),""airtime""),""Airtime"",IF(REGEXMATCH(LOWER(Raw_Data!C1400),""electronic money transfer levy""),""Electronic Money"&amp;" Transfer Levy"",IF(REGEXMATCH(LOWER(Raw_Data!C1400),""transfer|trf|send""),""Transfer"",""Other"")))),""Other"")"),"Transfer")</f>
        <v>Transfer</v>
      </c>
      <c r="E1394" s="20">
        <v>1450.0</v>
      </c>
      <c r="F1394" s="20">
        <v>0.0</v>
      </c>
      <c r="G1394" s="12" t="str">
        <f t="shared" si="3"/>
        <v>Withdrawal</v>
      </c>
      <c r="H1394" s="12" t="str">
        <f>TEXT(Raw_Data!A1400,"hh:mm:ss")
</f>
        <v>13:17:57</v>
      </c>
      <c r="I1394" s="20">
        <f t="shared" si="4"/>
        <v>1450</v>
      </c>
    </row>
    <row r="1395">
      <c r="A1395" s="12" t="str">
        <f>Raw_Data!A1401</f>
        <v>23 Sep 2025 13:23:12</v>
      </c>
      <c r="B1395" s="12" t="str">
        <f t="shared" si="1"/>
        <v>September</v>
      </c>
      <c r="C1395" s="12">
        <f t="shared" si="2"/>
        <v>9</v>
      </c>
      <c r="D1395" s="12" t="str">
        <f>IFERROR(__xludf.DUMMYFUNCTION("IFERROR(IF(REGEXMATCH(LOWER(Raw_Data!C1401),""fixed deposit|owealth|savings|target""),""Fixed Deposit"",IF(REGEXMATCH(LOWER(Raw_Data!C1401),""airtime""),""Airtime"",IF(REGEXMATCH(LOWER(Raw_Data!C1401),""electronic money transfer levy""),""Electronic Money"&amp;" Transfer Levy"",IF(REGEXMATCH(LOWER(Raw_Data!C1401),""transfer|trf|send""),""Transfer"",""Other"")))),""Other"")"),"Airtime")</f>
        <v>Airtime</v>
      </c>
      <c r="E1395" s="20">
        <v>1100.0</v>
      </c>
      <c r="F1395" s="20">
        <v>0.0</v>
      </c>
      <c r="G1395" s="12" t="str">
        <f t="shared" si="3"/>
        <v>Withdrawal</v>
      </c>
      <c r="H1395" s="12" t="str">
        <f>TEXT(Raw_Data!A1401,"hh:mm:ss")
</f>
        <v>13:23:12</v>
      </c>
      <c r="I1395" s="20">
        <f t="shared" si="4"/>
        <v>1100</v>
      </c>
    </row>
    <row r="1396">
      <c r="A1396" s="12" t="str">
        <f>Raw_Data!A1402</f>
        <v>23 Sep 2025 17:30:24</v>
      </c>
      <c r="B1396" s="12" t="str">
        <f t="shared" si="1"/>
        <v>September</v>
      </c>
      <c r="C1396" s="12">
        <f t="shared" si="2"/>
        <v>9</v>
      </c>
      <c r="D1396" s="12" t="str">
        <f>IFERROR(__xludf.DUMMYFUNCTION("IFERROR(IF(REGEXMATCH(LOWER(Raw_Data!C1402),""fixed deposit|owealth|savings|target""),""Fixed Deposit"",IF(REGEXMATCH(LOWER(Raw_Data!C1402),""airtime""),""Airtime"",IF(REGEXMATCH(LOWER(Raw_Data!C1402),""electronic money transfer levy""),""Electronic Money"&amp;" Transfer Levy"",IF(REGEXMATCH(LOWER(Raw_Data!C1402),""transfer|trf|send""),""Transfer"",""Other"")))),""Other"")"),"Airtime")</f>
        <v>Airtime</v>
      </c>
      <c r="E1396" s="20">
        <v>200.0</v>
      </c>
      <c r="F1396" s="20">
        <v>0.0</v>
      </c>
      <c r="G1396" s="12" t="str">
        <f t="shared" si="3"/>
        <v>Withdrawal</v>
      </c>
      <c r="H1396" s="12" t="str">
        <f>TEXT(Raw_Data!A1402,"hh:mm:ss")
</f>
        <v>17:30:24</v>
      </c>
      <c r="I1396" s="20">
        <f t="shared" si="4"/>
        <v>200</v>
      </c>
    </row>
    <row r="1397">
      <c r="A1397" s="12" t="str">
        <f>Raw_Data!A1403</f>
        <v>24 Sep 2025 12:19:31</v>
      </c>
      <c r="B1397" s="12" t="str">
        <f t="shared" si="1"/>
        <v>September</v>
      </c>
      <c r="C1397" s="12">
        <f t="shared" si="2"/>
        <v>9</v>
      </c>
      <c r="D1397" s="12" t="str">
        <f>IFERROR(__xludf.DUMMYFUNCTION("IFERROR(IF(REGEXMATCH(LOWER(Raw_Data!C1403),""fixed deposit|owealth|savings|target""),""Fixed Deposit"",IF(REGEXMATCH(LOWER(Raw_Data!C1403),""airtime""),""Airtime"",IF(REGEXMATCH(LOWER(Raw_Data!C1403),""electronic money transfer levy""),""Electronic Money"&amp;" Transfer Levy"",IF(REGEXMATCH(LOWER(Raw_Data!C1403),""transfer|trf|send""),""Transfer"",""Other"")))),""Other"")"),"Airtime")</f>
        <v>Airtime</v>
      </c>
      <c r="E1397" s="20">
        <v>200.0</v>
      </c>
      <c r="F1397" s="20">
        <v>0.0</v>
      </c>
      <c r="G1397" s="12" t="str">
        <f t="shared" si="3"/>
        <v>Withdrawal</v>
      </c>
      <c r="H1397" s="12" t="str">
        <f>TEXT(Raw_Data!A1403,"hh:mm:ss")
</f>
        <v>12:19:31</v>
      </c>
      <c r="I1397" s="20">
        <f t="shared" si="4"/>
        <v>200</v>
      </c>
    </row>
    <row r="1398">
      <c r="A1398" s="12" t="str">
        <f>Raw_Data!A1404</f>
        <v>24 Sep 2025 19:22:36</v>
      </c>
      <c r="B1398" s="12" t="str">
        <f t="shared" si="1"/>
        <v>September</v>
      </c>
      <c r="C1398" s="12">
        <f t="shared" si="2"/>
        <v>9</v>
      </c>
      <c r="D1398" s="12" t="str">
        <f>IFERROR(__xludf.DUMMYFUNCTION("IFERROR(IF(REGEXMATCH(LOWER(Raw_Data!C1404),""fixed deposit|owealth|savings|target""),""Fixed Deposit"",IF(REGEXMATCH(LOWER(Raw_Data!C1404),""airtime""),""Airtime"",IF(REGEXMATCH(LOWER(Raw_Data!C1404),""electronic money transfer levy""),""Electronic Money"&amp;" Transfer Levy"",IF(REGEXMATCH(LOWER(Raw_Data!C1404),""transfer|trf|send""),""Transfer"",""Other"")))),""Other"")"),"Transfer")</f>
        <v>Transfer</v>
      </c>
      <c r="E1398" s="20">
        <v>0.0</v>
      </c>
      <c r="F1398" s="20">
        <v>2000.0</v>
      </c>
      <c r="G1398" s="12" t="str">
        <f t="shared" si="3"/>
        <v>Deposit</v>
      </c>
      <c r="H1398" s="12" t="str">
        <f>TEXT(Raw_Data!A1404,"hh:mm:ss")
</f>
        <v>19:22:36</v>
      </c>
      <c r="I1398" s="20">
        <f t="shared" si="4"/>
        <v>2000</v>
      </c>
    </row>
    <row r="1399">
      <c r="A1399" s="12" t="str">
        <f>Raw_Data!A1405</f>
        <v>24 Sep 2025 19:36:51</v>
      </c>
      <c r="B1399" s="12" t="str">
        <f t="shared" si="1"/>
        <v>September</v>
      </c>
      <c r="C1399" s="12">
        <f t="shared" si="2"/>
        <v>9</v>
      </c>
      <c r="D1399" s="12" t="str">
        <f>IFERROR(__xludf.DUMMYFUNCTION("IFERROR(IF(REGEXMATCH(LOWER(Raw_Data!C1405),""fixed deposit|owealth|savings|target""),""Fixed Deposit"",IF(REGEXMATCH(LOWER(Raw_Data!C1405),""airtime""),""Airtime"",IF(REGEXMATCH(LOWER(Raw_Data!C1405),""electronic money transfer levy""),""Electronic Money"&amp;" Transfer Levy"",IF(REGEXMATCH(LOWER(Raw_Data!C1405),""transfer|trf|send""),""Transfer"",""Other"")))),""Other"")"),"Transfer")</f>
        <v>Transfer</v>
      </c>
      <c r="E1399" s="20">
        <v>900.0</v>
      </c>
      <c r="F1399" s="20">
        <v>0.0</v>
      </c>
      <c r="G1399" s="12" t="str">
        <f t="shared" si="3"/>
        <v>Withdrawal</v>
      </c>
      <c r="H1399" s="12" t="str">
        <f>TEXT(Raw_Data!A1405,"hh:mm:ss")
</f>
        <v>19:36:51</v>
      </c>
      <c r="I1399" s="20">
        <f t="shared" si="4"/>
        <v>900</v>
      </c>
    </row>
    <row r="1400">
      <c r="A1400" s="12" t="str">
        <f>Raw_Data!A1406</f>
        <v>26 Sep 2025 10:28:48</v>
      </c>
      <c r="B1400" s="12" t="str">
        <f t="shared" si="1"/>
        <v>September</v>
      </c>
      <c r="C1400" s="12">
        <f t="shared" si="2"/>
        <v>9</v>
      </c>
      <c r="D1400" s="12" t="str">
        <f>IFERROR(__xludf.DUMMYFUNCTION("IFERROR(IF(REGEXMATCH(LOWER(Raw_Data!C1406),""fixed deposit|owealth|savings|target""),""Fixed Deposit"",IF(REGEXMATCH(LOWER(Raw_Data!C1406),""airtime""),""Airtime"",IF(REGEXMATCH(LOWER(Raw_Data!C1406),""electronic money transfer levy""),""Electronic Money"&amp;" Transfer Levy"",IF(REGEXMATCH(LOWER(Raw_Data!C1406),""transfer|trf|send""),""Transfer"",""Other"")))),""Other"")"),"Transfer")</f>
        <v>Transfer</v>
      </c>
      <c r="E1400" s="20">
        <v>0.0</v>
      </c>
      <c r="F1400" s="20">
        <v>10500.0</v>
      </c>
      <c r="G1400" s="12" t="str">
        <f t="shared" si="3"/>
        <v>Deposit</v>
      </c>
      <c r="H1400" s="12" t="str">
        <f>TEXT(Raw_Data!A1406,"hh:mm:ss")
</f>
        <v>10:28:48</v>
      </c>
      <c r="I1400" s="20">
        <f t="shared" si="4"/>
        <v>10500</v>
      </c>
    </row>
    <row r="1401">
      <c r="A1401" s="12" t="str">
        <f>Raw_Data!A1407</f>
        <v>26 Sep 2025 10:28:49</v>
      </c>
      <c r="B1401" s="12" t="str">
        <f t="shared" si="1"/>
        <v>September</v>
      </c>
      <c r="C1401" s="12">
        <f t="shared" si="2"/>
        <v>9</v>
      </c>
      <c r="D1401" s="12" t="str">
        <f>IFERROR(__xludf.DUMMYFUNCTION("IFERROR(IF(REGEXMATCH(LOWER(Raw_Data!C1407),""fixed deposit|owealth|savings|target""),""Fixed Deposit"",IF(REGEXMATCH(LOWER(Raw_Data!C1407),""airtime""),""Airtime"",IF(REGEXMATCH(LOWER(Raw_Data!C1407),""electronic money transfer levy""),""Electronic Money"&amp;" Transfer Levy"",IF(REGEXMATCH(LOWER(Raw_Data!C1407),""transfer|trf|send""),""Transfer"",""Other"")))),""Other"")"),"Electronic Money Transfer Levy")</f>
        <v>Electronic Money Transfer Levy</v>
      </c>
      <c r="E1401" s="20">
        <v>50.0</v>
      </c>
      <c r="F1401" s="20">
        <v>0.0</v>
      </c>
      <c r="G1401" s="12" t="str">
        <f t="shared" si="3"/>
        <v>Withdrawal</v>
      </c>
      <c r="H1401" s="12" t="str">
        <f>TEXT(Raw_Data!A1407,"hh:mm:ss")
</f>
        <v>10:28:49</v>
      </c>
      <c r="I1401" s="20">
        <f t="shared" si="4"/>
        <v>50</v>
      </c>
    </row>
    <row r="1402">
      <c r="A1402" s="12" t="str">
        <f>Raw_Data!A1408</f>
        <v>26 Sep 2025 13:21:54</v>
      </c>
      <c r="B1402" s="12" t="str">
        <f t="shared" si="1"/>
        <v>September</v>
      </c>
      <c r="C1402" s="12">
        <f t="shared" si="2"/>
        <v>9</v>
      </c>
      <c r="D1402" s="12" t="str">
        <f>IFERROR(__xludf.DUMMYFUNCTION("IFERROR(IF(REGEXMATCH(LOWER(Raw_Data!C1408),""fixed deposit|owealth|savings|target""),""Fixed Deposit"",IF(REGEXMATCH(LOWER(Raw_Data!C1408),""airtime""),""Airtime"",IF(REGEXMATCH(LOWER(Raw_Data!C1408),""electronic money transfer levy""),""Electronic Money"&amp;" Transfer Levy"",IF(REGEXMATCH(LOWER(Raw_Data!C1408),""transfer|trf|send""),""Transfer"",""Other"")))),""Other"")"),"Other")</f>
        <v>Other</v>
      </c>
      <c r="E1402" s="20">
        <v>10200.0</v>
      </c>
      <c r="F1402" s="20">
        <v>0.0</v>
      </c>
      <c r="G1402" s="12" t="str">
        <f t="shared" si="3"/>
        <v>Withdrawal</v>
      </c>
      <c r="H1402" s="12" t="str">
        <f>TEXT(Raw_Data!A1408,"hh:mm:ss")
</f>
        <v>13:21:54</v>
      </c>
      <c r="I1402" s="20">
        <f t="shared" si="4"/>
        <v>10200</v>
      </c>
    </row>
    <row r="1403">
      <c r="A1403" s="12" t="str">
        <f>Raw_Data!A1409</f>
        <v>27 Sep 2025 12:31:42</v>
      </c>
      <c r="B1403" s="12" t="str">
        <f t="shared" si="1"/>
        <v>September</v>
      </c>
      <c r="C1403" s="12">
        <f t="shared" si="2"/>
        <v>9</v>
      </c>
      <c r="D1403" s="12" t="str">
        <f>IFERROR(__xludf.DUMMYFUNCTION("IFERROR(IF(REGEXMATCH(LOWER(Raw_Data!C1409),""fixed deposit|owealth|savings|target""),""Fixed Deposit"",IF(REGEXMATCH(LOWER(Raw_Data!C1409),""airtime""),""Airtime"",IF(REGEXMATCH(LOWER(Raw_Data!C1409),""electronic money transfer levy""),""Electronic Money"&amp;" Transfer Levy"",IF(REGEXMATCH(LOWER(Raw_Data!C1409),""transfer|trf|send""),""Transfer"",""Other"")))),""Other"")"),"Transfer")</f>
        <v>Transfer</v>
      </c>
      <c r="E1403" s="20">
        <v>0.0</v>
      </c>
      <c r="F1403" s="20">
        <v>9000.0</v>
      </c>
      <c r="G1403" s="12" t="str">
        <f t="shared" si="3"/>
        <v>Deposit</v>
      </c>
      <c r="H1403" s="12" t="str">
        <f>TEXT(Raw_Data!A1409,"hh:mm:ss")
</f>
        <v>12:31:42</v>
      </c>
      <c r="I1403" s="20">
        <f t="shared" si="4"/>
        <v>9000</v>
      </c>
    </row>
    <row r="1404">
      <c r="A1404" s="12" t="str">
        <f>Raw_Data!A1410</f>
        <v>27 Sep 2025 13:27:42</v>
      </c>
      <c r="B1404" s="12" t="str">
        <f t="shared" si="1"/>
        <v>September</v>
      </c>
      <c r="C1404" s="12">
        <f t="shared" si="2"/>
        <v>9</v>
      </c>
      <c r="D1404" s="12" t="str">
        <f>IFERROR(__xludf.DUMMYFUNCTION("IFERROR(IF(REGEXMATCH(LOWER(Raw_Data!C1410),""fixed deposit|owealth|savings|target""),""Fixed Deposit"",IF(REGEXMATCH(LOWER(Raw_Data!C1410),""airtime""),""Airtime"",IF(REGEXMATCH(LOWER(Raw_Data!C1410),""electronic money transfer levy""),""Electronic Money"&amp;" Transfer Levy"",IF(REGEXMATCH(LOWER(Raw_Data!C1410),""transfer|trf|send""),""Transfer"",""Other"")))),""Other"")"),"Transfer")</f>
        <v>Transfer</v>
      </c>
      <c r="E1404" s="20">
        <v>2100.0</v>
      </c>
      <c r="F1404" s="20">
        <v>0.0</v>
      </c>
      <c r="G1404" s="12" t="str">
        <f t="shared" si="3"/>
        <v>Withdrawal</v>
      </c>
      <c r="H1404" s="12" t="str">
        <f>TEXT(Raw_Data!A1410,"hh:mm:ss")
</f>
        <v>13:27:42</v>
      </c>
      <c r="I1404" s="20">
        <f t="shared" si="4"/>
        <v>2100</v>
      </c>
    </row>
    <row r="1405">
      <c r="A1405" s="12" t="str">
        <f>Raw_Data!A1411</f>
        <v>27 Sep 2025 13:39:20</v>
      </c>
      <c r="B1405" s="12" t="str">
        <f t="shared" si="1"/>
        <v>September</v>
      </c>
      <c r="C1405" s="12">
        <f t="shared" si="2"/>
        <v>9</v>
      </c>
      <c r="D1405" s="12" t="str">
        <f>IFERROR(__xludf.DUMMYFUNCTION("IFERROR(IF(REGEXMATCH(LOWER(Raw_Data!C1411),""fixed deposit|owealth|savings|target""),""Fixed Deposit"",IF(REGEXMATCH(LOWER(Raw_Data!C1411),""airtime""),""Airtime"",IF(REGEXMATCH(LOWER(Raw_Data!C1411),""electronic money transfer levy""),""Electronic Money"&amp;" Transfer Levy"",IF(REGEXMATCH(LOWER(Raw_Data!C1411),""transfer|trf|send""),""Transfer"",""Other"")))),""Other"")"),"Transfer")</f>
        <v>Transfer</v>
      </c>
      <c r="E1405" s="20">
        <v>8300.0</v>
      </c>
      <c r="F1405" s="20">
        <v>0.0</v>
      </c>
      <c r="G1405" s="12" t="str">
        <f t="shared" si="3"/>
        <v>Withdrawal</v>
      </c>
      <c r="H1405" s="12" t="str">
        <f>TEXT(Raw_Data!A1411,"hh:mm:ss")
</f>
        <v>13:39:20</v>
      </c>
      <c r="I1405" s="20">
        <f t="shared" si="4"/>
        <v>8300</v>
      </c>
    </row>
    <row r="1406">
      <c r="A1406" s="12" t="str">
        <f>Raw_Data!A1412</f>
        <v>28 Sep 2025 08:40:14</v>
      </c>
      <c r="B1406" s="12" t="str">
        <f t="shared" si="1"/>
        <v>September</v>
      </c>
      <c r="C1406" s="12">
        <f t="shared" si="2"/>
        <v>9</v>
      </c>
      <c r="D1406" s="12" t="str">
        <f>IFERROR(__xludf.DUMMYFUNCTION("IFERROR(IF(REGEXMATCH(LOWER(Raw_Data!C1412),""fixed deposit|owealth|savings|target""),""Fixed Deposit"",IF(REGEXMATCH(LOWER(Raw_Data!C1412),""airtime""),""Airtime"",IF(REGEXMATCH(LOWER(Raw_Data!C1412),""electronic money transfer levy""),""Electronic Money"&amp;" Transfer Levy"",IF(REGEXMATCH(LOWER(Raw_Data!C1412),""transfer|trf|send""),""Transfer"",""Other"")))),""Other"")"),"Transfer")</f>
        <v>Transfer</v>
      </c>
      <c r="E1406" s="20">
        <v>0.0</v>
      </c>
      <c r="F1406" s="20">
        <v>5000.0</v>
      </c>
      <c r="G1406" s="12" t="str">
        <f t="shared" si="3"/>
        <v>Deposit</v>
      </c>
      <c r="H1406" s="12" t="str">
        <f>TEXT(Raw_Data!A1412,"hh:mm:ss")
</f>
        <v>08:40:14</v>
      </c>
      <c r="I1406" s="20">
        <f t="shared" si="4"/>
        <v>5000</v>
      </c>
    </row>
    <row r="1407">
      <c r="A1407" s="12" t="str">
        <f>Raw_Data!A1413</f>
        <v>28 Sep 2025 10:13:33</v>
      </c>
      <c r="B1407" s="12" t="str">
        <f t="shared" si="1"/>
        <v>September</v>
      </c>
      <c r="C1407" s="12">
        <f t="shared" si="2"/>
        <v>9</v>
      </c>
      <c r="D1407" s="12" t="str">
        <f>IFERROR(__xludf.DUMMYFUNCTION("IFERROR(IF(REGEXMATCH(LOWER(Raw_Data!C1413),""fixed deposit|owealth|savings|target""),""Fixed Deposit"",IF(REGEXMATCH(LOWER(Raw_Data!C1413),""airtime""),""Airtime"",IF(REGEXMATCH(LOWER(Raw_Data!C1413),""electronic money transfer levy""),""Electronic Money"&amp;" Transfer Levy"",IF(REGEXMATCH(LOWER(Raw_Data!C1413),""transfer|trf|send""),""Transfer"",""Other"")))),""Other"")"),"Airtime")</f>
        <v>Airtime</v>
      </c>
      <c r="E1407" s="20">
        <v>300.0</v>
      </c>
      <c r="F1407" s="20">
        <v>0.0</v>
      </c>
      <c r="G1407" s="12" t="str">
        <f t="shared" si="3"/>
        <v>Withdrawal</v>
      </c>
      <c r="H1407" s="12" t="str">
        <f>TEXT(Raw_Data!A1413,"hh:mm:ss")
</f>
        <v>10:13:33</v>
      </c>
      <c r="I1407" s="20">
        <f t="shared" si="4"/>
        <v>300</v>
      </c>
    </row>
    <row r="1408">
      <c r="A1408" s="12" t="str">
        <f>Raw_Data!A1414</f>
        <v>28 Sep 2025 10:18:41</v>
      </c>
      <c r="B1408" s="12" t="str">
        <f t="shared" si="1"/>
        <v>September</v>
      </c>
      <c r="C1408" s="12">
        <f t="shared" si="2"/>
        <v>9</v>
      </c>
      <c r="D1408" s="12" t="str">
        <f>IFERROR(__xludf.DUMMYFUNCTION("IFERROR(IF(REGEXMATCH(LOWER(Raw_Data!C1414),""fixed deposit|owealth|savings|target""),""Fixed Deposit"",IF(REGEXMATCH(LOWER(Raw_Data!C1414),""airtime""),""Airtime"",IF(REGEXMATCH(LOWER(Raw_Data!C1414),""electronic money transfer levy""),""Electronic Money"&amp;" Transfer Levy"",IF(REGEXMATCH(LOWER(Raw_Data!C1414),""transfer|trf|send""),""Transfer"",""Other"")))),""Other"")"),"Transfer")</f>
        <v>Transfer</v>
      </c>
      <c r="E1408" s="20">
        <v>0.0</v>
      </c>
      <c r="F1408" s="20">
        <v>2000.0</v>
      </c>
      <c r="G1408" s="12" t="str">
        <f t="shared" si="3"/>
        <v>Deposit</v>
      </c>
      <c r="H1408" s="12" t="str">
        <f>TEXT(Raw_Data!A1414,"hh:mm:ss")
</f>
        <v>10:18:41</v>
      </c>
      <c r="I1408" s="20">
        <f t="shared" si="4"/>
        <v>2000</v>
      </c>
    </row>
    <row r="1409">
      <c r="A1409" s="12" t="str">
        <f>Raw_Data!A1415</f>
        <v>28 Sep 2025 10:24:13</v>
      </c>
      <c r="B1409" s="12" t="str">
        <f t="shared" si="1"/>
        <v>September</v>
      </c>
      <c r="C1409" s="12">
        <f t="shared" si="2"/>
        <v>9</v>
      </c>
      <c r="D1409" s="12" t="str">
        <f>IFERROR(__xludf.DUMMYFUNCTION("IFERROR(IF(REGEXMATCH(LOWER(Raw_Data!C1415),""fixed deposit|owealth|savings|target""),""Fixed Deposit"",IF(REGEXMATCH(LOWER(Raw_Data!C1415),""airtime""),""Airtime"",IF(REGEXMATCH(LOWER(Raw_Data!C1415),""electronic money transfer levy""),""Electronic Money"&amp;" Transfer Levy"",IF(REGEXMATCH(LOWER(Raw_Data!C1415),""transfer|trf|send""),""Transfer"",""Other"")))),""Other"")"),"Other")</f>
        <v>Other</v>
      </c>
      <c r="E1409" s="20">
        <v>1500.0</v>
      </c>
      <c r="F1409" s="20">
        <v>0.0</v>
      </c>
      <c r="G1409" s="12" t="str">
        <f t="shared" si="3"/>
        <v>Withdrawal</v>
      </c>
      <c r="H1409" s="12" t="str">
        <f>TEXT(Raw_Data!A1415,"hh:mm:ss")
</f>
        <v>10:24:13</v>
      </c>
      <c r="I1409" s="20">
        <f t="shared" si="4"/>
        <v>1500</v>
      </c>
    </row>
    <row r="1410">
      <c r="A1410" s="12" t="str">
        <f>Raw_Data!A1416</f>
        <v>28 Sep 2025 10:24:30</v>
      </c>
      <c r="B1410" s="12" t="str">
        <f t="shared" si="1"/>
        <v>September</v>
      </c>
      <c r="C1410" s="12">
        <f t="shared" si="2"/>
        <v>9</v>
      </c>
      <c r="D1410" s="12" t="str">
        <f>IFERROR(__xludf.DUMMYFUNCTION("IFERROR(IF(REGEXMATCH(LOWER(Raw_Data!C1416),""fixed deposit|owealth|savings|target""),""Fixed Deposit"",IF(REGEXMATCH(LOWER(Raw_Data!C1416),""airtime""),""Airtime"",IF(REGEXMATCH(LOWER(Raw_Data!C1416),""electronic money transfer levy""),""Electronic Money"&amp;" Transfer Levy"",IF(REGEXMATCH(LOWER(Raw_Data!C1416),""transfer|trf|send""),""Transfer"",""Other"")))),""Other"")"),"Transfer")</f>
        <v>Transfer</v>
      </c>
      <c r="E1410" s="20">
        <v>500.0</v>
      </c>
      <c r="F1410" s="20">
        <v>0.0</v>
      </c>
      <c r="G1410" s="12" t="str">
        <f t="shared" si="3"/>
        <v>Withdrawal</v>
      </c>
      <c r="H1410" s="12" t="str">
        <f>TEXT(Raw_Data!A1416,"hh:mm:ss")
</f>
        <v>10:24:30</v>
      </c>
      <c r="I1410" s="20">
        <f t="shared" si="4"/>
        <v>500</v>
      </c>
    </row>
    <row r="1411">
      <c r="A1411" s="12" t="str">
        <f>Raw_Data!A1417</f>
        <v>29 Sep 2025 12:00:16</v>
      </c>
      <c r="B1411" s="12" t="str">
        <f t="shared" si="1"/>
        <v>September</v>
      </c>
      <c r="C1411" s="12">
        <f t="shared" si="2"/>
        <v>9</v>
      </c>
      <c r="D1411" s="12" t="str">
        <f>IFERROR(__xludf.DUMMYFUNCTION("IFERROR(IF(REGEXMATCH(LOWER(Raw_Data!C1417),""fixed deposit|owealth|savings|target""),""Fixed Deposit"",IF(REGEXMATCH(LOWER(Raw_Data!C1417),""airtime""),""Airtime"",IF(REGEXMATCH(LOWER(Raw_Data!C1417),""electronic money transfer levy""),""Electronic Money"&amp;" Transfer Levy"",IF(REGEXMATCH(LOWER(Raw_Data!C1417),""transfer|trf|send""),""Transfer"",""Other"")))),""Other"")"),"Transfer")</f>
        <v>Transfer</v>
      </c>
      <c r="E1411" s="20">
        <v>2100.0</v>
      </c>
      <c r="F1411" s="20">
        <v>0.0</v>
      </c>
      <c r="G1411" s="12" t="str">
        <f t="shared" si="3"/>
        <v>Withdrawal</v>
      </c>
      <c r="H1411" s="12" t="str">
        <f>TEXT(Raw_Data!A1417,"hh:mm:ss")
</f>
        <v>12:00:16</v>
      </c>
      <c r="I1411" s="20">
        <f t="shared" si="4"/>
        <v>2100</v>
      </c>
    </row>
    <row r="1412">
      <c r="A1412" s="12" t="str">
        <f>Raw_Data!A1418</f>
        <v>29 Sep 2025 14:25:24</v>
      </c>
      <c r="B1412" s="12" t="str">
        <f t="shared" si="1"/>
        <v>September</v>
      </c>
      <c r="C1412" s="12">
        <f t="shared" si="2"/>
        <v>9</v>
      </c>
      <c r="D1412" s="12" t="str">
        <f>IFERROR(__xludf.DUMMYFUNCTION("IFERROR(IF(REGEXMATCH(LOWER(Raw_Data!C1418),""fixed deposit|owealth|savings|target""),""Fixed Deposit"",IF(REGEXMATCH(LOWER(Raw_Data!C1418),""airtime""),""Airtime"",IF(REGEXMATCH(LOWER(Raw_Data!C1418),""electronic money transfer levy""),""Electronic Money"&amp;" Transfer Levy"",IF(REGEXMATCH(LOWER(Raw_Data!C1418),""transfer|trf|send""),""Transfer"",""Other"")))),""Other"")"),"Airtime")</f>
        <v>Airtime</v>
      </c>
      <c r="E1412" s="20">
        <v>300.0</v>
      </c>
      <c r="F1412" s="20">
        <v>0.0</v>
      </c>
      <c r="G1412" s="12" t="str">
        <f t="shared" si="3"/>
        <v>Withdrawal</v>
      </c>
      <c r="H1412" s="12" t="str">
        <f>TEXT(Raw_Data!A1418,"hh:mm:ss")
</f>
        <v>14:25:24</v>
      </c>
      <c r="I1412" s="20">
        <f t="shared" si="4"/>
        <v>300</v>
      </c>
    </row>
    <row r="1413">
      <c r="A1413" s="12" t="str">
        <f>Raw_Data!A1419</f>
        <v>30 Sep 2025 15:59:02</v>
      </c>
      <c r="B1413" s="12" t="str">
        <f t="shared" si="1"/>
        <v>September</v>
      </c>
      <c r="C1413" s="12">
        <f t="shared" si="2"/>
        <v>9</v>
      </c>
      <c r="D1413" s="12" t="str">
        <f>IFERROR(__xludf.DUMMYFUNCTION("IFERROR(IF(REGEXMATCH(LOWER(Raw_Data!C1419),""fixed deposit|owealth|savings|target""),""Fixed Deposit"",IF(REGEXMATCH(LOWER(Raw_Data!C1419),""airtime""),""Airtime"",IF(REGEXMATCH(LOWER(Raw_Data!C1419),""electronic money transfer levy""),""Electronic Money"&amp;" Transfer Levy"",IF(REGEXMATCH(LOWER(Raw_Data!C1419),""transfer|trf|send""),""Transfer"",""Other"")))),""Other"")"),"Transfer")</f>
        <v>Transfer</v>
      </c>
      <c r="E1413" s="20">
        <v>0.0</v>
      </c>
      <c r="F1413" s="20">
        <v>15000.0</v>
      </c>
      <c r="G1413" s="12" t="str">
        <f t="shared" si="3"/>
        <v>Deposit</v>
      </c>
      <c r="H1413" s="12" t="str">
        <f>TEXT(Raw_Data!A1419,"hh:mm:ss")
</f>
        <v>15:59:02</v>
      </c>
      <c r="I1413" s="20">
        <f t="shared" si="4"/>
        <v>15000</v>
      </c>
    </row>
    <row r="1414">
      <c r="A1414" s="12" t="str">
        <f>Raw_Data!A1420</f>
        <v>30 Sep 2025 15:59:11</v>
      </c>
      <c r="B1414" s="12" t="str">
        <f t="shared" si="1"/>
        <v>September</v>
      </c>
      <c r="C1414" s="12">
        <f t="shared" si="2"/>
        <v>9</v>
      </c>
      <c r="D1414" s="12" t="str">
        <f>IFERROR(__xludf.DUMMYFUNCTION("IFERROR(IF(REGEXMATCH(LOWER(Raw_Data!C1420),""fixed deposit|owealth|savings|target""),""Fixed Deposit"",IF(REGEXMATCH(LOWER(Raw_Data!C1420),""airtime""),""Airtime"",IF(REGEXMATCH(LOWER(Raw_Data!C1420),""electronic money transfer levy""),""Electronic Money"&amp;" Transfer Levy"",IF(REGEXMATCH(LOWER(Raw_Data!C1420),""transfer|trf|send""),""Transfer"",""Other"")))),""Other"")"),"Electronic Money Transfer Levy")</f>
        <v>Electronic Money Transfer Levy</v>
      </c>
      <c r="E1414" s="20">
        <v>50.0</v>
      </c>
      <c r="F1414" s="20">
        <v>0.0</v>
      </c>
      <c r="G1414" s="12" t="str">
        <f t="shared" si="3"/>
        <v>Withdrawal</v>
      </c>
      <c r="H1414" s="12" t="str">
        <f>TEXT(Raw_Data!A1420,"hh:mm:ss")
</f>
        <v>15:59:11</v>
      </c>
      <c r="I1414" s="20">
        <f t="shared" si="4"/>
        <v>50</v>
      </c>
    </row>
    <row r="1415">
      <c r="A1415" s="12" t="str">
        <f>Raw_Data!A1421</f>
        <v>30 Sep 2025 16:12:00</v>
      </c>
      <c r="B1415" s="12" t="str">
        <f t="shared" si="1"/>
        <v>September</v>
      </c>
      <c r="C1415" s="12">
        <f t="shared" si="2"/>
        <v>9</v>
      </c>
      <c r="D1415" s="12" t="str">
        <f>IFERROR(__xludf.DUMMYFUNCTION("IFERROR(IF(REGEXMATCH(LOWER(Raw_Data!C1421),""fixed deposit|owealth|savings|target""),""Fixed Deposit"",IF(REGEXMATCH(LOWER(Raw_Data!C1421),""airtime""),""Airtime"",IF(REGEXMATCH(LOWER(Raw_Data!C1421),""electronic money transfer levy""),""Electronic Money"&amp;" Transfer Levy"",IF(REGEXMATCH(LOWER(Raw_Data!C1421),""transfer|trf|send""),""Transfer"",""Other"")))),""Other"")"),"Transfer")</f>
        <v>Transfer</v>
      </c>
      <c r="E1415" s="20">
        <v>1100.0</v>
      </c>
      <c r="F1415" s="20">
        <v>0.0</v>
      </c>
      <c r="G1415" s="12" t="str">
        <f t="shared" si="3"/>
        <v>Withdrawal</v>
      </c>
      <c r="H1415" s="12" t="str">
        <f>TEXT(Raw_Data!A1421,"hh:mm:ss")
</f>
        <v>16:12:00</v>
      </c>
      <c r="I1415" s="20">
        <f t="shared" si="4"/>
        <v>1100</v>
      </c>
    </row>
    <row r="1416">
      <c r="A1416" s="12" t="str">
        <f>Raw_Data!A1422</f>
        <v>30 Sep 2025 17:12:22</v>
      </c>
      <c r="B1416" s="12" t="str">
        <f t="shared" si="1"/>
        <v>September</v>
      </c>
      <c r="C1416" s="12">
        <f t="shared" si="2"/>
        <v>9</v>
      </c>
      <c r="D1416" s="12" t="str">
        <f>IFERROR(__xludf.DUMMYFUNCTION("IFERROR(IF(REGEXMATCH(LOWER(Raw_Data!C1422),""fixed deposit|owealth|savings|target""),""Fixed Deposit"",IF(REGEXMATCH(LOWER(Raw_Data!C1422),""airtime""),""Airtime"",IF(REGEXMATCH(LOWER(Raw_Data!C1422),""electronic money transfer levy""),""Electronic Money"&amp;" Transfer Levy"",IF(REGEXMATCH(LOWER(Raw_Data!C1422),""transfer|trf|send""),""Transfer"",""Other"")))),""Other"")"),"Airtime")</f>
        <v>Airtime</v>
      </c>
      <c r="E1416" s="20">
        <v>500.0</v>
      </c>
      <c r="F1416" s="20">
        <v>0.0</v>
      </c>
      <c r="G1416" s="12" t="str">
        <f t="shared" si="3"/>
        <v>Withdrawal</v>
      </c>
      <c r="H1416" s="12" t="str">
        <f>TEXT(Raw_Data!A1422,"hh:mm:ss")
</f>
        <v>17:12:22</v>
      </c>
      <c r="I1416" s="20">
        <f t="shared" si="4"/>
        <v>500</v>
      </c>
    </row>
    <row r="1417">
      <c r="A1417" s="12" t="str">
        <f>Raw_Data!A1423</f>
        <v>01 Oct 2025 09:01:30</v>
      </c>
      <c r="B1417" s="12" t="str">
        <f t="shared" si="1"/>
        <v>October</v>
      </c>
      <c r="C1417" s="12">
        <f t="shared" si="2"/>
        <v>10</v>
      </c>
      <c r="D1417" s="12" t="str">
        <f>IFERROR(__xludf.DUMMYFUNCTION("IFERROR(IF(REGEXMATCH(LOWER(Raw_Data!C1423),""fixed deposit|owealth|savings|target""),""Fixed Deposit"",IF(REGEXMATCH(LOWER(Raw_Data!C1423),""airtime""),""Airtime"",IF(REGEXMATCH(LOWER(Raw_Data!C1423),""electronic money transfer levy""),""Electronic Money"&amp;" Transfer Levy"",IF(REGEXMATCH(LOWER(Raw_Data!C1423),""transfer|trf|send""),""Transfer"",""Other"")))),""Other"")"),"Transfer")</f>
        <v>Transfer</v>
      </c>
      <c r="E1417" s="20">
        <v>0.0</v>
      </c>
      <c r="F1417" s="20">
        <v>3000.0</v>
      </c>
      <c r="G1417" s="12" t="str">
        <f t="shared" si="3"/>
        <v>Deposit</v>
      </c>
      <c r="H1417" s="12" t="str">
        <f>TEXT(Raw_Data!A1423,"hh:mm:ss")
</f>
        <v>09:01:30</v>
      </c>
      <c r="I1417" s="20">
        <f t="shared" si="4"/>
        <v>3000</v>
      </c>
    </row>
    <row r="1418">
      <c r="A1418" s="12" t="str">
        <f>Raw_Data!A1424</f>
        <v>01 Oct 2025 09:27:13</v>
      </c>
      <c r="B1418" s="12" t="str">
        <f t="shared" si="1"/>
        <v>October</v>
      </c>
      <c r="C1418" s="12">
        <f t="shared" si="2"/>
        <v>10</v>
      </c>
      <c r="D1418" s="12" t="str">
        <f>IFERROR(__xludf.DUMMYFUNCTION("IFERROR(IF(REGEXMATCH(LOWER(Raw_Data!C1424),""fixed deposit|owealth|savings|target""),""Fixed Deposit"",IF(REGEXMATCH(LOWER(Raw_Data!C1424),""airtime""),""Airtime"",IF(REGEXMATCH(LOWER(Raw_Data!C1424),""electronic money transfer levy""),""Electronic Money"&amp;" Transfer Levy"",IF(REGEXMATCH(LOWER(Raw_Data!C1424),""transfer|trf|send""),""Transfer"",""Other"")))),""Other"")"),"Airtime")</f>
        <v>Airtime</v>
      </c>
      <c r="E1418" s="20">
        <v>18000.0</v>
      </c>
      <c r="F1418" s="20">
        <v>0.0</v>
      </c>
      <c r="G1418" s="12" t="str">
        <f t="shared" si="3"/>
        <v>Withdrawal</v>
      </c>
      <c r="H1418" s="12" t="str">
        <f>TEXT(Raw_Data!A1424,"hh:mm:ss")
</f>
        <v>09:27:13</v>
      </c>
      <c r="I1418" s="20">
        <f t="shared" si="4"/>
        <v>18000</v>
      </c>
    </row>
    <row r="1419">
      <c r="A1419" s="12" t="str">
        <f>Raw_Data!A1425</f>
        <v>04 Oct 2025 19:12:21</v>
      </c>
      <c r="B1419" s="12" t="str">
        <f t="shared" si="1"/>
        <v>October</v>
      </c>
      <c r="C1419" s="12">
        <f t="shared" si="2"/>
        <v>10</v>
      </c>
      <c r="D1419" s="12" t="str">
        <f>IFERROR(__xludf.DUMMYFUNCTION("IFERROR(IF(REGEXMATCH(LOWER(Raw_Data!C1425),""fixed deposit|owealth|savings|target""),""Fixed Deposit"",IF(REGEXMATCH(LOWER(Raw_Data!C1425),""airtime""),""Airtime"",IF(REGEXMATCH(LOWER(Raw_Data!C1425),""electronic money transfer levy""),""Electronic Money"&amp;" Transfer Levy"",IF(REGEXMATCH(LOWER(Raw_Data!C1425),""transfer|trf|send""),""Transfer"",""Other"")))),""Other"")"),"Airtime")</f>
        <v>Airtime</v>
      </c>
      <c r="E1419" s="20">
        <v>300.0</v>
      </c>
      <c r="F1419" s="20">
        <v>0.0</v>
      </c>
      <c r="G1419" s="12" t="str">
        <f t="shared" si="3"/>
        <v>Withdrawal</v>
      </c>
      <c r="H1419" s="12" t="str">
        <f>TEXT(Raw_Data!A1425,"hh:mm:ss")
</f>
        <v>19:12:21</v>
      </c>
      <c r="I1419" s="20">
        <f t="shared" si="4"/>
        <v>300</v>
      </c>
    </row>
    <row r="1420">
      <c r="A1420" s="12" t="str">
        <f>Raw_Data!A1426</f>
        <v>05 Oct 2025 16:22:59</v>
      </c>
      <c r="B1420" s="12" t="str">
        <f t="shared" si="1"/>
        <v>October</v>
      </c>
      <c r="C1420" s="12">
        <f t="shared" si="2"/>
        <v>10</v>
      </c>
      <c r="D1420" s="12" t="str">
        <f>IFERROR(__xludf.DUMMYFUNCTION("IFERROR(IF(REGEXMATCH(LOWER(Raw_Data!C1426),""fixed deposit|owealth|savings|target""),""Fixed Deposit"",IF(REGEXMATCH(LOWER(Raw_Data!C1426),""airtime""),""Airtime"",IF(REGEXMATCH(LOWER(Raw_Data!C1426),""electronic money transfer levy""),""Electronic Money"&amp;" Transfer Levy"",IF(REGEXMATCH(LOWER(Raw_Data!C1426),""transfer|trf|send""),""Transfer"",""Other"")))),""Other"")"),"Transfer")</f>
        <v>Transfer</v>
      </c>
      <c r="E1420" s="20">
        <v>0.0</v>
      </c>
      <c r="F1420" s="20">
        <v>5000.0</v>
      </c>
      <c r="G1420" s="12" t="str">
        <f t="shared" si="3"/>
        <v>Deposit</v>
      </c>
      <c r="H1420" s="12" t="str">
        <f>TEXT(Raw_Data!A1426,"hh:mm:ss")
</f>
        <v>16:22:59</v>
      </c>
      <c r="I1420" s="20">
        <f t="shared" si="4"/>
        <v>5000</v>
      </c>
    </row>
    <row r="1421">
      <c r="A1421" s="12" t="str">
        <f>Raw_Data!A1427</f>
        <v>05 Oct 2025 17:51:20</v>
      </c>
      <c r="B1421" s="12" t="str">
        <f t="shared" si="1"/>
        <v>October</v>
      </c>
      <c r="C1421" s="12">
        <f t="shared" si="2"/>
        <v>10</v>
      </c>
      <c r="D1421" s="12" t="str">
        <f>IFERROR(__xludf.DUMMYFUNCTION("IFERROR(IF(REGEXMATCH(LOWER(Raw_Data!C1427),""fixed deposit|owealth|savings|target""),""Fixed Deposit"",IF(REGEXMATCH(LOWER(Raw_Data!C1427),""airtime""),""Airtime"",IF(REGEXMATCH(LOWER(Raw_Data!C1427),""electronic money transfer levy""),""Electronic Money"&amp;" Transfer Levy"",IF(REGEXMATCH(LOWER(Raw_Data!C1427),""transfer|trf|send""),""Transfer"",""Other"")))),""Other"")"),"Transfer")</f>
        <v>Transfer</v>
      </c>
      <c r="E1421" s="20">
        <v>4100.0</v>
      </c>
      <c r="F1421" s="20">
        <v>0.0</v>
      </c>
      <c r="G1421" s="12" t="str">
        <f t="shared" si="3"/>
        <v>Withdrawal</v>
      </c>
      <c r="H1421" s="12" t="str">
        <f>TEXT(Raw_Data!A1427,"hh:mm:ss")
</f>
        <v>17:51:20</v>
      </c>
      <c r="I1421" s="20">
        <f t="shared" si="4"/>
        <v>4100</v>
      </c>
    </row>
    <row r="1422">
      <c r="A1422" s="12" t="str">
        <f>Raw_Data!A1428</f>
        <v>07 Oct 2025 18:25:09</v>
      </c>
      <c r="B1422" s="12" t="str">
        <f t="shared" si="1"/>
        <v>October</v>
      </c>
      <c r="C1422" s="12">
        <f t="shared" si="2"/>
        <v>10</v>
      </c>
      <c r="D1422" s="12" t="str">
        <f>IFERROR(__xludf.DUMMYFUNCTION("IFERROR(IF(REGEXMATCH(LOWER(Raw_Data!C1428),""fixed deposit|owealth|savings|target""),""Fixed Deposit"",IF(REGEXMATCH(LOWER(Raw_Data!C1428),""airtime""),""Airtime"",IF(REGEXMATCH(LOWER(Raw_Data!C1428),""electronic money transfer levy""),""Electronic Money"&amp;" Transfer Levy"",IF(REGEXMATCH(LOWER(Raw_Data!C1428),""transfer|trf|send""),""Transfer"",""Other"")))),""Other"")"),"Transfer")</f>
        <v>Transfer</v>
      </c>
      <c r="E1422" s="20">
        <v>0.0</v>
      </c>
      <c r="F1422" s="20">
        <v>2000.0</v>
      </c>
      <c r="G1422" s="12" t="str">
        <f t="shared" si="3"/>
        <v>Deposit</v>
      </c>
      <c r="H1422" s="12" t="str">
        <f>TEXT(Raw_Data!A1428,"hh:mm:ss")
</f>
        <v>18:25:09</v>
      </c>
      <c r="I1422" s="20">
        <f t="shared" si="4"/>
        <v>2000</v>
      </c>
    </row>
    <row r="1423">
      <c r="A1423" s="12" t="str">
        <f>Raw_Data!A1429</f>
        <v>09 Oct 2025 04:43:27</v>
      </c>
      <c r="B1423" s="12" t="str">
        <f t="shared" si="1"/>
        <v>October</v>
      </c>
      <c r="C1423" s="12">
        <f t="shared" si="2"/>
        <v>10</v>
      </c>
      <c r="D1423" s="12" t="str">
        <f>IFERROR(__xludf.DUMMYFUNCTION("IFERROR(IF(REGEXMATCH(LOWER(Raw_Data!C1429),""fixed deposit|owealth|savings|target""),""Fixed Deposit"",IF(REGEXMATCH(LOWER(Raw_Data!C1429),""airtime""),""Airtime"",IF(REGEXMATCH(LOWER(Raw_Data!C1429),""electronic money transfer levy""),""Electronic Money"&amp;" Transfer Levy"",IF(REGEXMATCH(LOWER(Raw_Data!C1429),""transfer|trf|send""),""Transfer"",""Other"")))),""Other"")"),"Transfer")</f>
        <v>Transfer</v>
      </c>
      <c r="E1423" s="20">
        <v>0.0</v>
      </c>
      <c r="F1423" s="20">
        <v>50000.0</v>
      </c>
      <c r="G1423" s="12" t="str">
        <f t="shared" si="3"/>
        <v>Deposit</v>
      </c>
      <c r="H1423" s="12" t="str">
        <f>TEXT(Raw_Data!A1429,"hh:mm:ss")
</f>
        <v>04:43:27</v>
      </c>
      <c r="I1423" s="20">
        <f t="shared" si="4"/>
        <v>50000</v>
      </c>
    </row>
    <row r="1424">
      <c r="A1424" s="12" t="str">
        <f>Raw_Data!A1430</f>
        <v>09 Oct 2025 04:43:29</v>
      </c>
      <c r="B1424" s="12" t="str">
        <f t="shared" si="1"/>
        <v>October</v>
      </c>
      <c r="C1424" s="12">
        <f t="shared" si="2"/>
        <v>10</v>
      </c>
      <c r="D1424" s="12" t="str">
        <f>IFERROR(__xludf.DUMMYFUNCTION("IFERROR(IF(REGEXMATCH(LOWER(Raw_Data!C1430),""fixed deposit|owealth|savings|target""),""Fixed Deposit"",IF(REGEXMATCH(LOWER(Raw_Data!C1430),""airtime""),""Airtime"",IF(REGEXMATCH(LOWER(Raw_Data!C1430),""electronic money transfer levy""),""Electronic Money"&amp;" Transfer Levy"",IF(REGEXMATCH(LOWER(Raw_Data!C1430),""transfer|trf|send""),""Transfer"",""Other"")))),""Other"")"),"Electronic Money Transfer Levy")</f>
        <v>Electronic Money Transfer Levy</v>
      </c>
      <c r="E1424" s="20">
        <v>50.0</v>
      </c>
      <c r="F1424" s="20">
        <v>0.0</v>
      </c>
      <c r="G1424" s="12" t="str">
        <f t="shared" si="3"/>
        <v>Withdrawal</v>
      </c>
      <c r="H1424" s="12" t="str">
        <f>TEXT(Raw_Data!A1430,"hh:mm:ss")
</f>
        <v>04:43:29</v>
      </c>
      <c r="I1424" s="20">
        <f t="shared" si="4"/>
        <v>50</v>
      </c>
    </row>
    <row r="1425">
      <c r="A1425" s="12" t="str">
        <f>Raw_Data!A1431</f>
        <v>09 Oct 2025 04:46:49</v>
      </c>
      <c r="B1425" s="12" t="str">
        <f t="shared" si="1"/>
        <v>October</v>
      </c>
      <c r="C1425" s="12">
        <f t="shared" si="2"/>
        <v>10</v>
      </c>
      <c r="D1425" s="12" t="str">
        <f>IFERROR(__xludf.DUMMYFUNCTION("IFERROR(IF(REGEXMATCH(LOWER(Raw_Data!C1431),""fixed deposit|owealth|savings|target""),""Fixed Deposit"",IF(REGEXMATCH(LOWER(Raw_Data!C1431),""airtime""),""Airtime"",IF(REGEXMATCH(LOWER(Raw_Data!C1431),""electronic money transfer levy""),""Electronic Money"&amp;" Transfer Levy"",IF(REGEXMATCH(LOWER(Raw_Data!C1431),""transfer|trf|send""),""Transfer"",""Other"")))),""Other"")"),"Transfer")</f>
        <v>Transfer</v>
      </c>
      <c r="E1425" s="20">
        <v>30000.0</v>
      </c>
      <c r="F1425" s="20">
        <v>0.0</v>
      </c>
      <c r="G1425" s="12" t="str">
        <f t="shared" si="3"/>
        <v>Withdrawal</v>
      </c>
      <c r="H1425" s="12" t="str">
        <f>TEXT(Raw_Data!A1431,"hh:mm:ss")
</f>
        <v>04:46:49</v>
      </c>
      <c r="I1425" s="20">
        <f t="shared" si="4"/>
        <v>30000</v>
      </c>
    </row>
    <row r="1426">
      <c r="A1426" s="12" t="str">
        <f>Raw_Data!A1432</f>
        <v>09 Oct 2025 06:36:04</v>
      </c>
      <c r="B1426" s="12" t="str">
        <f t="shared" si="1"/>
        <v>October</v>
      </c>
      <c r="C1426" s="12">
        <f t="shared" si="2"/>
        <v>10</v>
      </c>
      <c r="D1426" s="12" t="str">
        <f>IFERROR(__xludf.DUMMYFUNCTION("IFERROR(IF(REGEXMATCH(LOWER(Raw_Data!C1432),""fixed deposit|owealth|savings|target""),""Fixed Deposit"",IF(REGEXMATCH(LOWER(Raw_Data!C1432),""airtime""),""Airtime"",IF(REGEXMATCH(LOWER(Raw_Data!C1432),""electronic money transfer levy""),""Electronic Money"&amp;" Transfer Levy"",IF(REGEXMATCH(LOWER(Raw_Data!C1432),""transfer|trf|send""),""Transfer"",""Other"")))),""Other"")"),"Airtime")</f>
        <v>Airtime</v>
      </c>
      <c r="E1426" s="20">
        <v>300.0</v>
      </c>
      <c r="F1426" s="20">
        <v>0.0</v>
      </c>
      <c r="G1426" s="12" t="str">
        <f t="shared" si="3"/>
        <v>Withdrawal</v>
      </c>
      <c r="H1426" s="12" t="str">
        <f>TEXT(Raw_Data!A1432,"hh:mm:ss")
</f>
        <v>06:36:04</v>
      </c>
      <c r="I1426" s="20">
        <f t="shared" si="4"/>
        <v>300</v>
      </c>
    </row>
    <row r="1427">
      <c r="A1427" s="12" t="str">
        <f>Raw_Data!A1433</f>
        <v>10 Oct 2025 09:01:06</v>
      </c>
      <c r="B1427" s="12" t="str">
        <f t="shared" si="1"/>
        <v>October</v>
      </c>
      <c r="C1427" s="12">
        <f t="shared" si="2"/>
        <v>10</v>
      </c>
      <c r="D1427" s="12" t="str">
        <f>IFERROR(__xludf.DUMMYFUNCTION("IFERROR(IF(REGEXMATCH(LOWER(Raw_Data!C1433),""fixed deposit|owealth|savings|target""),""Fixed Deposit"",IF(REGEXMATCH(LOWER(Raw_Data!C1433),""airtime""),""Airtime"",IF(REGEXMATCH(LOWER(Raw_Data!C1433),""electronic money transfer levy""),""Electronic Money"&amp;" Transfer Levy"",IF(REGEXMATCH(LOWER(Raw_Data!C1433),""transfer|trf|send""),""Transfer"",""Other"")))),""Other"")"),"Transfer")</f>
        <v>Transfer</v>
      </c>
      <c r="E1427" s="20">
        <v>0.0</v>
      </c>
      <c r="F1427" s="20">
        <v>5000.0</v>
      </c>
      <c r="G1427" s="12" t="str">
        <f t="shared" si="3"/>
        <v>Deposit</v>
      </c>
      <c r="H1427" s="12" t="str">
        <f>TEXT(Raw_Data!A1433,"hh:mm:ss")
</f>
        <v>09:01:06</v>
      </c>
      <c r="I1427" s="20">
        <f t="shared" si="4"/>
        <v>5000</v>
      </c>
    </row>
    <row r="1428">
      <c r="A1428" s="12" t="str">
        <f>Raw_Data!A1434</f>
        <v>10 Oct 2025 10:19:15</v>
      </c>
      <c r="B1428" s="12" t="str">
        <f t="shared" si="1"/>
        <v>October</v>
      </c>
      <c r="C1428" s="12">
        <f t="shared" si="2"/>
        <v>10</v>
      </c>
      <c r="D1428" s="12" t="str">
        <f>IFERROR(__xludf.DUMMYFUNCTION("IFERROR(IF(REGEXMATCH(LOWER(Raw_Data!C1434),""fixed deposit|owealth|savings|target""),""Fixed Deposit"",IF(REGEXMATCH(LOWER(Raw_Data!C1434),""airtime""),""Airtime"",IF(REGEXMATCH(LOWER(Raw_Data!C1434),""electronic money transfer levy""),""Electronic Money"&amp;" Transfer Levy"",IF(REGEXMATCH(LOWER(Raw_Data!C1434),""transfer|trf|send""),""Transfer"",""Other"")))),""Other"")"),"Transfer")</f>
        <v>Transfer</v>
      </c>
      <c r="E1428" s="20">
        <v>11100.0</v>
      </c>
      <c r="F1428" s="20">
        <v>0.0</v>
      </c>
      <c r="G1428" s="12" t="str">
        <f t="shared" si="3"/>
        <v>Withdrawal</v>
      </c>
      <c r="H1428" s="12" t="str">
        <f>TEXT(Raw_Data!A1434,"hh:mm:ss")
</f>
        <v>10:19:15</v>
      </c>
      <c r="I1428" s="20">
        <f t="shared" si="4"/>
        <v>11100</v>
      </c>
    </row>
    <row r="1429">
      <c r="A1429" s="12" t="str">
        <f>Raw_Data!A1435</f>
        <v>10 Oct 2025 10:20:29</v>
      </c>
      <c r="B1429" s="12" t="str">
        <f t="shared" si="1"/>
        <v>October</v>
      </c>
      <c r="C1429" s="12">
        <f t="shared" si="2"/>
        <v>10</v>
      </c>
      <c r="D1429" s="12" t="str">
        <f>IFERROR(__xludf.DUMMYFUNCTION("IFERROR(IF(REGEXMATCH(LOWER(Raw_Data!C1435),""fixed deposit|owealth|savings|target""),""Fixed Deposit"",IF(REGEXMATCH(LOWER(Raw_Data!C1435),""airtime""),""Airtime"",IF(REGEXMATCH(LOWER(Raw_Data!C1435),""electronic money transfer levy""),""Electronic Money"&amp;" Transfer Levy"",IF(REGEXMATCH(LOWER(Raw_Data!C1435),""transfer|trf|send""),""Transfer"",""Other"")))),""Other"")"),"Transfer")</f>
        <v>Transfer</v>
      </c>
      <c r="E1429" s="20">
        <v>100.0</v>
      </c>
      <c r="F1429" s="20">
        <v>0.0</v>
      </c>
      <c r="G1429" s="12" t="str">
        <f t="shared" si="3"/>
        <v>Withdrawal</v>
      </c>
      <c r="H1429" s="12" t="str">
        <f>TEXT(Raw_Data!A1435,"hh:mm:ss")
</f>
        <v>10:20:29</v>
      </c>
      <c r="I1429" s="20">
        <f t="shared" si="4"/>
        <v>100</v>
      </c>
    </row>
    <row r="1430">
      <c r="A1430" s="12" t="str">
        <f>Raw_Data!A1436</f>
        <v>10 Oct 2025 14:31:36</v>
      </c>
      <c r="B1430" s="12" t="str">
        <f t="shared" si="1"/>
        <v>October</v>
      </c>
      <c r="C1430" s="12">
        <f t="shared" si="2"/>
        <v>10</v>
      </c>
      <c r="D1430" s="12" t="str">
        <f>IFERROR(__xludf.DUMMYFUNCTION("IFERROR(IF(REGEXMATCH(LOWER(Raw_Data!C1436),""fixed deposit|owealth|savings|target""),""Fixed Deposit"",IF(REGEXMATCH(LOWER(Raw_Data!C1436),""airtime""),""Airtime"",IF(REGEXMATCH(LOWER(Raw_Data!C1436),""electronic money transfer levy""),""Electronic Money"&amp;" Transfer Levy"",IF(REGEXMATCH(LOWER(Raw_Data!C1436),""transfer|trf|send""),""Transfer"",""Other"")))),""Other"")"),"Transfer")</f>
        <v>Transfer</v>
      </c>
      <c r="E1430" s="20">
        <v>1200.0</v>
      </c>
      <c r="F1430" s="20">
        <v>0.0</v>
      </c>
      <c r="G1430" s="12" t="str">
        <f t="shared" si="3"/>
        <v>Withdrawal</v>
      </c>
      <c r="H1430" s="12" t="str">
        <f>TEXT(Raw_Data!A1436,"hh:mm:ss")
</f>
        <v>14:31:36</v>
      </c>
      <c r="I1430" s="20">
        <f t="shared" si="4"/>
        <v>1200</v>
      </c>
    </row>
    <row r="1431">
      <c r="A1431" s="12" t="str">
        <f>Raw_Data!A1437</f>
        <v>10 Oct 2025 14:33:54</v>
      </c>
      <c r="B1431" s="12" t="str">
        <f t="shared" si="1"/>
        <v>October</v>
      </c>
      <c r="C1431" s="12">
        <f t="shared" si="2"/>
        <v>10</v>
      </c>
      <c r="D1431" s="12" t="str">
        <f>IFERROR(__xludf.DUMMYFUNCTION("IFERROR(IF(REGEXMATCH(LOWER(Raw_Data!C1437),""fixed deposit|owealth|savings|target""),""Fixed Deposit"",IF(REGEXMATCH(LOWER(Raw_Data!C1437),""airtime""),""Airtime"",IF(REGEXMATCH(LOWER(Raw_Data!C1437),""electronic money transfer levy""),""Electronic Money"&amp;" Transfer Levy"",IF(REGEXMATCH(LOWER(Raw_Data!C1437),""transfer|trf|send""),""Transfer"",""Other"")))),""Other"")"),"Transfer")</f>
        <v>Transfer</v>
      </c>
      <c r="E1431" s="20">
        <v>2000.0</v>
      </c>
      <c r="F1431" s="20">
        <v>0.0</v>
      </c>
      <c r="G1431" s="12" t="str">
        <f t="shared" si="3"/>
        <v>Withdrawal</v>
      </c>
      <c r="H1431" s="12" t="str">
        <f>TEXT(Raw_Data!A1437,"hh:mm:ss")
</f>
        <v>14:33:54</v>
      </c>
      <c r="I1431" s="20">
        <f t="shared" si="4"/>
        <v>2000</v>
      </c>
    </row>
    <row r="1432">
      <c r="A1432" s="12" t="str">
        <f>Raw_Data!A1438</f>
        <v>10 Oct 2025 21:47:28</v>
      </c>
      <c r="B1432" s="12" t="str">
        <f t="shared" si="1"/>
        <v>October</v>
      </c>
      <c r="C1432" s="12">
        <f t="shared" si="2"/>
        <v>10</v>
      </c>
      <c r="D1432" s="12" t="str">
        <f>IFERROR(__xludf.DUMMYFUNCTION("IFERROR(IF(REGEXMATCH(LOWER(Raw_Data!C1438),""fixed deposit|owealth|savings|target""),""Fixed Deposit"",IF(REGEXMATCH(LOWER(Raw_Data!C1438),""airtime""),""Airtime"",IF(REGEXMATCH(LOWER(Raw_Data!C1438),""electronic money transfer levy""),""Electronic Money"&amp;" Transfer Levy"",IF(REGEXMATCH(LOWER(Raw_Data!C1438),""transfer|trf|send""),""Transfer"",""Other"")))),""Other"")"),"Transfer")</f>
        <v>Transfer</v>
      </c>
      <c r="E1432" s="20">
        <v>1000.0</v>
      </c>
      <c r="F1432" s="20">
        <v>0.0</v>
      </c>
      <c r="G1432" s="12" t="str">
        <f t="shared" si="3"/>
        <v>Withdrawal</v>
      </c>
      <c r="H1432" s="12" t="str">
        <f>TEXT(Raw_Data!A1438,"hh:mm:ss")
</f>
        <v>21:47:28</v>
      </c>
      <c r="I1432" s="20">
        <f t="shared" si="4"/>
        <v>1000</v>
      </c>
    </row>
    <row r="1433">
      <c r="A1433" s="12" t="str">
        <f>Raw_Data!A1439</f>
        <v>11 Oct 2025 09:37:21</v>
      </c>
      <c r="B1433" s="12" t="str">
        <f t="shared" si="1"/>
        <v>October</v>
      </c>
      <c r="C1433" s="12">
        <f t="shared" si="2"/>
        <v>10</v>
      </c>
      <c r="D1433" s="12" t="str">
        <f>IFERROR(__xludf.DUMMYFUNCTION("IFERROR(IF(REGEXMATCH(LOWER(Raw_Data!C1439),""fixed deposit|owealth|savings|target""),""Fixed Deposit"",IF(REGEXMATCH(LOWER(Raw_Data!C1439),""airtime""),""Airtime"",IF(REGEXMATCH(LOWER(Raw_Data!C1439),""electronic money transfer levy""),""Electronic Money"&amp;" Transfer Levy"",IF(REGEXMATCH(LOWER(Raw_Data!C1439),""transfer|trf|send""),""Transfer"",""Other"")))),""Other"")"),"Airtime")</f>
        <v>Airtime</v>
      </c>
      <c r="E1433" s="20">
        <v>300.0</v>
      </c>
      <c r="F1433" s="20">
        <v>0.0</v>
      </c>
      <c r="G1433" s="12" t="str">
        <f t="shared" si="3"/>
        <v>Withdrawal</v>
      </c>
      <c r="H1433" s="12" t="str">
        <f>TEXT(Raw_Data!A1439,"hh:mm:ss")
</f>
        <v>09:37:21</v>
      </c>
      <c r="I1433" s="20">
        <f t="shared" si="4"/>
        <v>300</v>
      </c>
    </row>
    <row r="1434">
      <c r="A1434" s="12" t="str">
        <f>Raw_Data!A1440</f>
        <v>11 Oct 2025 13:16:06</v>
      </c>
      <c r="B1434" s="12" t="str">
        <f t="shared" si="1"/>
        <v>October</v>
      </c>
      <c r="C1434" s="12">
        <f t="shared" si="2"/>
        <v>10</v>
      </c>
      <c r="D1434" s="12" t="str">
        <f>IFERROR(__xludf.DUMMYFUNCTION("IFERROR(IF(REGEXMATCH(LOWER(Raw_Data!C1440),""fixed deposit|owealth|savings|target""),""Fixed Deposit"",IF(REGEXMATCH(LOWER(Raw_Data!C1440),""airtime""),""Airtime"",IF(REGEXMATCH(LOWER(Raw_Data!C1440),""electronic money transfer levy""),""Electronic Money"&amp;" Transfer Levy"",IF(REGEXMATCH(LOWER(Raw_Data!C1440),""transfer|trf|send""),""Transfer"",""Other"")))),""Other"")"),"Transfer")</f>
        <v>Transfer</v>
      </c>
      <c r="E1434" s="20">
        <v>2000.0</v>
      </c>
      <c r="F1434" s="20">
        <v>0.0</v>
      </c>
      <c r="G1434" s="12" t="str">
        <f t="shared" si="3"/>
        <v>Withdrawal</v>
      </c>
      <c r="H1434" s="12" t="str">
        <f>TEXT(Raw_Data!A1440,"hh:mm:ss")
</f>
        <v>13:16:06</v>
      </c>
      <c r="I1434" s="20">
        <f t="shared" si="4"/>
        <v>2000</v>
      </c>
    </row>
    <row r="1435">
      <c r="A1435" s="12" t="str">
        <f>Raw_Data!A1441</f>
        <v>12 Oct 2025 07:47:28</v>
      </c>
      <c r="B1435" s="12" t="str">
        <f t="shared" si="1"/>
        <v>October</v>
      </c>
      <c r="C1435" s="12">
        <f t="shared" si="2"/>
        <v>10</v>
      </c>
      <c r="D1435" s="12" t="str">
        <f>IFERROR(__xludf.DUMMYFUNCTION("IFERROR(IF(REGEXMATCH(LOWER(Raw_Data!C1441),""fixed deposit|owealth|savings|target""),""Fixed Deposit"",IF(REGEXMATCH(LOWER(Raw_Data!C1441),""airtime""),""Airtime"",IF(REGEXMATCH(LOWER(Raw_Data!C1441),""electronic money transfer levy""),""Electronic Money"&amp;" Transfer Levy"",IF(REGEXMATCH(LOWER(Raw_Data!C1441),""transfer|trf|send""),""Transfer"",""Other"")))),""Other"")"),"Transfer")</f>
        <v>Transfer</v>
      </c>
      <c r="E1435" s="20">
        <v>300.0</v>
      </c>
      <c r="F1435" s="20">
        <v>0.0</v>
      </c>
      <c r="G1435" s="12" t="str">
        <f t="shared" si="3"/>
        <v>Withdrawal</v>
      </c>
      <c r="H1435" s="12" t="str">
        <f>TEXT(Raw_Data!A1441,"hh:mm:ss")
</f>
        <v>07:47:28</v>
      </c>
      <c r="I1435" s="20">
        <f t="shared" si="4"/>
        <v>300</v>
      </c>
    </row>
    <row r="1436">
      <c r="A1436" s="12" t="str">
        <f>Raw_Data!A1442</f>
        <v>12 Oct 2025 13:58:16</v>
      </c>
      <c r="B1436" s="12" t="str">
        <f t="shared" si="1"/>
        <v>October</v>
      </c>
      <c r="C1436" s="12">
        <f t="shared" si="2"/>
        <v>10</v>
      </c>
      <c r="D1436" s="12" t="str">
        <f>IFERROR(__xludf.DUMMYFUNCTION("IFERROR(IF(REGEXMATCH(LOWER(Raw_Data!C1442),""fixed deposit|owealth|savings|target""),""Fixed Deposit"",IF(REGEXMATCH(LOWER(Raw_Data!C1442),""airtime""),""Airtime"",IF(REGEXMATCH(LOWER(Raw_Data!C1442),""electronic money transfer levy""),""Electronic Money"&amp;" Transfer Levy"",IF(REGEXMATCH(LOWER(Raw_Data!C1442),""transfer|trf|send""),""Transfer"",""Other"")))),""Other"")"),"Transfer")</f>
        <v>Transfer</v>
      </c>
      <c r="E1436" s="20">
        <v>4000.0</v>
      </c>
      <c r="F1436" s="20">
        <v>0.0</v>
      </c>
      <c r="G1436" s="12" t="str">
        <f t="shared" si="3"/>
        <v>Withdrawal</v>
      </c>
      <c r="H1436" s="12" t="str">
        <f>TEXT(Raw_Data!A1442,"hh:mm:ss")
</f>
        <v>13:58:16</v>
      </c>
      <c r="I1436" s="20">
        <f t="shared" si="4"/>
        <v>4000</v>
      </c>
    </row>
    <row r="1437">
      <c r="A1437" s="12" t="str">
        <f>Raw_Data!A1443</f>
        <v>13 Oct 2025 08:04:36</v>
      </c>
      <c r="B1437" s="12" t="str">
        <f t="shared" si="1"/>
        <v>October</v>
      </c>
      <c r="C1437" s="12">
        <f t="shared" si="2"/>
        <v>10</v>
      </c>
      <c r="D1437" s="12" t="str">
        <f>IFERROR(__xludf.DUMMYFUNCTION("IFERROR(IF(REGEXMATCH(LOWER(Raw_Data!C1443),""fixed deposit|owealth|savings|target""),""Fixed Deposit"",IF(REGEXMATCH(LOWER(Raw_Data!C1443),""airtime""),""Airtime"",IF(REGEXMATCH(LOWER(Raw_Data!C1443),""electronic money transfer levy""),""Electronic Money"&amp;" Transfer Levy"",IF(REGEXMATCH(LOWER(Raw_Data!C1443),""transfer|trf|send""),""Transfer"",""Other"")))),""Other"")"),"Transfer")</f>
        <v>Transfer</v>
      </c>
      <c r="E1437" s="20">
        <v>700.0</v>
      </c>
      <c r="F1437" s="20">
        <v>0.0</v>
      </c>
      <c r="G1437" s="12" t="str">
        <f t="shared" si="3"/>
        <v>Withdrawal</v>
      </c>
      <c r="H1437" s="12" t="str">
        <f>TEXT(Raw_Data!A1443,"hh:mm:ss")
</f>
        <v>08:04:36</v>
      </c>
      <c r="I1437" s="20">
        <f t="shared" si="4"/>
        <v>700</v>
      </c>
    </row>
    <row r="1438">
      <c r="A1438" s="12" t="str">
        <f>Raw_Data!A1444</f>
        <v>13 Oct 2025 10:06:37</v>
      </c>
      <c r="B1438" s="12" t="str">
        <f t="shared" si="1"/>
        <v>October</v>
      </c>
      <c r="C1438" s="12">
        <f t="shared" si="2"/>
        <v>10</v>
      </c>
      <c r="D1438" s="12" t="str">
        <f>IFERROR(__xludf.DUMMYFUNCTION("IFERROR(IF(REGEXMATCH(LOWER(Raw_Data!C1444),""fixed deposit|owealth|savings|target""),""Fixed Deposit"",IF(REGEXMATCH(LOWER(Raw_Data!C1444),""airtime""),""Airtime"",IF(REGEXMATCH(LOWER(Raw_Data!C1444),""electronic money transfer levy""),""Electronic Money"&amp;" Transfer Levy"",IF(REGEXMATCH(LOWER(Raw_Data!C1444),""transfer|trf|send""),""Transfer"",""Other"")))),""Other"")"),"Airtime")</f>
        <v>Airtime</v>
      </c>
      <c r="E1438" s="20">
        <v>300.0</v>
      </c>
      <c r="F1438" s="20">
        <v>0.0</v>
      </c>
      <c r="G1438" s="12" t="str">
        <f t="shared" si="3"/>
        <v>Withdrawal</v>
      </c>
      <c r="H1438" s="12" t="str">
        <f>TEXT(Raw_Data!A1444,"hh:mm:ss")
</f>
        <v>10:06:37</v>
      </c>
      <c r="I1438" s="20">
        <f t="shared" si="4"/>
        <v>300</v>
      </c>
    </row>
    <row r="1439">
      <c r="A1439" s="12" t="str">
        <f>Raw_Data!A1445</f>
        <v>13 Oct 2025 10:16:46</v>
      </c>
      <c r="B1439" s="12" t="str">
        <f t="shared" si="1"/>
        <v>October</v>
      </c>
      <c r="C1439" s="12">
        <f t="shared" si="2"/>
        <v>10</v>
      </c>
      <c r="D1439" s="12" t="str">
        <f>IFERROR(__xludf.DUMMYFUNCTION("IFERROR(IF(REGEXMATCH(LOWER(Raw_Data!C1445),""fixed deposit|owealth|savings|target""),""Fixed Deposit"",IF(REGEXMATCH(LOWER(Raw_Data!C1445),""airtime""),""Airtime"",IF(REGEXMATCH(LOWER(Raw_Data!C1445),""electronic money transfer levy""),""Electronic Money"&amp;" Transfer Levy"",IF(REGEXMATCH(LOWER(Raw_Data!C1445),""transfer|trf|send""),""Transfer"",""Other"")))),""Other"")"),"Transfer")</f>
        <v>Transfer</v>
      </c>
      <c r="E1439" s="20">
        <v>700.0</v>
      </c>
      <c r="F1439" s="20">
        <v>0.0</v>
      </c>
      <c r="G1439" s="12" t="str">
        <f t="shared" si="3"/>
        <v>Withdrawal</v>
      </c>
      <c r="H1439" s="12" t="str">
        <f>TEXT(Raw_Data!A1445,"hh:mm:ss")
</f>
        <v>10:16:46</v>
      </c>
      <c r="I1439" s="20">
        <f t="shared" si="4"/>
        <v>700</v>
      </c>
    </row>
    <row r="1440">
      <c r="A1440" s="12" t="str">
        <f>Raw_Data!A1446</f>
        <v>13 Oct 2025 10:20:46</v>
      </c>
      <c r="B1440" s="12" t="str">
        <f t="shared" si="1"/>
        <v>October</v>
      </c>
      <c r="C1440" s="12">
        <f t="shared" si="2"/>
        <v>10</v>
      </c>
      <c r="D1440" s="12" t="str">
        <f>IFERROR(__xludf.DUMMYFUNCTION("IFERROR(IF(REGEXMATCH(LOWER(Raw_Data!C1446),""fixed deposit|owealth|savings|target""),""Fixed Deposit"",IF(REGEXMATCH(LOWER(Raw_Data!C1446),""airtime""),""Airtime"",IF(REGEXMATCH(LOWER(Raw_Data!C1446),""electronic money transfer levy""),""Electronic Money"&amp;" Transfer Levy"",IF(REGEXMATCH(LOWER(Raw_Data!C1446),""transfer|trf|send""),""Transfer"",""Other"")))),""Other"")"),"Transfer")</f>
        <v>Transfer</v>
      </c>
      <c r="E1440" s="20">
        <v>200.0</v>
      </c>
      <c r="F1440" s="20">
        <v>0.0</v>
      </c>
      <c r="G1440" s="12" t="str">
        <f t="shared" si="3"/>
        <v>Withdrawal</v>
      </c>
      <c r="H1440" s="12" t="str">
        <f>TEXT(Raw_Data!A1446,"hh:mm:ss")
</f>
        <v>10:20:46</v>
      </c>
      <c r="I1440" s="20">
        <f t="shared" si="4"/>
        <v>200</v>
      </c>
    </row>
    <row r="1441">
      <c r="A1441" s="12" t="str">
        <f>Raw_Data!A1447</f>
        <v>13 Oct 2025 12:27:36</v>
      </c>
      <c r="B1441" s="12" t="str">
        <f t="shared" si="1"/>
        <v>October</v>
      </c>
      <c r="C1441" s="12">
        <f t="shared" si="2"/>
        <v>10</v>
      </c>
      <c r="D1441" s="12" t="str">
        <f>IFERROR(__xludf.DUMMYFUNCTION("IFERROR(IF(REGEXMATCH(LOWER(Raw_Data!C1447),""fixed deposit|owealth|savings|target""),""Fixed Deposit"",IF(REGEXMATCH(LOWER(Raw_Data!C1447),""airtime""),""Airtime"",IF(REGEXMATCH(LOWER(Raw_Data!C1447),""electronic money transfer levy""),""Electronic Money"&amp;" Transfer Levy"",IF(REGEXMATCH(LOWER(Raw_Data!C1447),""transfer|trf|send""),""Transfer"",""Other"")))),""Other"")"),"Transfer")</f>
        <v>Transfer</v>
      </c>
      <c r="E1441" s="20">
        <v>1000.0</v>
      </c>
      <c r="F1441" s="20">
        <v>0.0</v>
      </c>
      <c r="G1441" s="12" t="str">
        <f t="shared" si="3"/>
        <v>Withdrawal</v>
      </c>
      <c r="H1441" s="12" t="str">
        <f>TEXT(Raw_Data!A1447,"hh:mm:ss")
</f>
        <v>12:27:36</v>
      </c>
      <c r="I1441" s="20">
        <f t="shared" si="4"/>
        <v>1000</v>
      </c>
    </row>
    <row r="1442">
      <c r="A1442" s="12" t="str">
        <f>Raw_Data!A1448</f>
        <v>13 Oct 2025 18:38:19</v>
      </c>
      <c r="B1442" s="12" t="str">
        <f t="shared" si="1"/>
        <v>October</v>
      </c>
      <c r="C1442" s="12">
        <f t="shared" si="2"/>
        <v>10</v>
      </c>
      <c r="D1442" s="12" t="str">
        <f>IFERROR(__xludf.DUMMYFUNCTION("IFERROR(IF(REGEXMATCH(LOWER(Raw_Data!C1448),""fixed deposit|owealth|savings|target""),""Fixed Deposit"",IF(REGEXMATCH(LOWER(Raw_Data!C1448),""airtime""),""Airtime"",IF(REGEXMATCH(LOWER(Raw_Data!C1448),""electronic money transfer levy""),""Electronic Money"&amp;" Transfer Levy"",IF(REGEXMATCH(LOWER(Raw_Data!C1448),""transfer|trf|send""),""Transfer"",""Other"")))),""Other"")"),"Transfer")</f>
        <v>Transfer</v>
      </c>
      <c r="E1442" s="20">
        <v>350.0</v>
      </c>
      <c r="F1442" s="20">
        <v>0.0</v>
      </c>
      <c r="G1442" s="12" t="str">
        <f t="shared" si="3"/>
        <v>Withdrawal</v>
      </c>
      <c r="H1442" s="12" t="str">
        <f>TEXT(Raw_Data!A1448,"hh:mm:ss")
</f>
        <v>18:38:19</v>
      </c>
      <c r="I1442" s="20">
        <f t="shared" si="4"/>
        <v>350</v>
      </c>
    </row>
    <row r="1443">
      <c r="A1443" s="12" t="str">
        <f>Raw_Data!A1449</f>
        <v>14 Oct 2025 09:01:05</v>
      </c>
      <c r="B1443" s="12" t="str">
        <f t="shared" si="1"/>
        <v>October</v>
      </c>
      <c r="C1443" s="12">
        <f t="shared" si="2"/>
        <v>10</v>
      </c>
      <c r="D1443" s="12" t="str">
        <f>IFERROR(__xludf.DUMMYFUNCTION("IFERROR(IF(REGEXMATCH(LOWER(Raw_Data!C1449),""fixed deposit|owealth|savings|target""),""Fixed Deposit"",IF(REGEXMATCH(LOWER(Raw_Data!C1449),""airtime""),""Airtime"",IF(REGEXMATCH(LOWER(Raw_Data!C1449),""electronic money transfer levy""),""Electronic Money"&amp;" Transfer Levy"",IF(REGEXMATCH(LOWER(Raw_Data!C1449),""transfer|trf|send""),""Transfer"",""Other"")))),""Other"")"),"Transfer")</f>
        <v>Transfer</v>
      </c>
      <c r="E1443" s="20">
        <v>200.0</v>
      </c>
      <c r="F1443" s="20">
        <v>0.0</v>
      </c>
      <c r="G1443" s="12" t="str">
        <f t="shared" si="3"/>
        <v>Withdrawal</v>
      </c>
      <c r="H1443" s="12" t="str">
        <f>TEXT(Raw_Data!A1449,"hh:mm:ss")
</f>
        <v>09:01:05</v>
      </c>
      <c r="I1443" s="20">
        <f t="shared" si="4"/>
        <v>200</v>
      </c>
    </row>
    <row r="1444">
      <c r="A1444" s="12" t="str">
        <f>Raw_Data!A1450</f>
        <v>14 Oct 2025 11:53:26</v>
      </c>
      <c r="B1444" s="12" t="str">
        <f t="shared" si="1"/>
        <v>October</v>
      </c>
      <c r="C1444" s="12">
        <f t="shared" si="2"/>
        <v>10</v>
      </c>
      <c r="D1444" s="12" t="str">
        <f>IFERROR(__xludf.DUMMYFUNCTION("IFERROR(IF(REGEXMATCH(LOWER(Raw_Data!C1450),""fixed deposit|owealth|savings|target""),""Fixed Deposit"",IF(REGEXMATCH(LOWER(Raw_Data!C1450),""airtime""),""Airtime"",IF(REGEXMATCH(LOWER(Raw_Data!C1450),""electronic money transfer levy""),""Electronic Money"&amp;" Transfer Levy"",IF(REGEXMATCH(LOWER(Raw_Data!C1450),""transfer|trf|send""),""Transfer"",""Other"")))),""Other"")"),"Transfer")</f>
        <v>Transfer</v>
      </c>
      <c r="E1444" s="20">
        <v>0.0</v>
      </c>
      <c r="F1444" s="20">
        <v>1500.0</v>
      </c>
      <c r="G1444" s="12" t="str">
        <f t="shared" si="3"/>
        <v>Deposit</v>
      </c>
      <c r="H1444" s="12" t="str">
        <f>TEXT(Raw_Data!A1450,"hh:mm:ss")
</f>
        <v>11:53:26</v>
      </c>
      <c r="I1444" s="20">
        <f t="shared" si="4"/>
        <v>1500</v>
      </c>
    </row>
    <row r="1445">
      <c r="A1445" s="12" t="str">
        <f>Raw_Data!A1451</f>
        <v>14 Oct 2025 14:00:05</v>
      </c>
      <c r="B1445" s="12" t="str">
        <f t="shared" si="1"/>
        <v>October</v>
      </c>
      <c r="C1445" s="12">
        <f t="shared" si="2"/>
        <v>10</v>
      </c>
      <c r="D1445" s="12" t="str">
        <f>IFERROR(__xludf.DUMMYFUNCTION("IFERROR(IF(REGEXMATCH(LOWER(Raw_Data!C1451),""fixed deposit|owealth|savings|target""),""Fixed Deposit"",IF(REGEXMATCH(LOWER(Raw_Data!C1451),""airtime""),""Airtime"",IF(REGEXMATCH(LOWER(Raw_Data!C1451),""electronic money transfer levy""),""Electronic Money"&amp;" Transfer Levy"",IF(REGEXMATCH(LOWER(Raw_Data!C1451),""transfer|trf|send""),""Transfer"",""Other"")))),""Other"")"),"Transfer")</f>
        <v>Transfer</v>
      </c>
      <c r="E1445" s="20">
        <v>400.0</v>
      </c>
      <c r="F1445" s="20">
        <v>0.0</v>
      </c>
      <c r="G1445" s="12" t="str">
        <f t="shared" si="3"/>
        <v>Withdrawal</v>
      </c>
      <c r="H1445" s="12" t="str">
        <f>TEXT(Raw_Data!A1451,"hh:mm:ss")
</f>
        <v>14:00:05</v>
      </c>
      <c r="I1445" s="20">
        <f t="shared" si="4"/>
        <v>400</v>
      </c>
    </row>
    <row r="1446">
      <c r="A1446" s="12" t="str">
        <f>Raw_Data!A1452</f>
        <v>14 Oct 2025 14:17:21</v>
      </c>
      <c r="B1446" s="12" t="str">
        <f t="shared" si="1"/>
        <v>October</v>
      </c>
      <c r="C1446" s="12">
        <f t="shared" si="2"/>
        <v>10</v>
      </c>
      <c r="D1446" s="12" t="str">
        <f>IFERROR(__xludf.DUMMYFUNCTION("IFERROR(IF(REGEXMATCH(LOWER(Raw_Data!C1452),""fixed deposit|owealth|savings|target""),""Fixed Deposit"",IF(REGEXMATCH(LOWER(Raw_Data!C1452),""airtime""),""Airtime"",IF(REGEXMATCH(LOWER(Raw_Data!C1452),""electronic money transfer levy""),""Electronic Money"&amp;" Transfer Levy"",IF(REGEXMATCH(LOWER(Raw_Data!C1452),""transfer|trf|send""),""Transfer"",""Other"")))),""Other"")"),"Airtime")</f>
        <v>Airtime</v>
      </c>
      <c r="E1446" s="20">
        <v>200.0</v>
      </c>
      <c r="F1446" s="20">
        <v>0.0</v>
      </c>
      <c r="G1446" s="12" t="str">
        <f t="shared" si="3"/>
        <v>Withdrawal</v>
      </c>
      <c r="H1446" s="12" t="str">
        <f>TEXT(Raw_Data!A1452,"hh:mm:ss")
</f>
        <v>14:17:21</v>
      </c>
      <c r="I1446" s="20">
        <f t="shared" si="4"/>
        <v>200</v>
      </c>
    </row>
    <row r="1447">
      <c r="A1447" s="12" t="str">
        <f>Raw_Data!A1453</f>
        <v>14 Oct 2025 16:13:21</v>
      </c>
      <c r="B1447" s="12" t="str">
        <f t="shared" si="1"/>
        <v>October</v>
      </c>
      <c r="C1447" s="12">
        <f t="shared" si="2"/>
        <v>10</v>
      </c>
      <c r="D1447" s="12" t="str">
        <f>IFERROR(__xludf.DUMMYFUNCTION("IFERROR(IF(REGEXMATCH(LOWER(Raw_Data!C1453),""fixed deposit|owealth|savings|target""),""Fixed Deposit"",IF(REGEXMATCH(LOWER(Raw_Data!C1453),""airtime""),""Airtime"",IF(REGEXMATCH(LOWER(Raw_Data!C1453),""electronic money transfer levy""),""Electronic Money"&amp;" Transfer Levy"",IF(REGEXMATCH(LOWER(Raw_Data!C1453),""transfer|trf|send""),""Transfer"",""Other"")))),""Other"")"),"Airtime")</f>
        <v>Airtime</v>
      </c>
      <c r="E1447" s="20">
        <v>500.0</v>
      </c>
      <c r="F1447" s="20">
        <v>0.0</v>
      </c>
      <c r="G1447" s="12" t="str">
        <f t="shared" si="3"/>
        <v>Withdrawal</v>
      </c>
      <c r="H1447" s="12" t="str">
        <f>TEXT(Raw_Data!A1453,"hh:mm:ss")
</f>
        <v>16:13:21</v>
      </c>
      <c r="I1447" s="20">
        <f t="shared" si="4"/>
        <v>500</v>
      </c>
    </row>
    <row r="1448">
      <c r="A1448" s="12" t="str">
        <f>Raw_Data!A1454</f>
        <v>15 Oct 2025 06:55:20</v>
      </c>
      <c r="B1448" s="12" t="str">
        <f t="shared" si="1"/>
        <v>October</v>
      </c>
      <c r="C1448" s="12">
        <f t="shared" si="2"/>
        <v>10</v>
      </c>
      <c r="D1448" s="12" t="str">
        <f>IFERROR(__xludf.DUMMYFUNCTION("IFERROR(IF(REGEXMATCH(LOWER(Raw_Data!C1454),""fixed deposit|owealth|savings|target""),""Fixed Deposit"",IF(REGEXMATCH(LOWER(Raw_Data!C1454),""airtime""),""Airtime"",IF(REGEXMATCH(LOWER(Raw_Data!C1454),""electronic money transfer levy""),""Electronic Money"&amp;" Transfer Levy"",IF(REGEXMATCH(LOWER(Raw_Data!C1454),""transfer|trf|send""),""Transfer"",""Other"")))),""Other"")"),"Transfer")</f>
        <v>Transfer</v>
      </c>
      <c r="E1448" s="20">
        <v>200.0</v>
      </c>
      <c r="F1448" s="20">
        <v>0.0</v>
      </c>
      <c r="G1448" s="12" t="str">
        <f t="shared" si="3"/>
        <v>Withdrawal</v>
      </c>
      <c r="H1448" s="12" t="str">
        <f>TEXT(Raw_Data!A1454,"hh:mm:ss")
</f>
        <v>06:55:20</v>
      </c>
      <c r="I1448" s="20">
        <f t="shared" si="4"/>
        <v>200</v>
      </c>
    </row>
    <row r="1449">
      <c r="A1449" s="12" t="str">
        <f>Raw_Data!A1455</f>
        <v>15 Oct 2025 10:31:31</v>
      </c>
      <c r="B1449" s="12" t="str">
        <f t="shared" si="1"/>
        <v>October</v>
      </c>
      <c r="C1449" s="12">
        <f t="shared" si="2"/>
        <v>10</v>
      </c>
      <c r="D1449" s="12" t="str">
        <f>IFERROR(__xludf.DUMMYFUNCTION("IFERROR(IF(REGEXMATCH(LOWER(Raw_Data!C1455),""fixed deposit|owealth|savings|target""),""Fixed Deposit"",IF(REGEXMATCH(LOWER(Raw_Data!C1455),""airtime""),""Airtime"",IF(REGEXMATCH(LOWER(Raw_Data!C1455),""electronic money transfer levy""),""Electronic Money"&amp;" Transfer Levy"",IF(REGEXMATCH(LOWER(Raw_Data!C1455),""transfer|trf|send""),""Transfer"",""Other"")))),""Other"")"),"Transfer")</f>
        <v>Transfer</v>
      </c>
      <c r="E1449" s="20">
        <v>0.0</v>
      </c>
      <c r="F1449" s="20">
        <v>650.0</v>
      </c>
      <c r="G1449" s="12" t="str">
        <f t="shared" si="3"/>
        <v>Deposit</v>
      </c>
      <c r="H1449" s="12" t="str">
        <f>TEXT(Raw_Data!A1455,"hh:mm:ss")
</f>
        <v>10:31:31</v>
      </c>
      <c r="I1449" s="20">
        <f t="shared" si="4"/>
        <v>650</v>
      </c>
    </row>
    <row r="1450">
      <c r="A1450" s="12" t="str">
        <f>Raw_Data!A1456</f>
        <v>15 Oct 2025 10:31:45</v>
      </c>
      <c r="B1450" s="12" t="str">
        <f t="shared" si="1"/>
        <v>October</v>
      </c>
      <c r="C1450" s="12">
        <f t="shared" si="2"/>
        <v>10</v>
      </c>
      <c r="D1450" s="12" t="str">
        <f>IFERROR(__xludf.DUMMYFUNCTION("IFERROR(IF(REGEXMATCH(LOWER(Raw_Data!C1456),""fixed deposit|owealth|savings|target""),""Fixed Deposit"",IF(REGEXMATCH(LOWER(Raw_Data!C1456),""airtime""),""Airtime"",IF(REGEXMATCH(LOWER(Raw_Data!C1456),""electronic money transfer levy""),""Electronic Money"&amp;" Transfer Levy"",IF(REGEXMATCH(LOWER(Raw_Data!C1456),""transfer|trf|send""),""Transfer"",""Other"")))),""Other"")"),"Transfer")</f>
        <v>Transfer</v>
      </c>
      <c r="E1450" s="20">
        <v>650.0</v>
      </c>
      <c r="F1450" s="20">
        <v>0.0</v>
      </c>
      <c r="G1450" s="12" t="str">
        <f t="shared" si="3"/>
        <v>Withdrawal</v>
      </c>
      <c r="H1450" s="12" t="str">
        <f>TEXT(Raw_Data!A1456,"hh:mm:ss")
</f>
        <v>10:31:45</v>
      </c>
      <c r="I1450" s="20">
        <f t="shared" si="4"/>
        <v>650</v>
      </c>
    </row>
    <row r="1451">
      <c r="A1451" s="12" t="str">
        <f>Raw_Data!A1457</f>
        <v>15 Oct 2025 15:00:10</v>
      </c>
      <c r="B1451" s="12" t="str">
        <f t="shared" si="1"/>
        <v>October</v>
      </c>
      <c r="C1451" s="12">
        <f t="shared" si="2"/>
        <v>10</v>
      </c>
      <c r="D1451" s="12" t="str">
        <f>IFERROR(__xludf.DUMMYFUNCTION("IFERROR(IF(REGEXMATCH(LOWER(Raw_Data!C1457),""fixed deposit|owealth|savings|target""),""Fixed Deposit"",IF(REGEXMATCH(LOWER(Raw_Data!C1457),""airtime""),""Airtime"",IF(REGEXMATCH(LOWER(Raw_Data!C1457),""electronic money transfer levy""),""Electronic Money"&amp;" Transfer Levy"",IF(REGEXMATCH(LOWER(Raw_Data!C1457),""transfer|trf|send""),""Transfer"",""Other"")))),""Other"")"),"Airtime")</f>
        <v>Airtime</v>
      </c>
      <c r="E1451" s="20">
        <v>300.0</v>
      </c>
      <c r="F1451" s="20">
        <v>0.0</v>
      </c>
      <c r="G1451" s="12" t="str">
        <f t="shared" si="3"/>
        <v>Withdrawal</v>
      </c>
      <c r="H1451" s="12" t="str">
        <f>TEXT(Raw_Data!A1457,"hh:mm:ss")
</f>
        <v>15:00:10</v>
      </c>
      <c r="I1451" s="20">
        <f t="shared" si="4"/>
        <v>300</v>
      </c>
    </row>
    <row r="1452">
      <c r="A1452" s="12" t="str">
        <f>Raw_Data!A1458</f>
        <v>15 Oct 2025 16:08:27</v>
      </c>
      <c r="B1452" s="12" t="str">
        <f t="shared" si="1"/>
        <v>October</v>
      </c>
      <c r="C1452" s="12">
        <f t="shared" si="2"/>
        <v>10</v>
      </c>
      <c r="D1452" s="12" t="str">
        <f>IFERROR(__xludf.DUMMYFUNCTION("IFERROR(IF(REGEXMATCH(LOWER(Raw_Data!C1458),""fixed deposit|owealth|savings|target""),""Fixed Deposit"",IF(REGEXMATCH(LOWER(Raw_Data!C1458),""airtime""),""Airtime"",IF(REGEXMATCH(LOWER(Raw_Data!C1458),""electronic money transfer levy""),""Electronic Money"&amp;" Transfer Levy"",IF(REGEXMATCH(LOWER(Raw_Data!C1458),""transfer|trf|send""),""Transfer"",""Other"")))),""Other"")"),"Transfer")</f>
        <v>Transfer</v>
      </c>
      <c r="E1452" s="20">
        <v>0.0</v>
      </c>
      <c r="F1452" s="20">
        <v>2000.0</v>
      </c>
      <c r="G1452" s="12" t="str">
        <f t="shared" si="3"/>
        <v>Deposit</v>
      </c>
      <c r="H1452" s="12" t="str">
        <f>TEXT(Raw_Data!A1458,"hh:mm:ss")
</f>
        <v>16:08:27</v>
      </c>
      <c r="I1452" s="20">
        <f t="shared" si="4"/>
        <v>2000</v>
      </c>
    </row>
    <row r="1453">
      <c r="A1453" s="12" t="str">
        <f>Raw_Data!A1459</f>
        <v>15 Oct 2025 16:26:38</v>
      </c>
      <c r="B1453" s="12" t="str">
        <f t="shared" si="1"/>
        <v>October</v>
      </c>
      <c r="C1453" s="12">
        <f t="shared" si="2"/>
        <v>10</v>
      </c>
      <c r="D1453" s="12" t="str">
        <f>IFERROR(__xludf.DUMMYFUNCTION("IFERROR(IF(REGEXMATCH(LOWER(Raw_Data!C1459),""fixed deposit|owealth|savings|target""),""Fixed Deposit"",IF(REGEXMATCH(LOWER(Raw_Data!C1459),""airtime""),""Airtime"",IF(REGEXMATCH(LOWER(Raw_Data!C1459),""electronic money transfer levy""),""Electronic Money"&amp;" Transfer Levy"",IF(REGEXMATCH(LOWER(Raw_Data!C1459),""transfer|trf|send""),""Transfer"",""Other"")))),""Other"")"),"Transfer")</f>
        <v>Transfer</v>
      </c>
      <c r="E1453" s="20">
        <v>850.0</v>
      </c>
      <c r="F1453" s="20">
        <v>0.0</v>
      </c>
      <c r="G1453" s="12" t="str">
        <f t="shared" si="3"/>
        <v>Withdrawal</v>
      </c>
      <c r="H1453" s="12" t="str">
        <f>TEXT(Raw_Data!A1459,"hh:mm:ss")
</f>
        <v>16:26:38</v>
      </c>
      <c r="I1453" s="20">
        <f t="shared" si="4"/>
        <v>850</v>
      </c>
    </row>
    <row r="1454">
      <c r="A1454" s="12" t="str">
        <f>Raw_Data!A1460</f>
        <v>15 Oct 2025 20:20:33</v>
      </c>
      <c r="B1454" s="12" t="str">
        <f t="shared" si="1"/>
        <v>October</v>
      </c>
      <c r="C1454" s="12">
        <f t="shared" si="2"/>
        <v>10</v>
      </c>
      <c r="D1454" s="12" t="str">
        <f>IFERROR(__xludf.DUMMYFUNCTION("IFERROR(IF(REGEXMATCH(LOWER(Raw_Data!C1460),""fixed deposit|owealth|savings|target""),""Fixed Deposit"",IF(REGEXMATCH(LOWER(Raw_Data!C1460),""airtime""),""Airtime"",IF(REGEXMATCH(LOWER(Raw_Data!C1460),""electronic money transfer levy""),""Electronic Money"&amp;" Transfer Levy"",IF(REGEXMATCH(LOWER(Raw_Data!C1460),""transfer|trf|send""),""Transfer"",""Other"")))),""Other"")"),"Transfer")</f>
        <v>Transfer</v>
      </c>
      <c r="E1454" s="20">
        <v>150.0</v>
      </c>
      <c r="F1454" s="20">
        <v>0.0</v>
      </c>
      <c r="G1454" s="12" t="str">
        <f t="shared" si="3"/>
        <v>Withdrawal</v>
      </c>
      <c r="H1454" s="12" t="str">
        <f>TEXT(Raw_Data!A1460,"hh:mm:ss")
</f>
        <v>20:20:33</v>
      </c>
      <c r="I1454" s="20">
        <f t="shared" si="4"/>
        <v>150</v>
      </c>
    </row>
    <row r="1455">
      <c r="A1455" s="12" t="str">
        <f>Raw_Data!A1461</f>
        <v>16 Oct 2025 09:30:50</v>
      </c>
      <c r="B1455" s="12" t="str">
        <f t="shared" si="1"/>
        <v>October</v>
      </c>
      <c r="C1455" s="12">
        <f t="shared" si="2"/>
        <v>10</v>
      </c>
      <c r="D1455" s="12" t="str">
        <f>IFERROR(__xludf.DUMMYFUNCTION("IFERROR(IF(REGEXMATCH(LOWER(Raw_Data!C1461),""fixed deposit|owealth|savings|target""),""Fixed Deposit"",IF(REGEXMATCH(LOWER(Raw_Data!C1461),""airtime""),""Airtime"",IF(REGEXMATCH(LOWER(Raw_Data!C1461),""electronic money transfer levy""),""Electronic Money"&amp;" Transfer Levy"",IF(REGEXMATCH(LOWER(Raw_Data!C1461),""transfer|trf|send""),""Transfer"",""Other"")))),""Other"")"),"Transfer")</f>
        <v>Transfer</v>
      </c>
      <c r="E1455" s="20">
        <v>100.0</v>
      </c>
      <c r="F1455" s="20">
        <v>0.0</v>
      </c>
      <c r="G1455" s="12" t="str">
        <f t="shared" si="3"/>
        <v>Withdrawal</v>
      </c>
      <c r="H1455" s="12" t="str">
        <f>TEXT(Raw_Data!A1461,"hh:mm:ss")
</f>
        <v>09:30:50</v>
      </c>
      <c r="I1455" s="20">
        <f t="shared" si="4"/>
        <v>100</v>
      </c>
    </row>
    <row r="1456">
      <c r="A1456" s="12" t="str">
        <f>Raw_Data!A1462</f>
        <v>16 Oct 2025 11:20:41</v>
      </c>
      <c r="B1456" s="12" t="str">
        <f t="shared" si="1"/>
        <v>October</v>
      </c>
      <c r="C1456" s="12">
        <f t="shared" si="2"/>
        <v>10</v>
      </c>
      <c r="D1456" s="12" t="str">
        <f>IFERROR(__xludf.DUMMYFUNCTION("IFERROR(IF(REGEXMATCH(LOWER(Raw_Data!C1462),""fixed deposit|owealth|savings|target""),""Fixed Deposit"",IF(REGEXMATCH(LOWER(Raw_Data!C1462),""airtime""),""Airtime"",IF(REGEXMATCH(LOWER(Raw_Data!C1462),""electronic money transfer levy""),""Electronic Money"&amp;" Transfer Levy"",IF(REGEXMATCH(LOWER(Raw_Data!C1462),""transfer|trf|send""),""Transfer"",""Other"")))),""Other"")"),"Transfer")</f>
        <v>Transfer</v>
      </c>
      <c r="E1456" s="20">
        <v>1600.0</v>
      </c>
      <c r="F1456" s="20">
        <v>0.0</v>
      </c>
      <c r="G1456" s="12" t="str">
        <f t="shared" si="3"/>
        <v>Withdrawal</v>
      </c>
      <c r="H1456" s="12" t="str">
        <f>TEXT(Raw_Data!A1462,"hh:mm:ss")
</f>
        <v>11:20:41</v>
      </c>
      <c r="I1456" s="20">
        <f t="shared" si="4"/>
        <v>1600</v>
      </c>
    </row>
    <row r="1457">
      <c r="A1457" s="12" t="str">
        <f>Raw_Data!A1463</f>
        <v>16 Oct 2025 15:29:10</v>
      </c>
      <c r="B1457" s="12" t="str">
        <f t="shared" si="1"/>
        <v>October</v>
      </c>
      <c r="C1457" s="12">
        <f t="shared" si="2"/>
        <v>10</v>
      </c>
      <c r="D1457" s="12" t="str">
        <f>IFERROR(__xludf.DUMMYFUNCTION("IFERROR(IF(REGEXMATCH(LOWER(Raw_Data!C1463),""fixed deposit|owealth|savings|target""),""Fixed Deposit"",IF(REGEXMATCH(LOWER(Raw_Data!C1463),""airtime""),""Airtime"",IF(REGEXMATCH(LOWER(Raw_Data!C1463),""electronic money transfer levy""),""Electronic Money"&amp;" Transfer Levy"",IF(REGEXMATCH(LOWER(Raw_Data!C1463),""transfer|trf|send""),""Transfer"",""Other"")))),""Other"")"),"Airtime")</f>
        <v>Airtime</v>
      </c>
      <c r="E1457" s="20">
        <v>200.0</v>
      </c>
      <c r="F1457" s="20">
        <v>0.0</v>
      </c>
      <c r="G1457" s="12" t="str">
        <f t="shared" si="3"/>
        <v>Withdrawal</v>
      </c>
      <c r="H1457" s="12" t="str">
        <f>TEXT(Raw_Data!A1463,"hh:mm:ss")
</f>
        <v>15:29:10</v>
      </c>
      <c r="I1457" s="20">
        <f t="shared" si="4"/>
        <v>200</v>
      </c>
    </row>
    <row r="1458">
      <c r="A1458" s="12" t="str">
        <f>Raw_Data!A1464</f>
        <v>17 Oct 2025 08:22:09</v>
      </c>
      <c r="B1458" s="12" t="str">
        <f t="shared" si="1"/>
        <v>October</v>
      </c>
      <c r="C1458" s="12">
        <f t="shared" si="2"/>
        <v>10</v>
      </c>
      <c r="D1458" s="12" t="str">
        <f>IFERROR(__xludf.DUMMYFUNCTION("IFERROR(IF(REGEXMATCH(LOWER(Raw_Data!C1464),""fixed deposit|owealth|savings|target""),""Fixed Deposit"",IF(REGEXMATCH(LOWER(Raw_Data!C1464),""airtime""),""Airtime"",IF(REGEXMATCH(LOWER(Raw_Data!C1464),""electronic money transfer levy""),""Electronic Money"&amp;" Transfer Levy"",IF(REGEXMATCH(LOWER(Raw_Data!C1464),""transfer|trf|send""),""Transfer"",""Other"")))),""Other"")"),"Transfer")</f>
        <v>Transfer</v>
      </c>
      <c r="E1458" s="20">
        <v>200.0</v>
      </c>
      <c r="F1458" s="20">
        <v>0.0</v>
      </c>
      <c r="G1458" s="12" t="str">
        <f t="shared" si="3"/>
        <v>Withdrawal</v>
      </c>
      <c r="H1458" s="12" t="str">
        <f>TEXT(Raw_Data!A1464,"hh:mm:ss")
</f>
        <v>08:22:09</v>
      </c>
      <c r="I1458" s="20">
        <f t="shared" si="4"/>
        <v>200</v>
      </c>
    </row>
    <row r="1459">
      <c r="A1459" s="12" t="str">
        <f>Raw_Data!A1465</f>
        <v>17 Oct 2025 21:11:21</v>
      </c>
      <c r="B1459" s="12" t="str">
        <f t="shared" si="1"/>
        <v>October</v>
      </c>
      <c r="C1459" s="12">
        <f t="shared" si="2"/>
        <v>10</v>
      </c>
      <c r="D1459" s="12" t="str">
        <f>IFERROR(__xludf.DUMMYFUNCTION("IFERROR(IF(REGEXMATCH(LOWER(Raw_Data!C1465),""fixed deposit|owealth|savings|target""),""Fixed Deposit"",IF(REGEXMATCH(LOWER(Raw_Data!C1465),""airtime""),""Airtime"",IF(REGEXMATCH(LOWER(Raw_Data!C1465),""electronic money transfer levy""),""Electronic Money"&amp;" Transfer Levy"",IF(REGEXMATCH(LOWER(Raw_Data!C1465),""transfer|trf|send""),""Transfer"",""Other"")))),""Other"")"),"Transfer")</f>
        <v>Transfer</v>
      </c>
      <c r="E1459" s="20">
        <v>0.0</v>
      </c>
      <c r="F1459" s="20">
        <v>1500.0</v>
      </c>
      <c r="G1459" s="12" t="str">
        <f t="shared" si="3"/>
        <v>Deposit</v>
      </c>
      <c r="H1459" s="12" t="str">
        <f>TEXT(Raw_Data!A1465,"hh:mm:ss")
</f>
        <v>21:11:21</v>
      </c>
      <c r="I1459" s="20">
        <f t="shared" si="4"/>
        <v>1500</v>
      </c>
    </row>
    <row r="1460">
      <c r="A1460" s="12" t="str">
        <f>Raw_Data!A1466</f>
        <v>18 Oct 2025 07:36:51</v>
      </c>
      <c r="B1460" s="12" t="str">
        <f t="shared" si="1"/>
        <v>October</v>
      </c>
      <c r="C1460" s="12">
        <f t="shared" si="2"/>
        <v>10</v>
      </c>
      <c r="D1460" s="12" t="str">
        <f>IFERROR(__xludf.DUMMYFUNCTION("IFERROR(IF(REGEXMATCH(LOWER(Raw_Data!C1466),""fixed deposit|owealth|savings|target""),""Fixed Deposit"",IF(REGEXMATCH(LOWER(Raw_Data!C1466),""airtime""),""Airtime"",IF(REGEXMATCH(LOWER(Raw_Data!C1466),""electronic money transfer levy""),""Electronic Money"&amp;" Transfer Levy"",IF(REGEXMATCH(LOWER(Raw_Data!C1466),""transfer|trf|send""),""Transfer"",""Other"")))),""Other"")"),"Transfer")</f>
        <v>Transfer</v>
      </c>
      <c r="E1460" s="20">
        <v>200.0</v>
      </c>
      <c r="F1460" s="20">
        <v>0.0</v>
      </c>
      <c r="G1460" s="12" t="str">
        <f t="shared" si="3"/>
        <v>Withdrawal</v>
      </c>
      <c r="H1460" s="12" t="str">
        <f>TEXT(Raw_Data!A1466,"hh:mm:ss")
</f>
        <v>07:36:51</v>
      </c>
      <c r="I1460" s="20">
        <f t="shared" si="4"/>
        <v>200</v>
      </c>
    </row>
    <row r="1461">
      <c r="A1461" s="12" t="str">
        <f>Raw_Data!A1467</f>
        <v>18 Oct 2025 08:15:34</v>
      </c>
      <c r="B1461" s="12" t="str">
        <f t="shared" si="1"/>
        <v>October</v>
      </c>
      <c r="C1461" s="12">
        <f t="shared" si="2"/>
        <v>10</v>
      </c>
      <c r="D1461" s="12" t="str">
        <f>IFERROR(__xludf.DUMMYFUNCTION("IFERROR(IF(REGEXMATCH(LOWER(Raw_Data!C1467),""fixed deposit|owealth|savings|target""),""Fixed Deposit"",IF(REGEXMATCH(LOWER(Raw_Data!C1467),""airtime""),""Airtime"",IF(REGEXMATCH(LOWER(Raw_Data!C1467),""electronic money transfer levy""),""Electronic Money"&amp;" Transfer Levy"",IF(REGEXMATCH(LOWER(Raw_Data!C1467),""transfer|trf|send""),""Transfer"",""Other"")))),""Other"")"),"Airtime")</f>
        <v>Airtime</v>
      </c>
      <c r="E1461" s="20">
        <v>200.0</v>
      </c>
      <c r="F1461" s="20">
        <v>0.0</v>
      </c>
      <c r="G1461" s="12" t="str">
        <f t="shared" si="3"/>
        <v>Withdrawal</v>
      </c>
      <c r="H1461" s="12" t="str">
        <f>TEXT(Raw_Data!A1467,"hh:mm:ss")
</f>
        <v>08:15:34</v>
      </c>
      <c r="I1461" s="20">
        <f t="shared" si="4"/>
        <v>200</v>
      </c>
    </row>
    <row r="1462">
      <c r="A1462" s="12" t="str">
        <f>Raw_Data!A1468</f>
        <v>18 Oct 2025 10:01:40</v>
      </c>
      <c r="B1462" s="12" t="str">
        <f t="shared" si="1"/>
        <v>October</v>
      </c>
      <c r="C1462" s="12">
        <f t="shared" si="2"/>
        <v>10</v>
      </c>
      <c r="D1462" s="12" t="str">
        <f>IFERROR(__xludf.DUMMYFUNCTION("IFERROR(IF(REGEXMATCH(LOWER(Raw_Data!C1468),""fixed deposit|owealth|savings|target""),""Fixed Deposit"",IF(REGEXMATCH(LOWER(Raw_Data!C1468),""airtime""),""Airtime"",IF(REGEXMATCH(LOWER(Raw_Data!C1468),""electronic money transfer levy""),""Electronic Money"&amp;" Transfer Levy"",IF(REGEXMATCH(LOWER(Raw_Data!C1468),""transfer|trf|send""),""Transfer"",""Other"")))),""Other"")"),"Transfer")</f>
        <v>Transfer</v>
      </c>
      <c r="E1462" s="20">
        <v>2100.0</v>
      </c>
      <c r="F1462" s="20">
        <v>0.0</v>
      </c>
      <c r="G1462" s="12" t="str">
        <f t="shared" si="3"/>
        <v>Withdrawal</v>
      </c>
      <c r="H1462" s="12" t="str">
        <f>TEXT(Raw_Data!A1468,"hh:mm:ss")
</f>
        <v>10:01:40</v>
      </c>
      <c r="I1462" s="20">
        <f t="shared" si="4"/>
        <v>2100</v>
      </c>
    </row>
    <row r="1463">
      <c r="A1463" s="12" t="str">
        <f>Raw_Data!A1469</f>
        <v>18 Oct 2025 11:49:50</v>
      </c>
      <c r="B1463" s="12" t="str">
        <f t="shared" si="1"/>
        <v>October</v>
      </c>
      <c r="C1463" s="12">
        <f t="shared" si="2"/>
        <v>10</v>
      </c>
      <c r="D1463" s="12" t="str">
        <f>IFERROR(__xludf.DUMMYFUNCTION("IFERROR(IF(REGEXMATCH(LOWER(Raw_Data!C1469),""fixed deposit|owealth|savings|target""),""Fixed Deposit"",IF(REGEXMATCH(LOWER(Raw_Data!C1469),""airtime""),""Airtime"",IF(REGEXMATCH(LOWER(Raw_Data!C1469),""electronic money transfer levy""),""Electronic Money"&amp;" Transfer Levy"",IF(REGEXMATCH(LOWER(Raw_Data!C1469),""transfer|trf|send""),""Transfer"",""Other"")))),""Other"")"),"Transfer")</f>
        <v>Transfer</v>
      </c>
      <c r="E1463" s="20">
        <v>0.0</v>
      </c>
      <c r="F1463" s="20">
        <v>2000.0</v>
      </c>
      <c r="G1463" s="12" t="str">
        <f t="shared" si="3"/>
        <v>Deposit</v>
      </c>
      <c r="H1463" s="12" t="str">
        <f>TEXT(Raw_Data!A1469,"hh:mm:ss")
</f>
        <v>11:49:50</v>
      </c>
      <c r="I1463" s="20">
        <f t="shared" si="4"/>
        <v>2000</v>
      </c>
    </row>
    <row r="1464">
      <c r="A1464" s="12" t="str">
        <f>Raw_Data!A1470</f>
        <v>18 Oct 2025 11:52:05</v>
      </c>
      <c r="B1464" s="12" t="str">
        <f t="shared" si="1"/>
        <v>October</v>
      </c>
      <c r="C1464" s="12">
        <f t="shared" si="2"/>
        <v>10</v>
      </c>
      <c r="D1464" s="12" t="str">
        <f>IFERROR(__xludf.DUMMYFUNCTION("IFERROR(IF(REGEXMATCH(LOWER(Raw_Data!C1470),""fixed deposit|owealth|savings|target""),""Fixed Deposit"",IF(REGEXMATCH(LOWER(Raw_Data!C1470),""airtime""),""Airtime"",IF(REGEXMATCH(LOWER(Raw_Data!C1470),""electronic money transfer levy""),""Electronic Money"&amp;" Transfer Levy"",IF(REGEXMATCH(LOWER(Raw_Data!C1470),""transfer|trf|send""),""Transfer"",""Other"")))),""Other"")"),"Transfer")</f>
        <v>Transfer</v>
      </c>
      <c r="E1464" s="20">
        <v>1000.0</v>
      </c>
      <c r="F1464" s="20">
        <v>0.0</v>
      </c>
      <c r="G1464" s="12" t="str">
        <f t="shared" si="3"/>
        <v>Withdrawal</v>
      </c>
      <c r="H1464" s="12" t="str">
        <f>TEXT(Raw_Data!A1470,"hh:mm:ss")
</f>
        <v>11:52:05</v>
      </c>
      <c r="I1464" s="20">
        <f t="shared" si="4"/>
        <v>1000</v>
      </c>
    </row>
    <row r="1465">
      <c r="A1465" s="12" t="str">
        <f>Raw_Data!A1471</f>
        <v>18 Oct 2025 13:01:11</v>
      </c>
      <c r="B1465" s="12" t="str">
        <f t="shared" si="1"/>
        <v>October</v>
      </c>
      <c r="C1465" s="12">
        <f t="shared" si="2"/>
        <v>10</v>
      </c>
      <c r="D1465" s="12" t="str">
        <f>IFERROR(__xludf.DUMMYFUNCTION("IFERROR(IF(REGEXMATCH(LOWER(Raw_Data!C1471),""fixed deposit|owealth|savings|target""),""Fixed Deposit"",IF(REGEXMATCH(LOWER(Raw_Data!C1471),""airtime""),""Airtime"",IF(REGEXMATCH(LOWER(Raw_Data!C1471),""electronic money transfer levy""),""Electronic Money"&amp;" Transfer Levy"",IF(REGEXMATCH(LOWER(Raw_Data!C1471),""transfer|trf|send""),""Transfer"",""Other"")))),""Other"")"),"Transfer")</f>
        <v>Transfer</v>
      </c>
      <c r="E1465" s="20">
        <v>500.0</v>
      </c>
      <c r="F1465" s="20">
        <v>0.0</v>
      </c>
      <c r="G1465" s="12" t="str">
        <f t="shared" si="3"/>
        <v>Withdrawal</v>
      </c>
      <c r="H1465" s="12" t="str">
        <f>TEXT(Raw_Data!A1471,"hh:mm:ss")
</f>
        <v>13:01:11</v>
      </c>
      <c r="I1465" s="20">
        <f t="shared" si="4"/>
        <v>500</v>
      </c>
    </row>
    <row r="1466">
      <c r="A1466" s="12" t="str">
        <f>Raw_Data!A1472</f>
        <v>18 Oct 2025 13:01:26</v>
      </c>
      <c r="B1466" s="12" t="str">
        <f t="shared" si="1"/>
        <v>October</v>
      </c>
      <c r="C1466" s="12">
        <f t="shared" si="2"/>
        <v>10</v>
      </c>
      <c r="D1466" s="12" t="str">
        <f>IFERROR(__xludf.DUMMYFUNCTION("IFERROR(IF(REGEXMATCH(LOWER(Raw_Data!C1472),""fixed deposit|owealth|savings|target""),""Fixed Deposit"",IF(REGEXMATCH(LOWER(Raw_Data!C1472),""airtime""),""Airtime"",IF(REGEXMATCH(LOWER(Raw_Data!C1472),""electronic money transfer levy""),""Electronic Money"&amp;" Transfer Levy"",IF(REGEXMATCH(LOWER(Raw_Data!C1472),""transfer|trf|send""),""Transfer"",""Other"")))),""Other"")"),"Airtime")</f>
        <v>Airtime</v>
      </c>
      <c r="E1466" s="20">
        <v>300.0</v>
      </c>
      <c r="F1466" s="20">
        <v>0.0</v>
      </c>
      <c r="G1466" s="12" t="str">
        <f t="shared" si="3"/>
        <v>Withdrawal</v>
      </c>
      <c r="H1466" s="12" t="str">
        <f>TEXT(Raw_Data!A1472,"hh:mm:ss")
</f>
        <v>13:01:26</v>
      </c>
      <c r="I1466" s="20">
        <f t="shared" si="4"/>
        <v>300</v>
      </c>
    </row>
    <row r="1467">
      <c r="A1467" s="12" t="str">
        <f>Raw_Data!A1473</f>
        <v>18 Oct 2025 17:29:54</v>
      </c>
      <c r="B1467" s="12" t="str">
        <f t="shared" si="1"/>
        <v>October</v>
      </c>
      <c r="C1467" s="12">
        <f t="shared" si="2"/>
        <v>10</v>
      </c>
      <c r="D1467" s="12" t="str">
        <f>IFERROR(__xludf.DUMMYFUNCTION("IFERROR(IF(REGEXMATCH(LOWER(Raw_Data!C1473),""fixed deposit|owealth|savings|target""),""Fixed Deposit"",IF(REGEXMATCH(LOWER(Raw_Data!C1473),""airtime""),""Airtime"",IF(REGEXMATCH(LOWER(Raw_Data!C1473),""electronic money transfer levy""),""Electronic Money"&amp;" Transfer Levy"",IF(REGEXMATCH(LOWER(Raw_Data!C1473),""transfer|trf|send""),""Transfer"",""Other"")))),""Other"")"),"Airtime")</f>
        <v>Airtime</v>
      </c>
      <c r="E1467" s="20">
        <v>200.0</v>
      </c>
      <c r="F1467" s="20">
        <v>0.0</v>
      </c>
      <c r="G1467" s="12" t="str">
        <f t="shared" si="3"/>
        <v>Withdrawal</v>
      </c>
      <c r="H1467" s="12" t="str">
        <f>TEXT(Raw_Data!A1473,"hh:mm:ss")
</f>
        <v>17:29:54</v>
      </c>
      <c r="I1467" s="20">
        <f t="shared" si="4"/>
        <v>200</v>
      </c>
    </row>
    <row r="1468">
      <c r="A1468" s="12" t="str">
        <f>Raw_Data!A1474</f>
        <v>19 Oct 2025 09:27:42</v>
      </c>
      <c r="B1468" s="12" t="str">
        <f t="shared" si="1"/>
        <v>October</v>
      </c>
      <c r="C1468" s="12">
        <f t="shared" si="2"/>
        <v>10</v>
      </c>
      <c r="D1468" s="12" t="str">
        <f>IFERROR(__xludf.DUMMYFUNCTION("IFERROR(IF(REGEXMATCH(LOWER(Raw_Data!C1474),""fixed deposit|owealth|savings|target""),""Fixed Deposit"",IF(REGEXMATCH(LOWER(Raw_Data!C1474),""airtime""),""Airtime"",IF(REGEXMATCH(LOWER(Raw_Data!C1474),""electronic money transfer levy""),""Electronic Money"&amp;" Transfer Levy"",IF(REGEXMATCH(LOWER(Raw_Data!C1474),""transfer|trf|send""),""Transfer"",""Other"")))),""Other"")"),"Transfer")</f>
        <v>Transfer</v>
      </c>
      <c r="E1468" s="20">
        <v>0.0</v>
      </c>
      <c r="F1468" s="20">
        <v>1100.0</v>
      </c>
      <c r="G1468" s="12" t="str">
        <f t="shared" si="3"/>
        <v>Deposit</v>
      </c>
      <c r="H1468" s="12" t="str">
        <f>TEXT(Raw_Data!A1474,"hh:mm:ss")
</f>
        <v>09:27:42</v>
      </c>
      <c r="I1468" s="20">
        <f t="shared" si="4"/>
        <v>1100</v>
      </c>
    </row>
    <row r="1469">
      <c r="A1469" s="12" t="str">
        <f>Raw_Data!A1475</f>
        <v>19 Oct 2025 09:30:15</v>
      </c>
      <c r="B1469" s="12" t="str">
        <f t="shared" si="1"/>
        <v>October</v>
      </c>
      <c r="C1469" s="12">
        <f t="shared" si="2"/>
        <v>10</v>
      </c>
      <c r="D1469" s="12" t="str">
        <f>IFERROR(__xludf.DUMMYFUNCTION("IFERROR(IF(REGEXMATCH(LOWER(Raw_Data!C1475),""fixed deposit|owealth|savings|target""),""Fixed Deposit"",IF(REGEXMATCH(LOWER(Raw_Data!C1475),""airtime""),""Airtime"",IF(REGEXMATCH(LOWER(Raw_Data!C1475),""electronic money transfer levy""),""Electronic Money"&amp;" Transfer Levy"",IF(REGEXMATCH(LOWER(Raw_Data!C1475),""transfer|trf|send""),""Transfer"",""Other"")))),""Other"")"),"Airtime")</f>
        <v>Airtime</v>
      </c>
      <c r="E1469" s="20">
        <v>200.0</v>
      </c>
      <c r="F1469" s="20">
        <v>0.0</v>
      </c>
      <c r="G1469" s="12" t="str">
        <f t="shared" si="3"/>
        <v>Withdrawal</v>
      </c>
      <c r="H1469" s="12" t="str">
        <f>TEXT(Raw_Data!A1475,"hh:mm:ss")
</f>
        <v>09:30:15</v>
      </c>
      <c r="I1469" s="20">
        <f t="shared" si="4"/>
        <v>200</v>
      </c>
    </row>
    <row r="1470">
      <c r="A1470" s="12" t="str">
        <f>Raw_Data!A1476</f>
        <v>19 Oct 2025 09:47:20</v>
      </c>
      <c r="B1470" s="12" t="str">
        <f t="shared" si="1"/>
        <v>October</v>
      </c>
      <c r="C1470" s="12">
        <f t="shared" si="2"/>
        <v>10</v>
      </c>
      <c r="D1470" s="12" t="str">
        <f>IFERROR(__xludf.DUMMYFUNCTION("IFERROR(IF(REGEXMATCH(LOWER(Raw_Data!C1476),""fixed deposit|owealth|savings|target""),""Fixed Deposit"",IF(REGEXMATCH(LOWER(Raw_Data!C1476),""airtime""),""Airtime"",IF(REGEXMATCH(LOWER(Raw_Data!C1476),""electronic money transfer levy""),""Electronic Money"&amp;" Transfer Levy"",IF(REGEXMATCH(LOWER(Raw_Data!C1476),""transfer|trf|send""),""Transfer"",""Other"")))),""Other"")"),"Transfer")</f>
        <v>Transfer</v>
      </c>
      <c r="E1470" s="20">
        <v>300.0</v>
      </c>
      <c r="F1470" s="20">
        <v>0.0</v>
      </c>
      <c r="G1470" s="12" t="str">
        <f t="shared" si="3"/>
        <v>Withdrawal</v>
      </c>
      <c r="H1470" s="12" t="str">
        <f>TEXT(Raw_Data!A1476,"hh:mm:ss")
</f>
        <v>09:47:20</v>
      </c>
      <c r="I1470" s="20">
        <f t="shared" si="4"/>
        <v>300</v>
      </c>
    </row>
    <row r="1471">
      <c r="A1471" s="12" t="str">
        <f>Raw_Data!A1477</f>
        <v>19 Oct 2025 17:24:54</v>
      </c>
      <c r="B1471" s="12" t="str">
        <f t="shared" si="1"/>
        <v>October</v>
      </c>
      <c r="C1471" s="12">
        <f t="shared" si="2"/>
        <v>10</v>
      </c>
      <c r="D1471" s="12" t="str">
        <f>IFERROR(__xludf.DUMMYFUNCTION("IFERROR(IF(REGEXMATCH(LOWER(Raw_Data!C1477),""fixed deposit|owealth|savings|target""),""Fixed Deposit"",IF(REGEXMATCH(LOWER(Raw_Data!C1477),""airtime""),""Airtime"",IF(REGEXMATCH(LOWER(Raw_Data!C1477),""electronic money transfer levy""),""Electronic Money"&amp;" Transfer Levy"",IF(REGEXMATCH(LOWER(Raw_Data!C1477),""transfer|trf|send""),""Transfer"",""Other"")))),""Other"")"),"Other")</f>
        <v>Other</v>
      </c>
      <c r="E1471" s="20">
        <v>100.0</v>
      </c>
      <c r="F1471" s="20">
        <v>0.0</v>
      </c>
      <c r="G1471" s="12" t="str">
        <f t="shared" si="3"/>
        <v>Withdrawal</v>
      </c>
      <c r="H1471" s="12" t="str">
        <f>TEXT(Raw_Data!A1477,"hh:mm:ss")
</f>
        <v>17:24:54</v>
      </c>
      <c r="I1471" s="20">
        <f t="shared" si="4"/>
        <v>100</v>
      </c>
    </row>
    <row r="1472">
      <c r="A1472" s="12" t="str">
        <f>Raw_Data!A1478</f>
        <v>20 Oct 2025 10:36:24</v>
      </c>
      <c r="B1472" s="12" t="str">
        <f t="shared" si="1"/>
        <v>October</v>
      </c>
      <c r="C1472" s="12">
        <f t="shared" si="2"/>
        <v>10</v>
      </c>
      <c r="D1472" s="12" t="str">
        <f>IFERROR(__xludf.DUMMYFUNCTION("IFERROR(IF(REGEXMATCH(LOWER(Raw_Data!C1478),""fixed deposit|owealth|savings|target""),""Fixed Deposit"",IF(REGEXMATCH(LOWER(Raw_Data!C1478),""airtime""),""Airtime"",IF(REGEXMATCH(LOWER(Raw_Data!C1478),""electronic money transfer levy""),""Electronic Money"&amp;" Transfer Levy"",IF(REGEXMATCH(LOWER(Raw_Data!C1478),""transfer|trf|send""),""Transfer"",""Other"")))),""Other"")"),"Transfer")</f>
        <v>Transfer</v>
      </c>
      <c r="E1472" s="20">
        <v>0.0</v>
      </c>
      <c r="F1472" s="20">
        <v>6000.0</v>
      </c>
      <c r="G1472" s="12" t="str">
        <f t="shared" si="3"/>
        <v>Deposit</v>
      </c>
      <c r="H1472" s="12" t="str">
        <f>TEXT(Raw_Data!A1478,"hh:mm:ss")
</f>
        <v>10:36:24</v>
      </c>
      <c r="I1472" s="20">
        <f t="shared" si="4"/>
        <v>6000</v>
      </c>
    </row>
    <row r="1473">
      <c r="A1473" s="12" t="str">
        <f>Raw_Data!A1479</f>
        <v>20 Oct 2025 11:56:13</v>
      </c>
      <c r="B1473" s="12" t="str">
        <f t="shared" si="1"/>
        <v>October</v>
      </c>
      <c r="C1473" s="12">
        <f t="shared" si="2"/>
        <v>10</v>
      </c>
      <c r="D1473" s="12" t="str">
        <f>IFERROR(__xludf.DUMMYFUNCTION("IFERROR(IF(REGEXMATCH(LOWER(Raw_Data!C1479),""fixed deposit|owealth|savings|target""),""Fixed Deposit"",IF(REGEXMATCH(LOWER(Raw_Data!C1479),""airtime""),""Airtime"",IF(REGEXMATCH(LOWER(Raw_Data!C1479),""electronic money transfer levy""),""Electronic Money"&amp;" Transfer Levy"",IF(REGEXMATCH(LOWER(Raw_Data!C1479),""transfer|trf|send""),""Transfer"",""Other"")))),""Other"")"),"Fixed Deposit")</f>
        <v>Fixed Deposit</v>
      </c>
      <c r="E1473" s="20">
        <v>3000.0</v>
      </c>
      <c r="F1473" s="20">
        <v>0.0</v>
      </c>
      <c r="G1473" s="12" t="str">
        <f t="shared" si="3"/>
        <v>Withdrawal</v>
      </c>
      <c r="H1473" s="12" t="str">
        <f>TEXT(Raw_Data!A1479,"hh:mm:ss")
</f>
        <v>11:56:13</v>
      </c>
      <c r="I1473" s="20">
        <f t="shared" si="4"/>
        <v>3000</v>
      </c>
    </row>
    <row r="1474">
      <c r="A1474" s="12" t="str">
        <f>Raw_Data!A1480</f>
        <v>20 Oct 2025 11:56:39</v>
      </c>
      <c r="B1474" s="12" t="str">
        <f t="shared" si="1"/>
        <v>October</v>
      </c>
      <c r="C1474" s="12">
        <f t="shared" si="2"/>
        <v>10</v>
      </c>
      <c r="D1474" s="12" t="str">
        <f>IFERROR(__xludf.DUMMYFUNCTION("IFERROR(IF(REGEXMATCH(LOWER(Raw_Data!C1480),""fixed deposit|owealth|savings|target""),""Fixed Deposit"",IF(REGEXMATCH(LOWER(Raw_Data!C1480),""airtime""),""Airtime"",IF(REGEXMATCH(LOWER(Raw_Data!C1480),""electronic money transfer levy""),""Electronic Money"&amp;" Transfer Levy"",IF(REGEXMATCH(LOWER(Raw_Data!C1480),""transfer|trf|send""),""Transfer"",""Other"")))),""Other"")"),"Airtime")</f>
        <v>Airtime</v>
      </c>
      <c r="E1474" s="20">
        <v>400.0</v>
      </c>
      <c r="F1474" s="20">
        <v>0.0</v>
      </c>
      <c r="G1474" s="12" t="str">
        <f t="shared" si="3"/>
        <v>Withdrawal</v>
      </c>
      <c r="H1474" s="12" t="str">
        <f>TEXT(Raw_Data!A1480,"hh:mm:ss")
</f>
        <v>11:56:39</v>
      </c>
      <c r="I1474" s="20">
        <f t="shared" si="4"/>
        <v>400</v>
      </c>
    </row>
    <row r="1475">
      <c r="A1475" s="12" t="str">
        <f>Raw_Data!A1481</f>
        <v>20 Oct 2025 14:15:45</v>
      </c>
      <c r="B1475" s="12" t="str">
        <f t="shared" si="1"/>
        <v>October</v>
      </c>
      <c r="C1475" s="12">
        <f t="shared" si="2"/>
        <v>10</v>
      </c>
      <c r="D1475" s="12" t="str">
        <f>IFERROR(__xludf.DUMMYFUNCTION("IFERROR(IF(REGEXMATCH(LOWER(Raw_Data!C1481),""fixed deposit|owealth|savings|target""),""Fixed Deposit"",IF(REGEXMATCH(LOWER(Raw_Data!C1481),""airtime""),""Airtime"",IF(REGEXMATCH(LOWER(Raw_Data!C1481),""electronic money transfer levy""),""Electronic Money"&amp;" Transfer Levy"",IF(REGEXMATCH(LOWER(Raw_Data!C1481),""transfer|trf|send""),""Transfer"",""Other"")))),""Other"")"),"Transfer")</f>
        <v>Transfer</v>
      </c>
      <c r="E1475" s="20">
        <v>1300.0</v>
      </c>
      <c r="F1475" s="20">
        <v>0.0</v>
      </c>
      <c r="G1475" s="12" t="str">
        <f t="shared" si="3"/>
        <v>Withdrawal</v>
      </c>
      <c r="H1475" s="12" t="str">
        <f>TEXT(Raw_Data!A1481,"hh:mm:ss")
</f>
        <v>14:15:45</v>
      </c>
      <c r="I1475" s="20">
        <f t="shared" si="4"/>
        <v>1300</v>
      </c>
    </row>
    <row r="1476">
      <c r="A1476" s="12" t="str">
        <f>Raw_Data!A1482</f>
        <v>20 Oct 2025 16:05:42</v>
      </c>
      <c r="B1476" s="12" t="str">
        <f t="shared" si="1"/>
        <v>October</v>
      </c>
      <c r="C1476" s="12">
        <f t="shared" si="2"/>
        <v>10</v>
      </c>
      <c r="D1476" s="12" t="str">
        <f>IFERROR(__xludf.DUMMYFUNCTION("IFERROR(IF(REGEXMATCH(LOWER(Raw_Data!C1482),""fixed deposit|owealth|savings|target""),""Fixed Deposit"",IF(REGEXMATCH(LOWER(Raw_Data!C1482),""airtime""),""Airtime"",IF(REGEXMATCH(LOWER(Raw_Data!C1482),""electronic money transfer levy""),""Electronic Money"&amp;" Transfer Levy"",IF(REGEXMATCH(LOWER(Raw_Data!C1482),""transfer|trf|send""),""Transfer"",""Other"")))),""Other"")"),"Transfer")</f>
        <v>Transfer</v>
      </c>
      <c r="E1476" s="20">
        <v>0.0</v>
      </c>
      <c r="F1476" s="20">
        <v>2000.0</v>
      </c>
      <c r="G1476" s="12" t="str">
        <f t="shared" si="3"/>
        <v>Deposit</v>
      </c>
      <c r="H1476" s="12" t="str">
        <f>TEXT(Raw_Data!A1482,"hh:mm:ss")
</f>
        <v>16:05:42</v>
      </c>
      <c r="I1476" s="20">
        <f t="shared" si="4"/>
        <v>2000</v>
      </c>
    </row>
    <row r="1477">
      <c r="A1477" s="12" t="str">
        <f>Raw_Data!A1483</f>
        <v>21 Oct 2025 08:16:53</v>
      </c>
      <c r="B1477" s="12" t="str">
        <f t="shared" si="1"/>
        <v>October</v>
      </c>
      <c r="C1477" s="12">
        <f t="shared" si="2"/>
        <v>10</v>
      </c>
      <c r="D1477" s="12" t="str">
        <f>IFERROR(__xludf.DUMMYFUNCTION("IFERROR(IF(REGEXMATCH(LOWER(Raw_Data!C1483),""fixed deposit|owealth|savings|target""),""Fixed Deposit"",IF(REGEXMATCH(LOWER(Raw_Data!C1483),""airtime""),""Airtime"",IF(REGEXMATCH(LOWER(Raw_Data!C1483),""electronic money transfer levy""),""Electronic Money"&amp;" Transfer Levy"",IF(REGEXMATCH(LOWER(Raw_Data!C1483),""transfer|trf|send""),""Transfer"",""Other"")))),""Other"")"),"Transfer")</f>
        <v>Transfer</v>
      </c>
      <c r="E1477" s="20">
        <v>300.0</v>
      </c>
      <c r="F1477" s="20">
        <v>0.0</v>
      </c>
      <c r="G1477" s="12" t="str">
        <f t="shared" si="3"/>
        <v>Withdrawal</v>
      </c>
      <c r="H1477" s="12" t="str">
        <f>TEXT(Raw_Data!A1483,"hh:mm:ss")
</f>
        <v>08:16:53</v>
      </c>
      <c r="I1477" s="20">
        <f t="shared" si="4"/>
        <v>300</v>
      </c>
    </row>
    <row r="1478">
      <c r="A1478" s="12" t="str">
        <f>Raw_Data!A1484</f>
        <v>21 Oct 2025 09:52:15</v>
      </c>
      <c r="B1478" s="12" t="str">
        <f t="shared" si="1"/>
        <v>October</v>
      </c>
      <c r="C1478" s="12">
        <f t="shared" si="2"/>
        <v>10</v>
      </c>
      <c r="D1478" s="12" t="str">
        <f>IFERROR(__xludf.DUMMYFUNCTION("IFERROR(IF(REGEXMATCH(LOWER(Raw_Data!C1484),""fixed deposit|owealth|savings|target""),""Fixed Deposit"",IF(REGEXMATCH(LOWER(Raw_Data!C1484),""airtime""),""Airtime"",IF(REGEXMATCH(LOWER(Raw_Data!C1484),""electronic money transfer levy""),""Electronic Money"&amp;" Transfer Levy"",IF(REGEXMATCH(LOWER(Raw_Data!C1484),""transfer|trf|send""),""Transfer"",""Other"")))),""Other"")"),"Transfer")</f>
        <v>Transfer</v>
      </c>
      <c r="E1478" s="20">
        <v>3100.0</v>
      </c>
      <c r="F1478" s="20">
        <v>0.0</v>
      </c>
      <c r="G1478" s="12" t="str">
        <f t="shared" si="3"/>
        <v>Withdrawal</v>
      </c>
      <c r="H1478" s="12" t="str">
        <f>TEXT(Raw_Data!A1484,"hh:mm:ss")
</f>
        <v>09:52:15</v>
      </c>
      <c r="I1478" s="20">
        <f t="shared" si="4"/>
        <v>3100</v>
      </c>
    </row>
    <row r="1479">
      <c r="A1479" s="12" t="str">
        <f>Raw_Data!A1485</f>
        <v>21 Oct 2025 16:17:41</v>
      </c>
      <c r="B1479" s="12" t="str">
        <f t="shared" si="1"/>
        <v>October</v>
      </c>
      <c r="C1479" s="12">
        <f t="shared" si="2"/>
        <v>10</v>
      </c>
      <c r="D1479" s="12" t="str">
        <f>IFERROR(__xludf.DUMMYFUNCTION("IFERROR(IF(REGEXMATCH(LOWER(Raw_Data!C1485),""fixed deposit|owealth|savings|target""),""Fixed Deposit"",IF(REGEXMATCH(LOWER(Raw_Data!C1485),""airtime""),""Airtime"",IF(REGEXMATCH(LOWER(Raw_Data!C1485),""electronic money transfer levy""),""Electronic Money"&amp;" Transfer Levy"",IF(REGEXMATCH(LOWER(Raw_Data!C1485),""transfer|trf|send""),""Transfer"",""Other"")))),""Other"")"),"Transfer")</f>
        <v>Transfer</v>
      </c>
      <c r="E1479" s="20">
        <v>0.0</v>
      </c>
      <c r="F1479" s="20">
        <v>1000.0</v>
      </c>
      <c r="G1479" s="12" t="str">
        <f t="shared" si="3"/>
        <v>Deposit</v>
      </c>
      <c r="H1479" s="12" t="str">
        <f>TEXT(Raw_Data!A1485,"hh:mm:ss")
</f>
        <v>16:17:41</v>
      </c>
      <c r="I1479" s="20">
        <f t="shared" si="4"/>
        <v>1000</v>
      </c>
    </row>
    <row r="1480">
      <c r="A1480" s="12" t="str">
        <f>Raw_Data!A1486</f>
        <v>21 Oct 2025 16:18:15</v>
      </c>
      <c r="B1480" s="12" t="str">
        <f t="shared" si="1"/>
        <v>October</v>
      </c>
      <c r="C1480" s="12">
        <f t="shared" si="2"/>
        <v>10</v>
      </c>
      <c r="D1480" s="12" t="str">
        <f>IFERROR(__xludf.DUMMYFUNCTION("IFERROR(IF(REGEXMATCH(LOWER(Raw_Data!C1486),""fixed deposit|owealth|savings|target""),""Fixed Deposit"",IF(REGEXMATCH(LOWER(Raw_Data!C1486),""airtime""),""Airtime"",IF(REGEXMATCH(LOWER(Raw_Data!C1486),""electronic money transfer levy""),""Electronic Money"&amp;" Transfer Levy"",IF(REGEXMATCH(LOWER(Raw_Data!C1486),""transfer|trf|send""),""Transfer"",""Other"")))),""Other"")"),"Transfer")</f>
        <v>Transfer</v>
      </c>
      <c r="E1480" s="20">
        <v>1000.0</v>
      </c>
      <c r="F1480" s="20">
        <v>0.0</v>
      </c>
      <c r="G1480" s="12" t="str">
        <f t="shared" si="3"/>
        <v>Withdrawal</v>
      </c>
      <c r="H1480" s="12" t="str">
        <f>TEXT(Raw_Data!A1486,"hh:mm:ss")
</f>
        <v>16:18:15</v>
      </c>
      <c r="I1480" s="20">
        <f t="shared" si="4"/>
        <v>1000</v>
      </c>
    </row>
    <row r="1481">
      <c r="A1481" s="12" t="str">
        <f>Raw_Data!A1487</f>
        <v>21 Oct 2025 18:48:51</v>
      </c>
      <c r="B1481" s="12" t="str">
        <f t="shared" si="1"/>
        <v>October</v>
      </c>
      <c r="C1481" s="12">
        <f t="shared" si="2"/>
        <v>10</v>
      </c>
      <c r="D1481" s="12" t="str">
        <f>IFERROR(__xludf.DUMMYFUNCTION("IFERROR(IF(REGEXMATCH(LOWER(Raw_Data!C1487),""fixed deposit|owealth|savings|target""),""Fixed Deposit"",IF(REGEXMATCH(LOWER(Raw_Data!C1487),""airtime""),""Airtime"",IF(REGEXMATCH(LOWER(Raw_Data!C1487),""electronic money transfer levy""),""Electronic Money"&amp;" Transfer Levy"",IF(REGEXMATCH(LOWER(Raw_Data!C1487),""transfer|trf|send""),""Transfer"",""Other"")))),""Other"")"),"Transfer")</f>
        <v>Transfer</v>
      </c>
      <c r="E1481" s="20">
        <v>300.0</v>
      </c>
      <c r="F1481" s="20">
        <v>0.0</v>
      </c>
      <c r="G1481" s="12" t="str">
        <f t="shared" si="3"/>
        <v>Withdrawal</v>
      </c>
      <c r="H1481" s="12" t="str">
        <f>TEXT(Raw_Data!A1487,"hh:mm:ss")
</f>
        <v>18:48:51</v>
      </c>
      <c r="I1481" s="20">
        <f t="shared" si="4"/>
        <v>300</v>
      </c>
    </row>
    <row r="1482">
      <c r="A1482" s="12" t="str">
        <f>Raw_Data!A1488</f>
        <v>22 Oct 2025 08:31:54</v>
      </c>
      <c r="B1482" s="12" t="str">
        <f t="shared" si="1"/>
        <v>October</v>
      </c>
      <c r="C1482" s="12">
        <f t="shared" si="2"/>
        <v>10</v>
      </c>
      <c r="D1482" s="12" t="str">
        <f>IFERROR(__xludf.DUMMYFUNCTION("IFERROR(IF(REGEXMATCH(LOWER(Raw_Data!C1488),""fixed deposit|owealth|savings|target""),""Fixed Deposit"",IF(REGEXMATCH(LOWER(Raw_Data!C1488),""airtime""),""Airtime"",IF(REGEXMATCH(LOWER(Raw_Data!C1488),""electronic money transfer levy""),""Electronic Money"&amp;" Transfer Levy"",IF(REGEXMATCH(LOWER(Raw_Data!C1488),""transfer|trf|send""),""Transfer"",""Other"")))),""Other"")"),"Transfer")</f>
        <v>Transfer</v>
      </c>
      <c r="E1482" s="20">
        <v>100.0</v>
      </c>
      <c r="F1482" s="20">
        <v>0.0</v>
      </c>
      <c r="G1482" s="12" t="str">
        <f t="shared" si="3"/>
        <v>Withdrawal</v>
      </c>
      <c r="H1482" s="12" t="str">
        <f>TEXT(Raw_Data!A1488,"hh:mm:ss")
</f>
        <v>08:31:54</v>
      </c>
      <c r="I1482" s="20">
        <f t="shared" si="4"/>
        <v>100</v>
      </c>
    </row>
    <row r="1483">
      <c r="A1483" s="12" t="str">
        <f>Raw_Data!A1489</f>
        <v>22 Oct 2025 10:28:28</v>
      </c>
      <c r="B1483" s="12" t="str">
        <f t="shared" si="1"/>
        <v>October</v>
      </c>
      <c r="C1483" s="12">
        <f t="shared" si="2"/>
        <v>10</v>
      </c>
      <c r="D1483" s="12" t="str">
        <f>IFERROR(__xludf.DUMMYFUNCTION("IFERROR(IF(REGEXMATCH(LOWER(Raw_Data!C1489),""fixed deposit|owealth|savings|target""),""Fixed Deposit"",IF(REGEXMATCH(LOWER(Raw_Data!C1489),""airtime""),""Airtime"",IF(REGEXMATCH(LOWER(Raw_Data!C1489),""electronic money transfer levy""),""Electronic Money"&amp;" Transfer Levy"",IF(REGEXMATCH(LOWER(Raw_Data!C1489),""transfer|trf|send""),""Transfer"",""Other"")))),""Other"")"),"Airtime")</f>
        <v>Airtime</v>
      </c>
      <c r="E1483" s="20">
        <v>200.0</v>
      </c>
      <c r="F1483" s="20">
        <v>0.0</v>
      </c>
      <c r="G1483" s="12" t="str">
        <f t="shared" si="3"/>
        <v>Withdrawal</v>
      </c>
      <c r="H1483" s="12" t="str">
        <f>TEXT(Raw_Data!A1489,"hh:mm:ss")
</f>
        <v>10:28:28</v>
      </c>
      <c r="I1483" s="20">
        <f t="shared" si="4"/>
        <v>200</v>
      </c>
    </row>
    <row r="1484">
      <c r="A1484" s="12" t="str">
        <f>Raw_Data!A1490</f>
        <v>22 Oct 2025 11:54:25</v>
      </c>
      <c r="B1484" s="12" t="str">
        <f t="shared" si="1"/>
        <v>October</v>
      </c>
      <c r="C1484" s="12">
        <f t="shared" si="2"/>
        <v>10</v>
      </c>
      <c r="D1484" s="12" t="str">
        <f>IFERROR(__xludf.DUMMYFUNCTION("IFERROR(IF(REGEXMATCH(LOWER(Raw_Data!C1490),""fixed deposit|owealth|savings|target""),""Fixed Deposit"",IF(REGEXMATCH(LOWER(Raw_Data!C1490),""airtime""),""Airtime"",IF(REGEXMATCH(LOWER(Raw_Data!C1490),""electronic money transfer levy""),""Electronic Money"&amp;" Transfer Levy"",IF(REGEXMATCH(LOWER(Raw_Data!C1490),""transfer|trf|send""),""Transfer"",""Other"")))),""Other"")"),"Transfer")</f>
        <v>Transfer</v>
      </c>
      <c r="E1484" s="20">
        <v>0.0</v>
      </c>
      <c r="F1484" s="20">
        <v>4000.0</v>
      </c>
      <c r="G1484" s="12" t="str">
        <f t="shared" si="3"/>
        <v>Deposit</v>
      </c>
      <c r="H1484" s="12" t="str">
        <f>TEXT(Raw_Data!A1490,"hh:mm:ss")
</f>
        <v>11:54:25</v>
      </c>
      <c r="I1484" s="20">
        <f t="shared" si="4"/>
        <v>4000</v>
      </c>
    </row>
    <row r="1485">
      <c r="A1485" s="12" t="str">
        <f>Raw_Data!A1491</f>
        <v>22 Oct 2025 11:54:46</v>
      </c>
      <c r="B1485" s="12" t="str">
        <f t="shared" si="1"/>
        <v>October</v>
      </c>
      <c r="C1485" s="12">
        <f t="shared" si="2"/>
        <v>10</v>
      </c>
      <c r="D1485" s="12" t="str">
        <f>IFERROR(__xludf.DUMMYFUNCTION("IFERROR(IF(REGEXMATCH(LOWER(Raw_Data!C1491),""fixed deposit|owealth|savings|target""),""Fixed Deposit"",IF(REGEXMATCH(LOWER(Raw_Data!C1491),""airtime""),""Airtime"",IF(REGEXMATCH(LOWER(Raw_Data!C1491),""electronic money transfer levy""),""Electronic Money"&amp;" Transfer Levy"",IF(REGEXMATCH(LOWER(Raw_Data!C1491),""transfer|trf|send""),""Transfer"",""Other"")))),""Other"")"),"Transfer")</f>
        <v>Transfer</v>
      </c>
      <c r="E1485" s="20">
        <v>4000.0</v>
      </c>
      <c r="F1485" s="20">
        <v>0.0</v>
      </c>
      <c r="G1485" s="12" t="str">
        <f t="shared" si="3"/>
        <v>Withdrawal</v>
      </c>
      <c r="H1485" s="12" t="str">
        <f>TEXT(Raw_Data!A1491,"hh:mm:ss")
</f>
        <v>11:54:46</v>
      </c>
      <c r="I1485" s="20">
        <f t="shared" si="4"/>
        <v>4000</v>
      </c>
    </row>
    <row r="1486">
      <c r="A1486" s="12" t="str">
        <f>Raw_Data!A1492</f>
        <v>22 Oct 2025 18:24:38</v>
      </c>
      <c r="B1486" s="12" t="str">
        <f t="shared" si="1"/>
        <v>October</v>
      </c>
      <c r="C1486" s="12">
        <f t="shared" si="2"/>
        <v>10</v>
      </c>
      <c r="D1486" s="12" t="str">
        <f>IFERROR(__xludf.DUMMYFUNCTION("IFERROR(IF(REGEXMATCH(LOWER(Raw_Data!C1492),""fixed deposit|owealth|savings|target""),""Fixed Deposit"",IF(REGEXMATCH(LOWER(Raw_Data!C1492),""airtime""),""Airtime"",IF(REGEXMATCH(LOWER(Raw_Data!C1492),""electronic money transfer levy""),""Electronic Money"&amp;" Transfer Levy"",IF(REGEXMATCH(LOWER(Raw_Data!C1492),""transfer|trf|send""),""Transfer"",""Other"")))),""Other"")"),"Transfer")</f>
        <v>Transfer</v>
      </c>
      <c r="E1486" s="20">
        <v>0.0</v>
      </c>
      <c r="F1486" s="20">
        <v>400.0</v>
      </c>
      <c r="G1486" s="12" t="str">
        <f t="shared" si="3"/>
        <v>Deposit</v>
      </c>
      <c r="H1486" s="12" t="str">
        <f>TEXT(Raw_Data!A1492,"hh:mm:ss")
</f>
        <v>18:24:38</v>
      </c>
      <c r="I1486" s="20">
        <f t="shared" si="4"/>
        <v>400</v>
      </c>
    </row>
    <row r="1487">
      <c r="A1487" s="12" t="str">
        <f>Raw_Data!A1493</f>
        <v>22 Oct 2025 18:27:14</v>
      </c>
      <c r="B1487" s="12" t="str">
        <f t="shared" si="1"/>
        <v>October</v>
      </c>
      <c r="C1487" s="12">
        <f t="shared" si="2"/>
        <v>10</v>
      </c>
      <c r="D1487" s="12" t="str">
        <f>IFERROR(__xludf.DUMMYFUNCTION("IFERROR(IF(REGEXMATCH(LOWER(Raw_Data!C1493),""fixed deposit|owealth|savings|target""),""Fixed Deposit"",IF(REGEXMATCH(LOWER(Raw_Data!C1493),""airtime""),""Airtime"",IF(REGEXMATCH(LOWER(Raw_Data!C1493),""electronic money transfer levy""),""Electronic Money"&amp;" Transfer Levy"",IF(REGEXMATCH(LOWER(Raw_Data!C1493),""transfer|trf|send""),""Transfer"",""Other"")))),""Other"")"),"Transfer")</f>
        <v>Transfer</v>
      </c>
      <c r="E1487" s="20">
        <v>150.0</v>
      </c>
      <c r="F1487" s="20">
        <v>0.0</v>
      </c>
      <c r="G1487" s="12" t="str">
        <f t="shared" si="3"/>
        <v>Withdrawal</v>
      </c>
      <c r="H1487" s="12" t="str">
        <f>TEXT(Raw_Data!A1493,"hh:mm:ss")
</f>
        <v>18:27:14</v>
      </c>
      <c r="I1487" s="20">
        <f t="shared" si="4"/>
        <v>150</v>
      </c>
    </row>
    <row r="1488">
      <c r="A1488" s="12" t="str">
        <f>Raw_Data!A1494</f>
        <v>22 Oct 2025 18:30:15</v>
      </c>
      <c r="B1488" s="12" t="str">
        <f t="shared" si="1"/>
        <v>October</v>
      </c>
      <c r="C1488" s="12">
        <f t="shared" si="2"/>
        <v>10</v>
      </c>
      <c r="D1488" s="12" t="str">
        <f>IFERROR(__xludf.DUMMYFUNCTION("IFERROR(IF(REGEXMATCH(LOWER(Raw_Data!C1494),""fixed deposit|owealth|savings|target""),""Fixed Deposit"",IF(REGEXMATCH(LOWER(Raw_Data!C1494),""airtime""),""Airtime"",IF(REGEXMATCH(LOWER(Raw_Data!C1494),""electronic money transfer levy""),""Electronic Money"&amp;" Transfer Levy"",IF(REGEXMATCH(LOWER(Raw_Data!C1494),""transfer|trf|send""),""Transfer"",""Other"")))),""Other"")"),"Transfer")</f>
        <v>Transfer</v>
      </c>
      <c r="E1488" s="20">
        <v>250.0</v>
      </c>
      <c r="F1488" s="20">
        <v>0.0</v>
      </c>
      <c r="G1488" s="12" t="str">
        <f t="shared" si="3"/>
        <v>Withdrawal</v>
      </c>
      <c r="H1488" s="12" t="str">
        <f>TEXT(Raw_Data!A1494,"hh:mm:ss")
</f>
        <v>18:30:15</v>
      </c>
      <c r="I1488" s="20">
        <f t="shared" si="4"/>
        <v>250</v>
      </c>
    </row>
    <row r="1489">
      <c r="A1489" s="12" t="str">
        <f>Raw_Data!A1495</f>
        <v>23 Oct 2025 07:26:57</v>
      </c>
      <c r="B1489" s="12" t="str">
        <f t="shared" si="1"/>
        <v>October</v>
      </c>
      <c r="C1489" s="12">
        <f t="shared" si="2"/>
        <v>10</v>
      </c>
      <c r="D1489" s="12" t="str">
        <f>IFERROR(__xludf.DUMMYFUNCTION("IFERROR(IF(REGEXMATCH(LOWER(Raw_Data!C1495),""fixed deposit|owealth|savings|target""),""Fixed Deposit"",IF(REGEXMATCH(LOWER(Raw_Data!C1495),""airtime""),""Airtime"",IF(REGEXMATCH(LOWER(Raw_Data!C1495),""electronic money transfer levy""),""Electronic Money"&amp;" Transfer Levy"",IF(REGEXMATCH(LOWER(Raw_Data!C1495),""transfer|trf|send""),""Transfer"",""Other"")))),""Other"")"),"Transfer")</f>
        <v>Transfer</v>
      </c>
      <c r="E1489" s="20">
        <v>0.0</v>
      </c>
      <c r="F1489" s="20">
        <v>600.0</v>
      </c>
      <c r="G1489" s="12" t="str">
        <f t="shared" si="3"/>
        <v>Deposit</v>
      </c>
      <c r="H1489" s="12" t="str">
        <f>TEXT(Raw_Data!A1495,"hh:mm:ss")
</f>
        <v>07:26:57</v>
      </c>
      <c r="I1489" s="20">
        <f t="shared" si="4"/>
        <v>600</v>
      </c>
    </row>
    <row r="1490">
      <c r="A1490" s="12" t="str">
        <f>Raw_Data!A1496</f>
        <v>23 Oct 2025 07:27:38</v>
      </c>
      <c r="B1490" s="12" t="str">
        <f t="shared" si="1"/>
        <v>October</v>
      </c>
      <c r="C1490" s="12">
        <f t="shared" si="2"/>
        <v>10</v>
      </c>
      <c r="D1490" s="12" t="str">
        <f>IFERROR(__xludf.DUMMYFUNCTION("IFERROR(IF(REGEXMATCH(LOWER(Raw_Data!C1496),""fixed deposit|owealth|savings|target""),""Fixed Deposit"",IF(REGEXMATCH(LOWER(Raw_Data!C1496),""airtime""),""Airtime"",IF(REGEXMATCH(LOWER(Raw_Data!C1496),""electronic money transfer levy""),""Electronic Money"&amp;" Transfer Levy"",IF(REGEXMATCH(LOWER(Raw_Data!C1496),""transfer|trf|send""),""Transfer"",""Other"")))),""Other"")"),"Transfer")</f>
        <v>Transfer</v>
      </c>
      <c r="E1490" s="20">
        <v>600.0</v>
      </c>
      <c r="F1490" s="20">
        <v>0.0</v>
      </c>
      <c r="G1490" s="12" t="str">
        <f t="shared" si="3"/>
        <v>Withdrawal</v>
      </c>
      <c r="H1490" s="12" t="str">
        <f>TEXT(Raw_Data!A1496,"hh:mm:ss")
</f>
        <v>07:27:38</v>
      </c>
      <c r="I1490" s="20">
        <f t="shared" si="4"/>
        <v>600</v>
      </c>
    </row>
    <row r="1491">
      <c r="A1491" s="12" t="str">
        <f>Raw_Data!A1497</f>
        <v>25 Oct 2025 18:36:40</v>
      </c>
      <c r="B1491" s="12" t="str">
        <f t="shared" si="1"/>
        <v>October</v>
      </c>
      <c r="C1491" s="12">
        <f t="shared" si="2"/>
        <v>10</v>
      </c>
      <c r="D1491" s="12" t="str">
        <f>IFERROR(__xludf.DUMMYFUNCTION("IFERROR(IF(REGEXMATCH(LOWER(Raw_Data!C1497),""fixed deposit|owealth|savings|target""),""Fixed Deposit"",IF(REGEXMATCH(LOWER(Raw_Data!C1497),""airtime""),""Airtime"",IF(REGEXMATCH(LOWER(Raw_Data!C1497),""electronic money transfer levy""),""Electronic Money"&amp;" Transfer Levy"",IF(REGEXMATCH(LOWER(Raw_Data!C1497),""transfer|trf|send""),""Transfer"",""Other"")))),""Other"")"),"Transfer")</f>
        <v>Transfer</v>
      </c>
      <c r="E1491" s="20">
        <v>0.0</v>
      </c>
      <c r="F1491" s="20">
        <v>100.0</v>
      </c>
      <c r="G1491" s="12" t="str">
        <f t="shared" si="3"/>
        <v>Deposit</v>
      </c>
      <c r="H1491" s="12" t="str">
        <f>TEXT(Raw_Data!A1497,"hh:mm:ss")
</f>
        <v>18:36:40</v>
      </c>
      <c r="I1491" s="20">
        <f t="shared" si="4"/>
        <v>100</v>
      </c>
    </row>
    <row r="1492">
      <c r="A1492" s="12" t="str">
        <f>Raw_Data!A1498</f>
        <v>25 Oct 2025 18:41:25</v>
      </c>
      <c r="B1492" s="12" t="str">
        <f t="shared" si="1"/>
        <v>October</v>
      </c>
      <c r="C1492" s="12">
        <f t="shared" si="2"/>
        <v>10</v>
      </c>
      <c r="D1492" s="12" t="str">
        <f>IFERROR(__xludf.DUMMYFUNCTION("IFERROR(IF(REGEXMATCH(LOWER(Raw_Data!C1498),""fixed deposit|owealth|savings|target""),""Fixed Deposit"",IF(REGEXMATCH(LOWER(Raw_Data!C1498),""airtime""),""Airtime"",IF(REGEXMATCH(LOWER(Raw_Data!C1498),""electronic money transfer levy""),""Electronic Money"&amp;" Transfer Levy"",IF(REGEXMATCH(LOWER(Raw_Data!C1498),""transfer|trf|send""),""Transfer"",""Other"")))),""Other"")"),"Transfer")</f>
        <v>Transfer</v>
      </c>
      <c r="E1492" s="20">
        <v>100.0</v>
      </c>
      <c r="F1492" s="20">
        <v>0.0</v>
      </c>
      <c r="G1492" s="12" t="str">
        <f t="shared" si="3"/>
        <v>Withdrawal</v>
      </c>
      <c r="H1492" s="12" t="str">
        <f>TEXT(Raw_Data!A1498,"hh:mm:ss")
</f>
        <v>18:41:25</v>
      </c>
      <c r="I1492" s="20">
        <f t="shared" si="4"/>
        <v>100</v>
      </c>
    </row>
    <row r="1493">
      <c r="A1493" s="12" t="str">
        <f>Raw_Data!A1499</f>
        <v>26 Oct 2025 05:28:20</v>
      </c>
      <c r="B1493" s="12" t="str">
        <f t="shared" si="1"/>
        <v>October</v>
      </c>
      <c r="C1493" s="12">
        <f t="shared" si="2"/>
        <v>10</v>
      </c>
      <c r="D1493" s="12" t="str">
        <f>IFERROR(__xludf.DUMMYFUNCTION("IFERROR(IF(REGEXMATCH(LOWER(Raw_Data!C1499),""fixed deposit|owealth|savings|target""),""Fixed Deposit"",IF(REGEXMATCH(LOWER(Raw_Data!C1499),""airtime""),""Airtime"",IF(REGEXMATCH(LOWER(Raw_Data!C1499),""electronic money transfer levy""),""Electronic Money"&amp;" Transfer Levy"",IF(REGEXMATCH(LOWER(Raw_Data!C1499),""transfer|trf|send""),""Transfer"",""Other"")))),""Other"")"),"Transfer")</f>
        <v>Transfer</v>
      </c>
      <c r="E1493" s="20">
        <v>0.0</v>
      </c>
      <c r="F1493" s="20">
        <v>2000.0</v>
      </c>
      <c r="G1493" s="12" t="str">
        <f t="shared" si="3"/>
        <v>Deposit</v>
      </c>
      <c r="H1493" s="12" t="str">
        <f>TEXT(Raw_Data!A1499,"hh:mm:ss")
</f>
        <v>05:28:20</v>
      </c>
      <c r="I1493" s="20">
        <f t="shared" si="4"/>
        <v>2000</v>
      </c>
    </row>
    <row r="1494">
      <c r="A1494" s="12" t="str">
        <f>Raw_Data!A1500</f>
        <v>26 Oct 2025 10:30:55</v>
      </c>
      <c r="B1494" s="12" t="str">
        <f t="shared" si="1"/>
        <v>October</v>
      </c>
      <c r="C1494" s="12">
        <f t="shared" si="2"/>
        <v>10</v>
      </c>
      <c r="D1494" s="12" t="str">
        <f>IFERROR(__xludf.DUMMYFUNCTION("IFERROR(IF(REGEXMATCH(LOWER(Raw_Data!C1500),""fixed deposit|owealth|savings|target""),""Fixed Deposit"",IF(REGEXMATCH(LOWER(Raw_Data!C1500),""airtime""),""Airtime"",IF(REGEXMATCH(LOWER(Raw_Data!C1500),""electronic money transfer levy""),""Electronic Money"&amp;" Transfer Levy"",IF(REGEXMATCH(LOWER(Raw_Data!C1500),""transfer|trf|send""),""Transfer"",""Other"")))),""Other"")"),"Transfer")</f>
        <v>Transfer</v>
      </c>
      <c r="E1494" s="20">
        <v>1000.0</v>
      </c>
      <c r="F1494" s="20">
        <v>0.0</v>
      </c>
      <c r="G1494" s="12" t="str">
        <f t="shared" si="3"/>
        <v>Withdrawal</v>
      </c>
      <c r="H1494" s="12" t="str">
        <f>TEXT(Raw_Data!A1500,"hh:mm:ss")
</f>
        <v>10:30:55</v>
      </c>
      <c r="I1494" s="20">
        <f t="shared" si="4"/>
        <v>1000</v>
      </c>
    </row>
    <row r="1495">
      <c r="A1495" s="12" t="str">
        <f>Raw_Data!A1501</f>
        <v>26 Oct 2025 10:35:13</v>
      </c>
      <c r="B1495" s="12" t="str">
        <f t="shared" si="1"/>
        <v>October</v>
      </c>
      <c r="C1495" s="12">
        <f t="shared" si="2"/>
        <v>10</v>
      </c>
      <c r="D1495" s="12" t="str">
        <f>IFERROR(__xludf.DUMMYFUNCTION("IFERROR(IF(REGEXMATCH(LOWER(Raw_Data!C1501),""fixed deposit|owealth|savings|target""),""Fixed Deposit"",IF(REGEXMATCH(LOWER(Raw_Data!C1501),""airtime""),""Airtime"",IF(REGEXMATCH(LOWER(Raw_Data!C1501),""electronic money transfer levy""),""Electronic Money"&amp;" Transfer Levy"",IF(REGEXMATCH(LOWER(Raw_Data!C1501),""transfer|trf|send""),""Transfer"",""Other"")))),""Other"")"),"Transfer")</f>
        <v>Transfer</v>
      </c>
      <c r="E1495" s="20">
        <v>250.0</v>
      </c>
      <c r="F1495" s="20">
        <v>0.0</v>
      </c>
      <c r="G1495" s="12" t="str">
        <f t="shared" si="3"/>
        <v>Withdrawal</v>
      </c>
      <c r="H1495" s="12" t="str">
        <f>TEXT(Raw_Data!A1501,"hh:mm:ss")
</f>
        <v>10:35:13</v>
      </c>
      <c r="I1495" s="20">
        <f t="shared" si="4"/>
        <v>250</v>
      </c>
    </row>
    <row r="1496">
      <c r="A1496" s="12" t="str">
        <f>Raw_Data!A1502</f>
        <v>26 Oct 2025 10:35:28</v>
      </c>
      <c r="B1496" s="12" t="str">
        <f t="shared" si="1"/>
        <v>October</v>
      </c>
      <c r="C1496" s="12">
        <f t="shared" si="2"/>
        <v>10</v>
      </c>
      <c r="D1496" s="12" t="str">
        <f>IFERROR(__xludf.DUMMYFUNCTION("IFERROR(IF(REGEXMATCH(LOWER(Raw_Data!C1502),""fixed deposit|owealth|savings|target""),""Fixed Deposit"",IF(REGEXMATCH(LOWER(Raw_Data!C1502),""airtime""),""Airtime"",IF(REGEXMATCH(LOWER(Raw_Data!C1502),""electronic money transfer levy""),""Electronic Money"&amp;" Transfer Levy"",IF(REGEXMATCH(LOWER(Raw_Data!C1502),""transfer|trf|send""),""Transfer"",""Other"")))),""Other"")"),"Airtime")</f>
        <v>Airtime</v>
      </c>
      <c r="E1496" s="20">
        <v>500.0</v>
      </c>
      <c r="F1496" s="20">
        <v>0.0</v>
      </c>
      <c r="G1496" s="12" t="str">
        <f t="shared" si="3"/>
        <v>Withdrawal</v>
      </c>
      <c r="H1496" s="12" t="str">
        <f>TEXT(Raw_Data!A1502,"hh:mm:ss")
</f>
        <v>10:35:28</v>
      </c>
      <c r="I1496" s="20">
        <f t="shared" si="4"/>
        <v>500</v>
      </c>
    </row>
    <row r="1497">
      <c r="A1497" s="12" t="str">
        <f>Raw_Data!A1503</f>
        <v>26 Oct 2025 15:30:05</v>
      </c>
      <c r="B1497" s="12" t="str">
        <f t="shared" si="1"/>
        <v>October</v>
      </c>
      <c r="C1497" s="12">
        <f t="shared" si="2"/>
        <v>10</v>
      </c>
      <c r="D1497" s="12" t="str">
        <f>IFERROR(__xludf.DUMMYFUNCTION("IFERROR(IF(REGEXMATCH(LOWER(Raw_Data!C1503),""fixed deposit|owealth|savings|target""),""Fixed Deposit"",IF(REGEXMATCH(LOWER(Raw_Data!C1503),""airtime""),""Airtime"",IF(REGEXMATCH(LOWER(Raw_Data!C1503),""electronic money transfer levy""),""Electronic Money"&amp;" Transfer Levy"",IF(REGEXMATCH(LOWER(Raw_Data!C1503),""transfer|trf|send""),""Transfer"",""Other"")))),""Other"")"),"Transfer")</f>
        <v>Transfer</v>
      </c>
      <c r="E1497" s="20">
        <v>200.0</v>
      </c>
      <c r="F1497" s="20">
        <v>0.0</v>
      </c>
      <c r="G1497" s="12" t="str">
        <f t="shared" si="3"/>
        <v>Withdrawal</v>
      </c>
      <c r="H1497" s="12" t="str">
        <f>TEXT(Raw_Data!A1503,"hh:mm:ss")
</f>
        <v>15:30:05</v>
      </c>
      <c r="I1497" s="20">
        <f t="shared" si="4"/>
        <v>200</v>
      </c>
    </row>
    <row r="1498">
      <c r="A1498" s="12" t="str">
        <f>Raw_Data!A1504</f>
        <v>27 Oct 2025 07:54:08</v>
      </c>
      <c r="B1498" s="12" t="str">
        <f t="shared" si="1"/>
        <v>October</v>
      </c>
      <c r="C1498" s="12">
        <f t="shared" si="2"/>
        <v>10</v>
      </c>
      <c r="D1498" s="12" t="str">
        <f>IFERROR(__xludf.DUMMYFUNCTION("IFERROR(IF(REGEXMATCH(LOWER(Raw_Data!C1504),""fixed deposit|owealth|savings|target""),""Fixed Deposit"",IF(REGEXMATCH(LOWER(Raw_Data!C1504),""airtime""),""Airtime"",IF(REGEXMATCH(LOWER(Raw_Data!C1504),""electronic money transfer levy""),""Electronic Money"&amp;" Transfer Levy"",IF(REGEXMATCH(LOWER(Raw_Data!C1504),""transfer|trf|send""),""Transfer"",""Other"")))),""Other"")"),"Airtime")</f>
        <v>Airtime</v>
      </c>
      <c r="E1498" s="20">
        <v>43.65</v>
      </c>
      <c r="F1498" s="20">
        <v>0.0</v>
      </c>
      <c r="G1498" s="12" t="str">
        <f t="shared" si="3"/>
        <v>Withdrawal</v>
      </c>
      <c r="H1498" s="12" t="str">
        <f>TEXT(Raw_Data!A1504,"hh:mm:ss")
</f>
        <v>07:54:08</v>
      </c>
      <c r="I1498" s="20">
        <f t="shared" si="4"/>
        <v>43.65</v>
      </c>
    </row>
    <row r="1499">
      <c r="A1499" s="12" t="str">
        <f>Raw_Data!A1505</f>
        <v>27 Oct 2025 12:45:46</v>
      </c>
      <c r="B1499" s="12" t="str">
        <f t="shared" si="1"/>
        <v>October</v>
      </c>
      <c r="C1499" s="12">
        <f t="shared" si="2"/>
        <v>10</v>
      </c>
      <c r="D1499" s="12" t="str">
        <f>IFERROR(__xludf.DUMMYFUNCTION("IFERROR(IF(REGEXMATCH(LOWER(Raw_Data!C1505),""fixed deposit|owealth|savings|target""),""Fixed Deposit"",IF(REGEXMATCH(LOWER(Raw_Data!C1505),""airtime""),""Airtime"",IF(REGEXMATCH(LOWER(Raw_Data!C1505),""electronic money transfer levy""),""Electronic Money"&amp;" Transfer Levy"",IF(REGEXMATCH(LOWER(Raw_Data!C1505),""transfer|trf|send""),""Transfer"",""Other"")))),""Other"")"),"Transfer")</f>
        <v>Transfer</v>
      </c>
      <c r="E1499" s="20">
        <v>0.0</v>
      </c>
      <c r="F1499" s="20">
        <v>3000.0</v>
      </c>
      <c r="G1499" s="12" t="str">
        <f t="shared" si="3"/>
        <v>Deposit</v>
      </c>
      <c r="H1499" s="12" t="str">
        <f>TEXT(Raw_Data!A1505,"hh:mm:ss")
</f>
        <v>12:45:46</v>
      </c>
      <c r="I1499" s="20">
        <f t="shared" si="4"/>
        <v>3000</v>
      </c>
    </row>
    <row r="1500">
      <c r="A1500" s="12" t="str">
        <f>Raw_Data!A1506</f>
        <v>27 Oct 2025 12:47:53</v>
      </c>
      <c r="B1500" s="12" t="str">
        <f t="shared" si="1"/>
        <v>October</v>
      </c>
      <c r="C1500" s="12">
        <f t="shared" si="2"/>
        <v>10</v>
      </c>
      <c r="D1500" s="12" t="str">
        <f>IFERROR(__xludf.DUMMYFUNCTION("IFERROR(IF(REGEXMATCH(LOWER(Raw_Data!C1506),""fixed deposit|owealth|savings|target""),""Fixed Deposit"",IF(REGEXMATCH(LOWER(Raw_Data!C1506),""airtime""),""Airtime"",IF(REGEXMATCH(LOWER(Raw_Data!C1506),""electronic money transfer levy""),""Electronic Money"&amp;" Transfer Levy"",IF(REGEXMATCH(LOWER(Raw_Data!C1506),""transfer|trf|send""),""Transfer"",""Other"")))),""Other"")"),"Other")</f>
        <v>Other</v>
      </c>
      <c r="E1500" s="20">
        <v>1500.0</v>
      </c>
      <c r="F1500" s="20">
        <v>0.0</v>
      </c>
      <c r="G1500" s="12" t="str">
        <f t="shared" si="3"/>
        <v>Withdrawal</v>
      </c>
      <c r="H1500" s="12" t="str">
        <f>TEXT(Raw_Data!A1506,"hh:mm:ss")
</f>
        <v>12:47:53</v>
      </c>
      <c r="I1500" s="20">
        <f t="shared" si="4"/>
        <v>1500</v>
      </c>
    </row>
    <row r="1501">
      <c r="A1501" s="12" t="str">
        <f>Raw_Data!A1507</f>
        <v>27 Oct 2025 12:50:08</v>
      </c>
      <c r="B1501" s="12" t="str">
        <f t="shared" si="1"/>
        <v>October</v>
      </c>
      <c r="C1501" s="12">
        <f t="shared" si="2"/>
        <v>10</v>
      </c>
      <c r="D1501" s="12" t="str">
        <f>IFERROR(__xludf.DUMMYFUNCTION("IFERROR(IF(REGEXMATCH(LOWER(Raw_Data!C1507),""fixed deposit|owealth|savings|target""),""Fixed Deposit"",IF(REGEXMATCH(LOWER(Raw_Data!C1507),""airtime""),""Airtime"",IF(REGEXMATCH(LOWER(Raw_Data!C1507),""electronic money transfer levy""),""Electronic Money"&amp;" Transfer Levy"",IF(REGEXMATCH(LOWER(Raw_Data!C1507),""transfer|trf|send""),""Transfer"",""Other"")))),""Other"")"),"Other")</f>
        <v>Other</v>
      </c>
      <c r="E1501" s="20">
        <v>1500.0</v>
      </c>
      <c r="F1501" s="20">
        <v>0.0</v>
      </c>
      <c r="G1501" s="12" t="str">
        <f t="shared" si="3"/>
        <v>Withdrawal</v>
      </c>
      <c r="H1501" s="12" t="str">
        <f>TEXT(Raw_Data!A1507,"hh:mm:ss")
</f>
        <v>12:50:08</v>
      </c>
      <c r="I1501" s="20">
        <f t="shared" si="4"/>
        <v>1500</v>
      </c>
    </row>
    <row r="1502">
      <c r="A1502" s="12" t="str">
        <f>Raw_Data!A1508</f>
        <v>27 Oct 2025 18:03:05</v>
      </c>
      <c r="B1502" s="12" t="str">
        <f t="shared" si="1"/>
        <v>October</v>
      </c>
      <c r="C1502" s="12">
        <f t="shared" si="2"/>
        <v>10</v>
      </c>
      <c r="D1502" s="12" t="str">
        <f>IFERROR(__xludf.DUMMYFUNCTION("IFERROR(IF(REGEXMATCH(LOWER(Raw_Data!C1508),""fixed deposit|owealth|savings|target""),""Fixed Deposit"",IF(REGEXMATCH(LOWER(Raw_Data!C1508),""airtime""),""Airtime"",IF(REGEXMATCH(LOWER(Raw_Data!C1508),""electronic money transfer levy""),""Electronic Money"&amp;" Transfer Levy"",IF(REGEXMATCH(LOWER(Raw_Data!C1508),""transfer|trf|send""),""Transfer"",""Other"")))),""Other"")"),"Transfer")</f>
        <v>Transfer</v>
      </c>
      <c r="E1502" s="20">
        <v>0.0</v>
      </c>
      <c r="F1502" s="20">
        <v>6500.0</v>
      </c>
      <c r="G1502" s="12" t="str">
        <f t="shared" si="3"/>
        <v>Deposit</v>
      </c>
      <c r="H1502" s="12" t="str">
        <f>TEXT(Raw_Data!A1508,"hh:mm:ss")
</f>
        <v>18:03:05</v>
      </c>
      <c r="I1502" s="20">
        <f t="shared" si="4"/>
        <v>6500</v>
      </c>
    </row>
    <row r="1503">
      <c r="A1503" s="12" t="str">
        <f>Raw_Data!A1509</f>
        <v>27 Oct 2025 18:07:28</v>
      </c>
      <c r="B1503" s="12" t="str">
        <f t="shared" si="1"/>
        <v>October</v>
      </c>
      <c r="C1503" s="12">
        <f t="shared" si="2"/>
        <v>10</v>
      </c>
      <c r="D1503" s="12" t="str">
        <f>IFERROR(__xludf.DUMMYFUNCTION("IFERROR(IF(REGEXMATCH(LOWER(Raw_Data!C1509),""fixed deposit|owealth|savings|target""),""Fixed Deposit"",IF(REGEXMATCH(LOWER(Raw_Data!C1509),""airtime""),""Airtime"",IF(REGEXMATCH(LOWER(Raw_Data!C1509),""electronic money transfer levy""),""Electronic Money"&amp;" Transfer Levy"",IF(REGEXMATCH(LOWER(Raw_Data!C1509),""transfer|trf|send""),""Transfer"",""Other"")))),""Other"")"),"Transfer")</f>
        <v>Transfer</v>
      </c>
      <c r="E1503" s="20">
        <v>1500.0</v>
      </c>
      <c r="F1503" s="20">
        <v>0.0</v>
      </c>
      <c r="G1503" s="12" t="str">
        <f t="shared" si="3"/>
        <v>Withdrawal</v>
      </c>
      <c r="H1503" s="12" t="str">
        <f>TEXT(Raw_Data!A1509,"hh:mm:ss")
</f>
        <v>18:07:28</v>
      </c>
      <c r="I1503" s="20">
        <f t="shared" si="4"/>
        <v>1500</v>
      </c>
    </row>
    <row r="1504">
      <c r="A1504" s="12" t="str">
        <f>Raw_Data!A1510</f>
        <v>27 Oct 2025 18:10:47</v>
      </c>
      <c r="B1504" s="12" t="str">
        <f t="shared" si="1"/>
        <v>October</v>
      </c>
      <c r="C1504" s="12">
        <f t="shared" si="2"/>
        <v>10</v>
      </c>
      <c r="D1504" s="12" t="str">
        <f>IFERROR(__xludf.DUMMYFUNCTION("IFERROR(IF(REGEXMATCH(LOWER(Raw_Data!C1510),""fixed deposit|owealth|savings|target""),""Fixed Deposit"",IF(REGEXMATCH(LOWER(Raw_Data!C1510),""airtime""),""Airtime"",IF(REGEXMATCH(LOWER(Raw_Data!C1510),""electronic money transfer levy""),""Electronic Money"&amp;" Transfer Levy"",IF(REGEXMATCH(LOWER(Raw_Data!C1510),""transfer|trf|send""),""Transfer"",""Other"")))),""Other"")"),"Airtime")</f>
        <v>Airtime</v>
      </c>
      <c r="E1504" s="20">
        <v>300.0</v>
      </c>
      <c r="F1504" s="20">
        <v>0.0</v>
      </c>
      <c r="G1504" s="12" t="str">
        <f t="shared" si="3"/>
        <v>Withdrawal</v>
      </c>
      <c r="H1504" s="12" t="str">
        <f>TEXT(Raw_Data!A1510,"hh:mm:ss")
</f>
        <v>18:10:47</v>
      </c>
      <c r="I1504" s="20">
        <f t="shared" si="4"/>
        <v>300</v>
      </c>
    </row>
    <row r="1505">
      <c r="A1505" s="12" t="str">
        <f>Raw_Data!A1511</f>
        <v>27 Oct 2025 20:39:49</v>
      </c>
      <c r="B1505" s="12" t="str">
        <f t="shared" si="1"/>
        <v>October</v>
      </c>
      <c r="C1505" s="12">
        <f t="shared" si="2"/>
        <v>10</v>
      </c>
      <c r="D1505" s="12" t="str">
        <f>IFERROR(__xludf.DUMMYFUNCTION("IFERROR(IF(REGEXMATCH(LOWER(Raw_Data!C1511),""fixed deposit|owealth|savings|target""),""Fixed Deposit"",IF(REGEXMATCH(LOWER(Raw_Data!C1511),""airtime""),""Airtime"",IF(REGEXMATCH(LOWER(Raw_Data!C1511),""electronic money transfer levy""),""Electronic Money"&amp;" Transfer Levy"",IF(REGEXMATCH(LOWER(Raw_Data!C1511),""transfer|trf|send""),""Transfer"",""Other"")))),""Other"")"),"Transfer")</f>
        <v>Transfer</v>
      </c>
      <c r="E1505" s="20">
        <v>2000.0</v>
      </c>
      <c r="F1505" s="20">
        <v>0.0</v>
      </c>
      <c r="G1505" s="12" t="str">
        <f t="shared" si="3"/>
        <v>Withdrawal</v>
      </c>
      <c r="H1505" s="12" t="str">
        <f>TEXT(Raw_Data!A1511,"hh:mm:ss")
</f>
        <v>20:39:49</v>
      </c>
      <c r="I1505" s="20">
        <f t="shared" si="4"/>
        <v>2000</v>
      </c>
    </row>
    <row r="1506">
      <c r="A1506" s="12" t="str">
        <f>Raw_Data!A1512</f>
        <v>27 Oct 2025 21:21:01</v>
      </c>
      <c r="B1506" s="12" t="str">
        <f t="shared" si="1"/>
        <v>October</v>
      </c>
      <c r="C1506" s="12">
        <f t="shared" si="2"/>
        <v>10</v>
      </c>
      <c r="D1506" s="12" t="str">
        <f>IFERROR(__xludf.DUMMYFUNCTION("IFERROR(IF(REGEXMATCH(LOWER(Raw_Data!C1512),""fixed deposit|owealth|savings|target""),""Fixed Deposit"",IF(REGEXMATCH(LOWER(Raw_Data!C1512),""airtime""),""Airtime"",IF(REGEXMATCH(LOWER(Raw_Data!C1512),""electronic money transfer levy""),""Electronic Money"&amp;" Transfer Levy"",IF(REGEXMATCH(LOWER(Raw_Data!C1512),""transfer|trf|send""),""Transfer"",""Other"")))),""Other"")"),"Transfer")</f>
        <v>Transfer</v>
      </c>
      <c r="E1506" s="20">
        <v>0.0</v>
      </c>
      <c r="F1506" s="20">
        <v>2000.0</v>
      </c>
      <c r="G1506" s="12" t="str">
        <f t="shared" si="3"/>
        <v>Deposit</v>
      </c>
      <c r="H1506" s="12" t="str">
        <f>TEXT(Raw_Data!A1512,"hh:mm:ss")
</f>
        <v>21:21:01</v>
      </c>
      <c r="I1506" s="20">
        <f t="shared" si="4"/>
        <v>2000</v>
      </c>
    </row>
    <row r="1507">
      <c r="A1507" s="12" t="str">
        <f>Raw_Data!A1513</f>
        <v>28 Oct 2025 08:26:06</v>
      </c>
      <c r="B1507" s="12" t="str">
        <f t="shared" si="1"/>
        <v>October</v>
      </c>
      <c r="C1507" s="12">
        <f t="shared" si="2"/>
        <v>10</v>
      </c>
      <c r="D1507" s="12" t="str">
        <f>IFERROR(__xludf.DUMMYFUNCTION("IFERROR(IF(REGEXMATCH(LOWER(Raw_Data!C1513),""fixed deposit|owealth|savings|target""),""Fixed Deposit"",IF(REGEXMATCH(LOWER(Raw_Data!C1513),""airtime""),""Airtime"",IF(REGEXMATCH(LOWER(Raw_Data!C1513),""electronic money transfer levy""),""Electronic Money"&amp;" Transfer Levy"",IF(REGEXMATCH(LOWER(Raw_Data!C1513),""transfer|trf|send""),""Transfer"",""Other"")))),""Other"")"),"Transfer")</f>
        <v>Transfer</v>
      </c>
      <c r="E1507" s="20">
        <v>400.0</v>
      </c>
      <c r="F1507" s="20">
        <v>0.0</v>
      </c>
      <c r="G1507" s="12" t="str">
        <f t="shared" si="3"/>
        <v>Withdrawal</v>
      </c>
      <c r="H1507" s="12" t="str">
        <f>TEXT(Raw_Data!A1513,"hh:mm:ss")
</f>
        <v>08:26:06</v>
      </c>
      <c r="I1507" s="20">
        <f t="shared" si="4"/>
        <v>400</v>
      </c>
    </row>
    <row r="1508">
      <c r="A1508" s="12" t="str">
        <f>Raw_Data!A1514</f>
        <v>28 Oct 2025 08:31:42</v>
      </c>
      <c r="B1508" s="12" t="str">
        <f t="shared" si="1"/>
        <v>October</v>
      </c>
      <c r="C1508" s="12">
        <f t="shared" si="2"/>
        <v>10</v>
      </c>
      <c r="D1508" s="12" t="str">
        <f>IFERROR(__xludf.DUMMYFUNCTION("IFERROR(IF(REGEXMATCH(LOWER(Raw_Data!C1514),""fixed deposit|owealth|savings|target""),""Fixed Deposit"",IF(REGEXMATCH(LOWER(Raw_Data!C1514),""airtime""),""Airtime"",IF(REGEXMATCH(LOWER(Raw_Data!C1514),""electronic money transfer levy""),""Electronic Money"&amp;" Transfer Levy"",IF(REGEXMATCH(LOWER(Raw_Data!C1514),""transfer|trf|send""),""Transfer"",""Other"")))),""Other"")"),"Transfer")</f>
        <v>Transfer</v>
      </c>
      <c r="E1508" s="20">
        <v>2100.0</v>
      </c>
      <c r="F1508" s="20">
        <v>0.0</v>
      </c>
      <c r="G1508" s="12" t="str">
        <f t="shared" si="3"/>
        <v>Withdrawal</v>
      </c>
      <c r="H1508" s="12" t="str">
        <f>TEXT(Raw_Data!A1514,"hh:mm:ss")
</f>
        <v>08:31:42</v>
      </c>
      <c r="I1508" s="20">
        <f t="shared" si="4"/>
        <v>2100</v>
      </c>
    </row>
    <row r="1509">
      <c r="A1509" s="12" t="str">
        <f>Raw_Data!A1515</f>
        <v>28 Oct 2025 09:05:13</v>
      </c>
      <c r="B1509" s="12" t="str">
        <f t="shared" si="1"/>
        <v>October</v>
      </c>
      <c r="C1509" s="12">
        <f t="shared" si="2"/>
        <v>10</v>
      </c>
      <c r="D1509" s="12" t="str">
        <f>IFERROR(__xludf.DUMMYFUNCTION("IFERROR(IF(REGEXMATCH(LOWER(Raw_Data!C1515),""fixed deposit|owealth|savings|target""),""Fixed Deposit"",IF(REGEXMATCH(LOWER(Raw_Data!C1515),""airtime""),""Airtime"",IF(REGEXMATCH(LOWER(Raw_Data!C1515),""electronic money transfer levy""),""Electronic Money"&amp;" Transfer Levy"",IF(REGEXMATCH(LOWER(Raw_Data!C1515),""transfer|trf|send""),""Transfer"",""Other"")))),""Other"")"),"Transfer")</f>
        <v>Transfer</v>
      </c>
      <c r="E1509" s="20">
        <v>0.0</v>
      </c>
      <c r="F1509" s="20">
        <v>1000.0</v>
      </c>
      <c r="G1509" s="12" t="str">
        <f t="shared" si="3"/>
        <v>Deposit</v>
      </c>
      <c r="H1509" s="12" t="str">
        <f>TEXT(Raw_Data!A1515,"hh:mm:ss")
</f>
        <v>09:05:13</v>
      </c>
      <c r="I1509" s="20">
        <f t="shared" si="4"/>
        <v>1000</v>
      </c>
    </row>
    <row r="1510">
      <c r="A1510" s="12" t="str">
        <f>Raw_Data!A1516</f>
        <v>28 Oct 2025 09:19:08</v>
      </c>
      <c r="B1510" s="12" t="str">
        <f t="shared" si="1"/>
        <v>October</v>
      </c>
      <c r="C1510" s="12">
        <f t="shared" si="2"/>
        <v>10</v>
      </c>
      <c r="D1510" s="12" t="str">
        <f>IFERROR(__xludf.DUMMYFUNCTION("IFERROR(IF(REGEXMATCH(LOWER(Raw_Data!C1516),""fixed deposit|owealth|savings|target""),""Fixed Deposit"",IF(REGEXMATCH(LOWER(Raw_Data!C1516),""airtime""),""Airtime"",IF(REGEXMATCH(LOWER(Raw_Data!C1516),""electronic money transfer levy""),""Electronic Money"&amp;" Transfer Levy"",IF(REGEXMATCH(LOWER(Raw_Data!C1516),""transfer|trf|send""),""Transfer"",""Other"")))),""Other"")"),"Transfer")</f>
        <v>Transfer</v>
      </c>
      <c r="E1510" s="20">
        <v>500.0</v>
      </c>
      <c r="F1510" s="20">
        <v>0.0</v>
      </c>
      <c r="G1510" s="12" t="str">
        <f t="shared" si="3"/>
        <v>Withdrawal</v>
      </c>
      <c r="H1510" s="12" t="str">
        <f>TEXT(Raw_Data!A1516,"hh:mm:ss")
</f>
        <v>09:19:08</v>
      </c>
      <c r="I1510" s="20">
        <f t="shared" si="4"/>
        <v>500</v>
      </c>
    </row>
    <row r="1511">
      <c r="A1511" s="12" t="str">
        <f>Raw_Data!A1517</f>
        <v>28 Oct 2025 10:56:56</v>
      </c>
      <c r="B1511" s="12" t="str">
        <f t="shared" si="1"/>
        <v>October</v>
      </c>
      <c r="C1511" s="12">
        <f t="shared" si="2"/>
        <v>10</v>
      </c>
      <c r="D1511" s="12" t="str">
        <f>IFERROR(__xludf.DUMMYFUNCTION("IFERROR(IF(REGEXMATCH(LOWER(Raw_Data!C1517),""fixed deposit|owealth|savings|target""),""Fixed Deposit"",IF(REGEXMATCH(LOWER(Raw_Data!C1517),""airtime""),""Airtime"",IF(REGEXMATCH(LOWER(Raw_Data!C1517),""electronic money transfer levy""),""Electronic Money"&amp;" Transfer Levy"",IF(REGEXMATCH(LOWER(Raw_Data!C1517),""transfer|trf|send""),""Transfer"",""Other"")))),""Other"")"),"Transfer")</f>
        <v>Transfer</v>
      </c>
      <c r="E1511" s="20">
        <v>1600.0</v>
      </c>
      <c r="F1511" s="20">
        <v>0.0</v>
      </c>
      <c r="G1511" s="12" t="str">
        <f t="shared" si="3"/>
        <v>Withdrawal</v>
      </c>
      <c r="H1511" s="12" t="str">
        <f>TEXT(Raw_Data!A1517,"hh:mm:ss")
</f>
        <v>10:56:56</v>
      </c>
      <c r="I1511" s="20">
        <f t="shared" si="4"/>
        <v>1600</v>
      </c>
    </row>
    <row r="1512">
      <c r="A1512" s="12" t="str">
        <f>Raw_Data!A1518</f>
        <v>28 Oct 2025 13:53:57</v>
      </c>
      <c r="B1512" s="12" t="str">
        <f t="shared" si="1"/>
        <v>October</v>
      </c>
      <c r="C1512" s="12">
        <f t="shared" si="2"/>
        <v>10</v>
      </c>
      <c r="D1512" s="12" t="str">
        <f>IFERROR(__xludf.DUMMYFUNCTION("IFERROR(IF(REGEXMATCH(LOWER(Raw_Data!C1518),""fixed deposit|owealth|savings|target""),""Fixed Deposit"",IF(REGEXMATCH(LOWER(Raw_Data!C1518),""airtime""),""Airtime"",IF(REGEXMATCH(LOWER(Raw_Data!C1518),""electronic money transfer levy""),""Electronic Money"&amp;" Transfer Levy"",IF(REGEXMATCH(LOWER(Raw_Data!C1518),""transfer|trf|send""),""Transfer"",""Other"")))),""Other"")"),"Transfer")</f>
        <v>Transfer</v>
      </c>
      <c r="E1512" s="20">
        <v>1130.0</v>
      </c>
      <c r="F1512" s="20">
        <v>0.0</v>
      </c>
      <c r="G1512" s="12" t="str">
        <f t="shared" si="3"/>
        <v>Withdrawal</v>
      </c>
      <c r="H1512" s="12" t="str">
        <f>TEXT(Raw_Data!A1518,"hh:mm:ss")
</f>
        <v>13:53:57</v>
      </c>
      <c r="I1512" s="20">
        <f t="shared" si="4"/>
        <v>1130</v>
      </c>
    </row>
    <row r="1513">
      <c r="A1513" s="12" t="str">
        <f>Raw_Data!A1519</f>
        <v>28 Oct 2025 14:41:59</v>
      </c>
      <c r="B1513" s="12" t="str">
        <f t="shared" si="1"/>
        <v>October</v>
      </c>
      <c r="C1513" s="12">
        <f t="shared" si="2"/>
        <v>10</v>
      </c>
      <c r="D1513" s="12" t="str">
        <f>IFERROR(__xludf.DUMMYFUNCTION("IFERROR(IF(REGEXMATCH(LOWER(Raw_Data!C1519),""fixed deposit|owealth|savings|target""),""Fixed Deposit"",IF(REGEXMATCH(LOWER(Raw_Data!C1519),""airtime""),""Airtime"",IF(REGEXMATCH(LOWER(Raw_Data!C1519),""electronic money transfer levy""),""Electronic Money"&amp;" Transfer Levy"",IF(REGEXMATCH(LOWER(Raw_Data!C1519),""transfer|trf|send""),""Transfer"",""Other"")))),""Other"")"),"Transfer")</f>
        <v>Transfer</v>
      </c>
      <c r="E1513" s="20">
        <v>0.0</v>
      </c>
      <c r="F1513" s="20">
        <v>3000.0</v>
      </c>
      <c r="G1513" s="12" t="str">
        <f t="shared" si="3"/>
        <v>Deposit</v>
      </c>
      <c r="H1513" s="12" t="str">
        <f>TEXT(Raw_Data!A1519,"hh:mm:ss")
</f>
        <v>14:41:59</v>
      </c>
      <c r="I1513" s="20">
        <f t="shared" si="4"/>
        <v>3000</v>
      </c>
    </row>
    <row r="1514">
      <c r="A1514" s="12" t="str">
        <f>Raw_Data!A1520</f>
        <v>28 Oct 2025 15:18:46</v>
      </c>
      <c r="B1514" s="12" t="str">
        <f t="shared" si="1"/>
        <v>October</v>
      </c>
      <c r="C1514" s="12">
        <f t="shared" si="2"/>
        <v>10</v>
      </c>
      <c r="D1514" s="12" t="str">
        <f>IFERROR(__xludf.DUMMYFUNCTION("IFERROR(IF(REGEXMATCH(LOWER(Raw_Data!C1520),""fixed deposit|owealth|savings|target""),""Fixed Deposit"",IF(REGEXMATCH(LOWER(Raw_Data!C1520),""airtime""),""Airtime"",IF(REGEXMATCH(LOWER(Raw_Data!C1520),""electronic money transfer levy""),""Electronic Money"&amp;" Transfer Levy"",IF(REGEXMATCH(LOWER(Raw_Data!C1520),""transfer|trf|send""),""Transfer"",""Other"")))),""Other"")"),"Transfer")</f>
        <v>Transfer</v>
      </c>
      <c r="E1514" s="20">
        <v>2000.0</v>
      </c>
      <c r="F1514" s="20">
        <v>0.0</v>
      </c>
      <c r="G1514" s="12" t="str">
        <f t="shared" si="3"/>
        <v>Withdrawal</v>
      </c>
      <c r="H1514" s="12" t="str">
        <f>TEXT(Raw_Data!A1520,"hh:mm:ss")
</f>
        <v>15:18:46</v>
      </c>
      <c r="I1514" s="20">
        <f t="shared" si="4"/>
        <v>2000</v>
      </c>
    </row>
    <row r="1515">
      <c r="A1515" s="12" t="str">
        <f>Raw_Data!A1521</f>
        <v>28 Oct 2025 16:55:55</v>
      </c>
      <c r="B1515" s="12" t="str">
        <f t="shared" si="1"/>
        <v>October</v>
      </c>
      <c r="C1515" s="12">
        <f t="shared" si="2"/>
        <v>10</v>
      </c>
      <c r="D1515" s="12" t="str">
        <f>IFERROR(__xludf.DUMMYFUNCTION("IFERROR(IF(REGEXMATCH(LOWER(Raw_Data!C1521),""fixed deposit|owealth|savings|target""),""Fixed Deposit"",IF(REGEXMATCH(LOWER(Raw_Data!C1521),""airtime""),""Airtime"",IF(REGEXMATCH(LOWER(Raw_Data!C1521),""electronic money transfer levy""),""Electronic Money"&amp;" Transfer Levy"",IF(REGEXMATCH(LOWER(Raw_Data!C1521),""transfer|trf|send""),""Transfer"",""Other"")))),""Other"")"),"Transfer")</f>
        <v>Transfer</v>
      </c>
      <c r="E1515" s="20">
        <v>0.0</v>
      </c>
      <c r="F1515" s="20">
        <v>5000.0</v>
      </c>
      <c r="G1515" s="12" t="str">
        <f t="shared" si="3"/>
        <v>Deposit</v>
      </c>
      <c r="H1515" s="12" t="str">
        <f>TEXT(Raw_Data!A1521,"hh:mm:ss")
</f>
        <v>16:55:55</v>
      </c>
      <c r="I1515" s="20">
        <f t="shared" si="4"/>
        <v>5000</v>
      </c>
    </row>
    <row r="1516">
      <c r="A1516" s="12" t="str">
        <f>Raw_Data!A1522</f>
        <v>28 Oct 2025 20:29:02</v>
      </c>
      <c r="B1516" s="12" t="str">
        <f t="shared" si="1"/>
        <v>October</v>
      </c>
      <c r="C1516" s="12">
        <f t="shared" si="2"/>
        <v>10</v>
      </c>
      <c r="D1516" s="12" t="str">
        <f>IFERROR(__xludf.DUMMYFUNCTION("IFERROR(IF(REGEXMATCH(LOWER(Raw_Data!C1522),""fixed deposit|owealth|savings|target""),""Fixed Deposit"",IF(REGEXMATCH(LOWER(Raw_Data!C1522),""airtime""),""Airtime"",IF(REGEXMATCH(LOWER(Raw_Data!C1522),""electronic money transfer levy""),""Electronic Money"&amp;" Transfer Levy"",IF(REGEXMATCH(LOWER(Raw_Data!C1522),""transfer|trf|send""),""Transfer"",""Other"")))),""Other"")"),"Transfer")</f>
        <v>Transfer</v>
      </c>
      <c r="E1516" s="20">
        <v>0.0</v>
      </c>
      <c r="F1516" s="20">
        <v>10000.0</v>
      </c>
      <c r="G1516" s="12" t="str">
        <f t="shared" si="3"/>
        <v>Deposit</v>
      </c>
      <c r="H1516" s="12" t="str">
        <f>TEXT(Raw_Data!A1522,"hh:mm:ss")
</f>
        <v>20:29:02</v>
      </c>
      <c r="I1516" s="20">
        <f t="shared" si="4"/>
        <v>10000</v>
      </c>
    </row>
    <row r="1517">
      <c r="A1517" s="12" t="str">
        <f>Raw_Data!A1523</f>
        <v>28 Oct 2025 20:29:04</v>
      </c>
      <c r="B1517" s="12" t="str">
        <f t="shared" si="1"/>
        <v>October</v>
      </c>
      <c r="C1517" s="12">
        <f t="shared" si="2"/>
        <v>10</v>
      </c>
      <c r="D1517" s="12" t="str">
        <f>IFERROR(__xludf.DUMMYFUNCTION("IFERROR(IF(REGEXMATCH(LOWER(Raw_Data!C1523),""fixed deposit|owealth|savings|target""),""Fixed Deposit"",IF(REGEXMATCH(LOWER(Raw_Data!C1523),""airtime""),""Airtime"",IF(REGEXMATCH(LOWER(Raw_Data!C1523),""electronic money transfer levy""),""Electronic Money"&amp;" Transfer Levy"",IF(REGEXMATCH(LOWER(Raw_Data!C1523),""transfer|trf|send""),""Transfer"",""Other"")))),""Other"")"),"Electronic Money Transfer Levy")</f>
        <v>Electronic Money Transfer Levy</v>
      </c>
      <c r="E1517" s="20">
        <v>50.0</v>
      </c>
      <c r="F1517" s="20">
        <v>0.0</v>
      </c>
      <c r="G1517" s="12" t="str">
        <f t="shared" si="3"/>
        <v>Withdrawal</v>
      </c>
      <c r="H1517" s="12" t="str">
        <f>TEXT(Raw_Data!A1523,"hh:mm:ss")
</f>
        <v>20:29:04</v>
      </c>
      <c r="I1517" s="20">
        <f t="shared" si="4"/>
        <v>50</v>
      </c>
    </row>
    <row r="1518">
      <c r="A1518" s="12" t="str">
        <f>Raw_Data!A1524</f>
        <v>28 Oct 2025 20:30:49</v>
      </c>
      <c r="B1518" s="12" t="str">
        <f t="shared" si="1"/>
        <v>October</v>
      </c>
      <c r="C1518" s="12">
        <f t="shared" si="2"/>
        <v>10</v>
      </c>
      <c r="D1518" s="12" t="str">
        <f>IFERROR(__xludf.DUMMYFUNCTION("IFERROR(IF(REGEXMATCH(LOWER(Raw_Data!C1524),""fixed deposit|owealth|savings|target""),""Fixed Deposit"",IF(REGEXMATCH(LOWER(Raw_Data!C1524),""airtime""),""Airtime"",IF(REGEXMATCH(LOWER(Raw_Data!C1524),""electronic money transfer levy""),""Electronic Money"&amp;" Transfer Levy"",IF(REGEXMATCH(LOWER(Raw_Data!C1524),""transfer|trf|send""),""Transfer"",""Other"")))),""Other"")"),"Transfer")</f>
        <v>Transfer</v>
      </c>
      <c r="E1518" s="20">
        <v>2010.0</v>
      </c>
      <c r="F1518" s="20">
        <v>0.0</v>
      </c>
      <c r="G1518" s="12" t="str">
        <f t="shared" si="3"/>
        <v>Withdrawal</v>
      </c>
      <c r="H1518" s="12" t="str">
        <f>TEXT(Raw_Data!A1524,"hh:mm:ss")
</f>
        <v>20:30:49</v>
      </c>
      <c r="I1518" s="20">
        <f t="shared" si="4"/>
        <v>2010</v>
      </c>
    </row>
    <row r="1519">
      <c r="A1519" s="12" t="str">
        <f>Raw_Data!A1525</f>
        <v>28 Oct 2025 20:37:43</v>
      </c>
      <c r="B1519" s="12" t="str">
        <f t="shared" si="1"/>
        <v>October</v>
      </c>
      <c r="C1519" s="12">
        <f t="shared" si="2"/>
        <v>10</v>
      </c>
      <c r="D1519" s="12" t="str">
        <f>IFERROR(__xludf.DUMMYFUNCTION("IFERROR(IF(REGEXMATCH(LOWER(Raw_Data!C1525),""fixed deposit|owealth|savings|target""),""Fixed Deposit"",IF(REGEXMATCH(LOWER(Raw_Data!C1525),""airtime""),""Airtime"",IF(REGEXMATCH(LOWER(Raw_Data!C1525),""electronic money transfer levy""),""Electronic Money"&amp;" Transfer Levy"",IF(REGEXMATCH(LOWER(Raw_Data!C1525),""transfer|trf|send""),""Transfer"",""Other"")))),""Other"")"),"Transfer")</f>
        <v>Transfer</v>
      </c>
      <c r="E1519" s="20">
        <v>1010.0</v>
      </c>
      <c r="F1519" s="20">
        <v>0.0</v>
      </c>
      <c r="G1519" s="12" t="str">
        <f t="shared" si="3"/>
        <v>Withdrawal</v>
      </c>
      <c r="H1519" s="12" t="str">
        <f>TEXT(Raw_Data!A1525,"hh:mm:ss")
</f>
        <v>20:37:43</v>
      </c>
      <c r="I1519" s="20">
        <f t="shared" si="4"/>
        <v>1010</v>
      </c>
    </row>
    <row r="1520">
      <c r="A1520" s="12" t="str">
        <f>Raw_Data!A1526</f>
        <v>28 Oct 2025 20:37:58</v>
      </c>
      <c r="B1520" s="12" t="str">
        <f t="shared" si="1"/>
        <v>October</v>
      </c>
      <c r="C1520" s="12">
        <f t="shared" si="2"/>
        <v>10</v>
      </c>
      <c r="D1520" s="12" t="str">
        <f>IFERROR(__xludf.DUMMYFUNCTION("IFERROR(IF(REGEXMATCH(LOWER(Raw_Data!C1526),""fixed deposit|owealth|savings|target""),""Fixed Deposit"",IF(REGEXMATCH(LOWER(Raw_Data!C1526),""airtime""),""Airtime"",IF(REGEXMATCH(LOWER(Raw_Data!C1526),""electronic money transfer levy""),""Electronic Money"&amp;" Transfer Levy"",IF(REGEXMATCH(LOWER(Raw_Data!C1526),""transfer|trf|send""),""Transfer"",""Other"")))),""Other"")"),"Airtime")</f>
        <v>Airtime</v>
      </c>
      <c r="E1520" s="20">
        <v>300.0</v>
      </c>
      <c r="F1520" s="20">
        <v>0.0</v>
      </c>
      <c r="G1520" s="12" t="str">
        <f t="shared" si="3"/>
        <v>Withdrawal</v>
      </c>
      <c r="H1520" s="12" t="str">
        <f>TEXT(Raw_Data!A1526,"hh:mm:ss")
</f>
        <v>20:37:58</v>
      </c>
      <c r="I1520" s="20">
        <f t="shared" si="4"/>
        <v>300</v>
      </c>
    </row>
    <row r="1521">
      <c r="A1521" s="12" t="str">
        <f>Raw_Data!A1527</f>
        <v>28 Oct 2025 20:38:20</v>
      </c>
      <c r="B1521" s="12" t="str">
        <f t="shared" si="1"/>
        <v>October</v>
      </c>
      <c r="C1521" s="12">
        <f t="shared" si="2"/>
        <v>10</v>
      </c>
      <c r="D1521" s="12" t="str">
        <f>IFERROR(__xludf.DUMMYFUNCTION("IFERROR(IF(REGEXMATCH(LOWER(Raw_Data!C1527),""fixed deposit|owealth|savings|target""),""Fixed Deposit"",IF(REGEXMATCH(LOWER(Raw_Data!C1527),""airtime""),""Airtime"",IF(REGEXMATCH(LOWER(Raw_Data!C1527),""electronic money transfer levy""),""Electronic Money"&amp;" Transfer Levy"",IF(REGEXMATCH(LOWER(Raw_Data!C1527),""transfer|trf|send""),""Transfer"",""Other"")))),""Other"")"),"Airtime")</f>
        <v>Airtime</v>
      </c>
      <c r="E1521" s="20">
        <v>200.0</v>
      </c>
      <c r="F1521" s="20">
        <v>0.0</v>
      </c>
      <c r="G1521" s="12" t="str">
        <f t="shared" si="3"/>
        <v>Withdrawal</v>
      </c>
      <c r="H1521" s="12" t="str">
        <f>TEXT(Raw_Data!A1527,"hh:mm:ss")
</f>
        <v>20:38:20</v>
      </c>
      <c r="I1521" s="20">
        <f t="shared" si="4"/>
        <v>200</v>
      </c>
    </row>
    <row r="1522">
      <c r="A1522" s="12" t="str">
        <f>Raw_Data!A1528</f>
        <v>28 Oct 2025 20:39:32</v>
      </c>
      <c r="B1522" s="12" t="str">
        <f t="shared" si="1"/>
        <v>October</v>
      </c>
      <c r="C1522" s="12">
        <f t="shared" si="2"/>
        <v>10</v>
      </c>
      <c r="D1522" s="12" t="str">
        <f>IFERROR(__xludf.DUMMYFUNCTION("IFERROR(IF(REGEXMATCH(LOWER(Raw_Data!C1528),""fixed deposit|owealth|savings|target""),""Fixed Deposit"",IF(REGEXMATCH(LOWER(Raw_Data!C1528),""airtime""),""Airtime"",IF(REGEXMATCH(LOWER(Raw_Data!C1528),""electronic money transfer levy""),""Electronic Money"&amp;" Transfer Levy"",IF(REGEXMATCH(LOWER(Raw_Data!C1528),""transfer|trf|send""),""Transfer"",""Other"")))),""Other"")"),"Transfer")</f>
        <v>Transfer</v>
      </c>
      <c r="E1522" s="20">
        <v>560.0</v>
      </c>
      <c r="F1522" s="20">
        <v>0.0</v>
      </c>
      <c r="G1522" s="12" t="str">
        <f t="shared" si="3"/>
        <v>Withdrawal</v>
      </c>
      <c r="H1522" s="12" t="str">
        <f>TEXT(Raw_Data!A1528,"hh:mm:ss")
</f>
        <v>20:39:32</v>
      </c>
      <c r="I1522" s="20">
        <f t="shared" si="4"/>
        <v>560</v>
      </c>
    </row>
    <row r="1523">
      <c r="A1523" s="12" t="str">
        <f>Raw_Data!A1529</f>
        <v>29 Oct 2025 07:47:11</v>
      </c>
      <c r="B1523" s="12" t="str">
        <f t="shared" si="1"/>
        <v>October</v>
      </c>
      <c r="C1523" s="12">
        <f t="shared" si="2"/>
        <v>10</v>
      </c>
      <c r="D1523" s="12" t="str">
        <f>IFERROR(__xludf.DUMMYFUNCTION("IFERROR(IF(REGEXMATCH(LOWER(Raw_Data!C1529),""fixed deposit|owealth|savings|target""),""Fixed Deposit"",IF(REGEXMATCH(LOWER(Raw_Data!C1529),""airtime""),""Airtime"",IF(REGEXMATCH(LOWER(Raw_Data!C1529),""electronic money transfer levy""),""Electronic Money"&amp;" Transfer Levy"",IF(REGEXMATCH(LOWER(Raw_Data!C1529),""transfer|trf|send""),""Transfer"",""Other"")))),""Other"")"),"Transfer")</f>
        <v>Transfer</v>
      </c>
      <c r="E1523" s="20">
        <v>2000.0</v>
      </c>
      <c r="F1523" s="20">
        <v>0.0</v>
      </c>
      <c r="G1523" s="12" t="str">
        <f t="shared" si="3"/>
        <v>Withdrawal</v>
      </c>
      <c r="H1523" s="12" t="str">
        <f>TEXT(Raw_Data!A1529,"hh:mm:ss")
</f>
        <v>07:47:11</v>
      </c>
      <c r="I1523" s="20">
        <f t="shared" si="4"/>
        <v>2000</v>
      </c>
    </row>
    <row r="1524">
      <c r="A1524" s="12" t="str">
        <f>Raw_Data!A1530</f>
        <v>29 Oct 2025 08:08:14</v>
      </c>
      <c r="B1524" s="12" t="str">
        <f t="shared" si="1"/>
        <v>October</v>
      </c>
      <c r="C1524" s="12">
        <f t="shared" si="2"/>
        <v>10</v>
      </c>
      <c r="D1524" s="12" t="str">
        <f>IFERROR(__xludf.DUMMYFUNCTION("IFERROR(IF(REGEXMATCH(LOWER(Raw_Data!C1530),""fixed deposit|owealth|savings|target""),""Fixed Deposit"",IF(REGEXMATCH(LOWER(Raw_Data!C1530),""airtime""),""Airtime"",IF(REGEXMATCH(LOWER(Raw_Data!C1530),""electronic money transfer levy""),""Electronic Money"&amp;" Transfer Levy"",IF(REGEXMATCH(LOWER(Raw_Data!C1530),""transfer|trf|send""),""Transfer"",""Other"")))),""Other"")"),"Transfer")</f>
        <v>Transfer</v>
      </c>
      <c r="E1524" s="20">
        <v>1000.0</v>
      </c>
      <c r="F1524" s="20">
        <v>0.0</v>
      </c>
      <c r="G1524" s="12" t="str">
        <f t="shared" si="3"/>
        <v>Withdrawal</v>
      </c>
      <c r="H1524" s="12" t="str">
        <f>TEXT(Raw_Data!A1530,"hh:mm:ss")
</f>
        <v>08:08:14</v>
      </c>
      <c r="I1524" s="20">
        <f t="shared" si="4"/>
        <v>1000</v>
      </c>
    </row>
    <row r="1525">
      <c r="A1525" s="12" t="str">
        <f>Raw_Data!A1531</f>
        <v>29 Oct 2025 08:46:34</v>
      </c>
      <c r="B1525" s="12" t="str">
        <f t="shared" si="1"/>
        <v>October</v>
      </c>
      <c r="C1525" s="12">
        <f t="shared" si="2"/>
        <v>10</v>
      </c>
      <c r="D1525" s="12" t="str">
        <f>IFERROR(__xludf.DUMMYFUNCTION("IFERROR(IF(REGEXMATCH(LOWER(Raw_Data!C1531),""fixed deposit|owealth|savings|target""),""Fixed Deposit"",IF(REGEXMATCH(LOWER(Raw_Data!C1531),""airtime""),""Airtime"",IF(REGEXMATCH(LOWER(Raw_Data!C1531),""electronic money transfer levy""),""Electronic Money"&amp;" Transfer Levy"",IF(REGEXMATCH(LOWER(Raw_Data!C1531),""transfer|trf|send""),""Transfer"",""Other"")))),""Other"")"),"Transfer")</f>
        <v>Transfer</v>
      </c>
      <c r="E1525" s="20">
        <v>4700.0</v>
      </c>
      <c r="F1525" s="20">
        <v>0.0</v>
      </c>
      <c r="G1525" s="12" t="str">
        <f t="shared" si="3"/>
        <v>Withdrawal</v>
      </c>
      <c r="H1525" s="12" t="str">
        <f>TEXT(Raw_Data!A1531,"hh:mm:ss")
</f>
        <v>08:46:34</v>
      </c>
      <c r="I1525" s="20">
        <f t="shared" si="4"/>
        <v>4700</v>
      </c>
    </row>
    <row r="1526">
      <c r="A1526" s="12" t="str">
        <f>Raw_Data!A1532</f>
        <v>29 Oct 2025 08:50:58</v>
      </c>
      <c r="B1526" s="12" t="str">
        <f t="shared" si="1"/>
        <v>October</v>
      </c>
      <c r="C1526" s="12">
        <f t="shared" si="2"/>
        <v>10</v>
      </c>
      <c r="D1526" s="12" t="str">
        <f>IFERROR(__xludf.DUMMYFUNCTION("IFERROR(IF(REGEXMATCH(LOWER(Raw_Data!C1532),""fixed deposit|owealth|savings|target""),""Fixed Deposit"",IF(REGEXMATCH(LOWER(Raw_Data!C1532),""airtime""),""Airtime"",IF(REGEXMATCH(LOWER(Raw_Data!C1532),""electronic money transfer levy""),""Electronic Money"&amp;" Transfer Levy"",IF(REGEXMATCH(LOWER(Raw_Data!C1532),""transfer|trf|send""),""Transfer"",""Other"")))),""Other"")"),"Transfer")</f>
        <v>Transfer</v>
      </c>
      <c r="E1526" s="20">
        <v>800.0</v>
      </c>
      <c r="F1526" s="20">
        <v>0.0</v>
      </c>
      <c r="G1526" s="12" t="str">
        <f t="shared" si="3"/>
        <v>Withdrawal</v>
      </c>
      <c r="H1526" s="12" t="str">
        <f>TEXT(Raw_Data!A1532,"hh:mm:ss")
</f>
        <v>08:50:58</v>
      </c>
      <c r="I1526" s="20">
        <f t="shared" si="4"/>
        <v>800</v>
      </c>
    </row>
    <row r="1527">
      <c r="A1527" s="12" t="str">
        <f>Raw_Data!A1533</f>
        <v>29 Oct 2025 09:00:14</v>
      </c>
      <c r="B1527" s="12" t="str">
        <f t="shared" si="1"/>
        <v>October</v>
      </c>
      <c r="C1527" s="12">
        <f t="shared" si="2"/>
        <v>10</v>
      </c>
      <c r="D1527" s="12" t="str">
        <f>IFERROR(__xludf.DUMMYFUNCTION("IFERROR(IF(REGEXMATCH(LOWER(Raw_Data!C1533),""fixed deposit|owealth|savings|target""),""Fixed Deposit"",IF(REGEXMATCH(LOWER(Raw_Data!C1533),""airtime""),""Airtime"",IF(REGEXMATCH(LOWER(Raw_Data!C1533),""electronic money transfer levy""),""Electronic Money"&amp;" Transfer Levy"",IF(REGEXMATCH(LOWER(Raw_Data!C1533),""transfer|trf|send""),""Transfer"",""Other"")))),""Other"")"),"Airtime")</f>
        <v>Airtime</v>
      </c>
      <c r="E1527" s="20">
        <v>200.0</v>
      </c>
      <c r="F1527" s="20">
        <v>0.0</v>
      </c>
      <c r="G1527" s="12" t="str">
        <f t="shared" si="3"/>
        <v>Withdrawal</v>
      </c>
      <c r="H1527" s="12" t="str">
        <f>TEXT(Raw_Data!A1533,"hh:mm:ss")
</f>
        <v>09:00:14</v>
      </c>
      <c r="I1527" s="20">
        <f t="shared" si="4"/>
        <v>200</v>
      </c>
    </row>
    <row r="1528">
      <c r="A1528" s="12" t="str">
        <f>Raw_Data!A1534</f>
        <v>29 Oct 2025 10:55:24</v>
      </c>
      <c r="B1528" s="12" t="str">
        <f t="shared" si="1"/>
        <v>October</v>
      </c>
      <c r="C1528" s="12">
        <f t="shared" si="2"/>
        <v>10</v>
      </c>
      <c r="D1528" s="12" t="str">
        <f>IFERROR(__xludf.DUMMYFUNCTION("IFERROR(IF(REGEXMATCH(LOWER(Raw_Data!C1534),""fixed deposit|owealth|savings|target""),""Fixed Deposit"",IF(REGEXMATCH(LOWER(Raw_Data!C1534),""airtime""),""Airtime"",IF(REGEXMATCH(LOWER(Raw_Data!C1534),""electronic money transfer levy""),""Electronic Money"&amp;" Transfer Levy"",IF(REGEXMATCH(LOWER(Raw_Data!C1534),""transfer|trf|send""),""Transfer"",""Other"")))),""Other"")"),"Transfer")</f>
        <v>Transfer</v>
      </c>
      <c r="E1528" s="20">
        <v>300.0</v>
      </c>
      <c r="F1528" s="20">
        <v>0.0</v>
      </c>
      <c r="G1528" s="12" t="str">
        <f t="shared" si="3"/>
        <v>Withdrawal</v>
      </c>
      <c r="H1528" s="12" t="str">
        <f>TEXT(Raw_Data!A1534,"hh:mm:ss")
</f>
        <v>10:55:24</v>
      </c>
      <c r="I1528" s="20">
        <f t="shared" si="4"/>
        <v>300</v>
      </c>
    </row>
    <row r="1529">
      <c r="A1529" s="12" t="str">
        <f>Raw_Data!A1535</f>
        <v>29 Oct 2025 11:03:50</v>
      </c>
      <c r="B1529" s="12" t="str">
        <f t="shared" si="1"/>
        <v>October</v>
      </c>
      <c r="C1529" s="12">
        <f t="shared" si="2"/>
        <v>10</v>
      </c>
      <c r="D1529" s="12" t="str">
        <f>IFERROR(__xludf.DUMMYFUNCTION("IFERROR(IF(REGEXMATCH(LOWER(Raw_Data!C1535),""fixed deposit|owealth|savings|target""),""Fixed Deposit"",IF(REGEXMATCH(LOWER(Raw_Data!C1535),""airtime""),""Airtime"",IF(REGEXMATCH(LOWER(Raw_Data!C1535),""electronic money transfer levy""),""Electronic Money"&amp;" Transfer Levy"",IF(REGEXMATCH(LOWER(Raw_Data!C1535),""transfer|trf|send""),""Transfer"",""Other"")))),""Other"")"),"Transfer")</f>
        <v>Transfer</v>
      </c>
      <c r="E1529" s="20">
        <v>100.0</v>
      </c>
      <c r="F1529" s="20">
        <v>0.0</v>
      </c>
      <c r="G1529" s="12" t="str">
        <f t="shared" si="3"/>
        <v>Withdrawal</v>
      </c>
      <c r="H1529" s="12" t="str">
        <f>TEXT(Raw_Data!A1535,"hh:mm:ss")
</f>
        <v>11:03:50</v>
      </c>
      <c r="I1529" s="20">
        <f t="shared" si="4"/>
        <v>100</v>
      </c>
    </row>
    <row r="1530">
      <c r="A1530" s="12" t="str">
        <f>Raw_Data!A1536</f>
        <v>30 Oct 2025 04:13:58</v>
      </c>
      <c r="B1530" s="12" t="str">
        <f t="shared" si="1"/>
        <v>October</v>
      </c>
      <c r="C1530" s="12">
        <f t="shared" si="2"/>
        <v>10</v>
      </c>
      <c r="D1530" s="12" t="str">
        <f>IFERROR(__xludf.DUMMYFUNCTION("IFERROR(IF(REGEXMATCH(LOWER(Raw_Data!C1536),""fixed deposit|owealth|savings|target""),""Fixed Deposit"",IF(REGEXMATCH(LOWER(Raw_Data!C1536),""airtime""),""Airtime"",IF(REGEXMATCH(LOWER(Raw_Data!C1536),""electronic money transfer levy""),""Electronic Money"&amp;" Transfer Levy"",IF(REGEXMATCH(LOWER(Raw_Data!C1536),""transfer|trf|send""),""Transfer"",""Other"")))),""Other"")"),"Transfer")</f>
        <v>Transfer</v>
      </c>
      <c r="E1530" s="20">
        <v>0.0</v>
      </c>
      <c r="F1530" s="20">
        <v>10000.0</v>
      </c>
      <c r="G1530" s="12" t="str">
        <f t="shared" si="3"/>
        <v>Deposit</v>
      </c>
      <c r="H1530" s="12" t="str">
        <f>TEXT(Raw_Data!A1536,"hh:mm:ss")
</f>
        <v>04:13:58</v>
      </c>
      <c r="I1530" s="20">
        <f t="shared" si="4"/>
        <v>10000</v>
      </c>
    </row>
    <row r="1531">
      <c r="A1531" s="12" t="str">
        <f>Raw_Data!A1537</f>
        <v>30 Oct 2025 04:14:00</v>
      </c>
      <c r="B1531" s="12" t="str">
        <f t="shared" si="1"/>
        <v>October</v>
      </c>
      <c r="C1531" s="12">
        <f t="shared" si="2"/>
        <v>10</v>
      </c>
      <c r="D1531" s="12" t="str">
        <f>IFERROR(__xludf.DUMMYFUNCTION("IFERROR(IF(REGEXMATCH(LOWER(Raw_Data!C1537),""fixed deposit|owealth|savings|target""),""Fixed Deposit"",IF(REGEXMATCH(LOWER(Raw_Data!C1537),""airtime""),""Airtime"",IF(REGEXMATCH(LOWER(Raw_Data!C1537),""electronic money transfer levy""),""Electronic Money"&amp;" Transfer Levy"",IF(REGEXMATCH(LOWER(Raw_Data!C1537),""transfer|trf|send""),""Transfer"",""Other"")))),""Other"")"),"Electronic Money Transfer Levy")</f>
        <v>Electronic Money Transfer Levy</v>
      </c>
      <c r="E1531" s="20">
        <v>50.0</v>
      </c>
      <c r="F1531" s="20">
        <v>0.0</v>
      </c>
      <c r="G1531" s="12" t="str">
        <f t="shared" si="3"/>
        <v>Withdrawal</v>
      </c>
      <c r="H1531" s="12" t="str">
        <f>TEXT(Raw_Data!A1537,"hh:mm:ss")
</f>
        <v>04:14:00</v>
      </c>
      <c r="I1531" s="20">
        <f t="shared" si="4"/>
        <v>50</v>
      </c>
    </row>
    <row r="1532">
      <c r="A1532" s="12" t="str">
        <f>Raw_Data!A1538</f>
        <v>30 Oct 2025 06:17:47</v>
      </c>
      <c r="B1532" s="12" t="str">
        <f t="shared" si="1"/>
        <v>October</v>
      </c>
      <c r="C1532" s="12">
        <f t="shared" si="2"/>
        <v>10</v>
      </c>
      <c r="D1532" s="12" t="str">
        <f>IFERROR(__xludf.DUMMYFUNCTION("IFERROR(IF(REGEXMATCH(LOWER(Raw_Data!C1538),""fixed deposit|owealth|savings|target""),""Fixed Deposit"",IF(REGEXMATCH(LOWER(Raw_Data!C1538),""airtime""),""Airtime"",IF(REGEXMATCH(LOWER(Raw_Data!C1538),""electronic money transfer levy""),""Electronic Money"&amp;" Transfer Levy"",IF(REGEXMATCH(LOWER(Raw_Data!C1538),""transfer|trf|send""),""Transfer"",""Other"")))),""Other"")"),"Fixed Deposit")</f>
        <v>Fixed Deposit</v>
      </c>
      <c r="E1532" s="20">
        <v>5000.0</v>
      </c>
      <c r="F1532" s="20">
        <v>0.0</v>
      </c>
      <c r="G1532" s="12" t="str">
        <f t="shared" si="3"/>
        <v>Withdrawal</v>
      </c>
      <c r="H1532" s="12" t="str">
        <f>TEXT(Raw_Data!A1538,"hh:mm:ss")
</f>
        <v>06:17:47</v>
      </c>
      <c r="I1532" s="20">
        <f t="shared" si="4"/>
        <v>5000</v>
      </c>
    </row>
    <row r="1533">
      <c r="A1533" s="12" t="str">
        <f>Raw_Data!A1539</f>
        <v>30 Oct 2025 06:58:53</v>
      </c>
      <c r="B1533" s="12" t="str">
        <f t="shared" si="1"/>
        <v>October</v>
      </c>
      <c r="C1533" s="12">
        <f t="shared" si="2"/>
        <v>10</v>
      </c>
      <c r="D1533" s="12" t="str">
        <f>IFERROR(__xludf.DUMMYFUNCTION("IFERROR(IF(REGEXMATCH(LOWER(Raw_Data!C1539),""fixed deposit|owealth|savings|target""),""Fixed Deposit"",IF(REGEXMATCH(LOWER(Raw_Data!C1539),""airtime""),""Airtime"",IF(REGEXMATCH(LOWER(Raw_Data!C1539),""electronic money transfer levy""),""Electronic Money"&amp;" Transfer Levy"",IF(REGEXMATCH(LOWER(Raw_Data!C1539),""transfer|trf|send""),""Transfer"",""Other"")))),""Other"")"),"Transfer")</f>
        <v>Transfer</v>
      </c>
      <c r="E1533" s="20">
        <v>300.0</v>
      </c>
      <c r="F1533" s="20">
        <v>0.0</v>
      </c>
      <c r="G1533" s="12" t="str">
        <f t="shared" si="3"/>
        <v>Withdrawal</v>
      </c>
      <c r="H1533" s="12" t="str">
        <f>TEXT(Raw_Data!A1539,"hh:mm:ss")
</f>
        <v>06:58:53</v>
      </c>
      <c r="I1533" s="20">
        <f t="shared" si="4"/>
        <v>300</v>
      </c>
    </row>
    <row r="1534">
      <c r="A1534" s="12" t="str">
        <f>Raw_Data!A1540</f>
        <v>30 Oct 2025 07:45:11</v>
      </c>
      <c r="B1534" s="12" t="str">
        <f t="shared" si="1"/>
        <v>October</v>
      </c>
      <c r="C1534" s="12">
        <f t="shared" si="2"/>
        <v>10</v>
      </c>
      <c r="D1534" s="12" t="str">
        <f>IFERROR(__xludf.DUMMYFUNCTION("IFERROR(IF(REGEXMATCH(LOWER(Raw_Data!C1540),""fixed deposit|owealth|savings|target""),""Fixed Deposit"",IF(REGEXMATCH(LOWER(Raw_Data!C1540),""airtime""),""Airtime"",IF(REGEXMATCH(LOWER(Raw_Data!C1540),""electronic money transfer levy""),""Electronic Money"&amp;" Transfer Levy"",IF(REGEXMATCH(LOWER(Raw_Data!C1540),""transfer|trf|send""),""Transfer"",""Other"")))),""Other"")"),"Transfer")</f>
        <v>Transfer</v>
      </c>
      <c r="E1534" s="20">
        <v>700.0</v>
      </c>
      <c r="F1534" s="20">
        <v>0.0</v>
      </c>
      <c r="G1534" s="12" t="str">
        <f t="shared" si="3"/>
        <v>Withdrawal</v>
      </c>
      <c r="H1534" s="12" t="str">
        <f>TEXT(Raw_Data!A1540,"hh:mm:ss")
</f>
        <v>07:45:11</v>
      </c>
      <c r="I1534" s="20">
        <f t="shared" si="4"/>
        <v>700</v>
      </c>
    </row>
    <row r="1535">
      <c r="A1535" s="12" t="str">
        <f>Raw_Data!A1541</f>
        <v>30 Oct 2025 08:30:02</v>
      </c>
      <c r="B1535" s="12" t="str">
        <f t="shared" si="1"/>
        <v>October</v>
      </c>
      <c r="C1535" s="12">
        <f t="shared" si="2"/>
        <v>10</v>
      </c>
      <c r="D1535" s="12" t="str">
        <f>IFERROR(__xludf.DUMMYFUNCTION("IFERROR(IF(REGEXMATCH(LOWER(Raw_Data!C1541),""fixed deposit|owealth|savings|target""),""Fixed Deposit"",IF(REGEXMATCH(LOWER(Raw_Data!C1541),""airtime""),""Airtime"",IF(REGEXMATCH(LOWER(Raw_Data!C1541),""electronic money transfer levy""),""Electronic Money"&amp;" Transfer Levy"",IF(REGEXMATCH(LOWER(Raw_Data!C1541),""transfer|trf|send""),""Transfer"",""Other"")))),""Other"")"),"Transfer")</f>
        <v>Transfer</v>
      </c>
      <c r="E1535" s="20">
        <v>200.0</v>
      </c>
      <c r="F1535" s="20">
        <v>0.0</v>
      </c>
      <c r="G1535" s="12" t="str">
        <f t="shared" si="3"/>
        <v>Withdrawal</v>
      </c>
      <c r="H1535" s="12" t="str">
        <f>TEXT(Raw_Data!A1541,"hh:mm:ss")
</f>
        <v>08:30:02</v>
      </c>
      <c r="I1535" s="20">
        <f t="shared" si="4"/>
        <v>200</v>
      </c>
    </row>
    <row r="1536">
      <c r="A1536" s="12" t="str">
        <f>Raw_Data!A1542</f>
        <v>30 Oct 2025 08:32:23</v>
      </c>
      <c r="B1536" s="12" t="str">
        <f t="shared" si="1"/>
        <v>October</v>
      </c>
      <c r="C1536" s="12">
        <f t="shared" si="2"/>
        <v>10</v>
      </c>
      <c r="D1536" s="12" t="str">
        <f>IFERROR(__xludf.DUMMYFUNCTION("IFERROR(IF(REGEXMATCH(LOWER(Raw_Data!C1542),""fixed deposit|owealth|savings|target""),""Fixed Deposit"",IF(REGEXMATCH(LOWER(Raw_Data!C1542),""airtime""),""Airtime"",IF(REGEXMATCH(LOWER(Raw_Data!C1542),""electronic money transfer levy""),""Electronic Money"&amp;" Transfer Levy"",IF(REGEXMATCH(LOWER(Raw_Data!C1542),""transfer|trf|send""),""Transfer"",""Other"")))),""Other"")"),"Transfer")</f>
        <v>Transfer</v>
      </c>
      <c r="E1536" s="20">
        <v>100.0</v>
      </c>
      <c r="F1536" s="20">
        <v>0.0</v>
      </c>
      <c r="G1536" s="12" t="str">
        <f t="shared" si="3"/>
        <v>Withdrawal</v>
      </c>
      <c r="H1536" s="12" t="str">
        <f>TEXT(Raw_Data!A1542,"hh:mm:ss")
</f>
        <v>08:32:23</v>
      </c>
      <c r="I1536" s="20">
        <f t="shared" si="4"/>
        <v>100</v>
      </c>
    </row>
    <row r="1537">
      <c r="A1537" s="12" t="str">
        <f>Raw_Data!A1543</f>
        <v>30 Oct 2025 08:36:34</v>
      </c>
      <c r="B1537" s="12" t="str">
        <f t="shared" si="1"/>
        <v>October</v>
      </c>
      <c r="C1537" s="12">
        <f t="shared" si="2"/>
        <v>10</v>
      </c>
      <c r="D1537" s="12" t="str">
        <f>IFERROR(__xludf.DUMMYFUNCTION("IFERROR(IF(REGEXMATCH(LOWER(Raw_Data!C1543),""fixed deposit|owealth|savings|target""),""Fixed Deposit"",IF(REGEXMATCH(LOWER(Raw_Data!C1543),""airtime""),""Airtime"",IF(REGEXMATCH(LOWER(Raw_Data!C1543),""electronic money transfer levy""),""Electronic Money"&amp;" Transfer Levy"",IF(REGEXMATCH(LOWER(Raw_Data!C1543),""transfer|trf|send""),""Transfer"",""Other"")))),""Other"")"),"Transfer")</f>
        <v>Transfer</v>
      </c>
      <c r="E1537" s="20">
        <v>600.0</v>
      </c>
      <c r="F1537" s="20">
        <v>0.0</v>
      </c>
      <c r="G1537" s="12" t="str">
        <f t="shared" si="3"/>
        <v>Withdrawal</v>
      </c>
      <c r="H1537" s="12" t="str">
        <f>TEXT(Raw_Data!A1543,"hh:mm:ss")
</f>
        <v>08:36:34</v>
      </c>
      <c r="I1537" s="20">
        <f t="shared" si="4"/>
        <v>600</v>
      </c>
    </row>
    <row r="1538">
      <c r="A1538" s="12" t="str">
        <f>Raw_Data!A1544</f>
        <v>30 Oct 2025 08:37:02</v>
      </c>
      <c r="B1538" s="12" t="str">
        <f t="shared" si="1"/>
        <v>October</v>
      </c>
      <c r="C1538" s="12">
        <f t="shared" si="2"/>
        <v>10</v>
      </c>
      <c r="D1538" s="12" t="str">
        <f>IFERROR(__xludf.DUMMYFUNCTION("IFERROR(IF(REGEXMATCH(LOWER(Raw_Data!C1544),""fixed deposit|owealth|savings|target""),""Fixed Deposit"",IF(REGEXMATCH(LOWER(Raw_Data!C1544),""airtime""),""Airtime"",IF(REGEXMATCH(LOWER(Raw_Data!C1544),""electronic money transfer levy""),""Electronic Money"&amp;" Transfer Levy"",IF(REGEXMATCH(LOWER(Raw_Data!C1544),""transfer|trf|send""),""Transfer"",""Other"")))),""Other"")"),"Transfer")</f>
        <v>Transfer</v>
      </c>
      <c r="E1538" s="20">
        <v>900.0</v>
      </c>
      <c r="F1538" s="20">
        <v>0.0</v>
      </c>
      <c r="G1538" s="12" t="str">
        <f t="shared" si="3"/>
        <v>Withdrawal</v>
      </c>
      <c r="H1538" s="12" t="str">
        <f>TEXT(Raw_Data!A1544,"hh:mm:ss")
</f>
        <v>08:37:02</v>
      </c>
      <c r="I1538" s="20">
        <f t="shared" si="4"/>
        <v>900</v>
      </c>
    </row>
    <row r="1539">
      <c r="A1539" s="12" t="str">
        <f>Raw_Data!A1545</f>
        <v>30 Oct 2025 17:23:38</v>
      </c>
      <c r="B1539" s="12" t="str">
        <f t="shared" si="1"/>
        <v>October</v>
      </c>
      <c r="C1539" s="12">
        <f t="shared" si="2"/>
        <v>10</v>
      </c>
      <c r="D1539" s="12" t="str">
        <f>IFERROR(__xludf.DUMMYFUNCTION("IFERROR(IF(REGEXMATCH(LOWER(Raw_Data!C1545),""fixed deposit|owealth|savings|target""),""Fixed Deposit"",IF(REGEXMATCH(LOWER(Raw_Data!C1545),""airtime""),""Airtime"",IF(REGEXMATCH(LOWER(Raw_Data!C1545),""electronic money transfer levy""),""Electronic Money"&amp;" Transfer Levy"",IF(REGEXMATCH(LOWER(Raw_Data!C1545),""transfer|trf|send""),""Transfer"",""Other"")))),""Other"")"),"Transfer")</f>
        <v>Transfer</v>
      </c>
      <c r="E1539" s="20">
        <v>0.0</v>
      </c>
      <c r="F1539" s="20">
        <v>20000.0</v>
      </c>
      <c r="G1539" s="12" t="str">
        <f t="shared" si="3"/>
        <v>Deposit</v>
      </c>
      <c r="H1539" s="12" t="str">
        <f>TEXT(Raw_Data!A1545,"hh:mm:ss")
</f>
        <v>17:23:38</v>
      </c>
      <c r="I1539" s="20">
        <f t="shared" si="4"/>
        <v>20000</v>
      </c>
    </row>
    <row r="1540">
      <c r="A1540" s="12" t="str">
        <f>Raw_Data!A1546</f>
        <v>30 Oct 2025 17:23:38</v>
      </c>
      <c r="B1540" s="12" t="str">
        <f t="shared" si="1"/>
        <v>October</v>
      </c>
      <c r="C1540" s="12">
        <f t="shared" si="2"/>
        <v>10</v>
      </c>
      <c r="D1540" s="12" t="str">
        <f>IFERROR(__xludf.DUMMYFUNCTION("IFERROR(IF(REGEXMATCH(LOWER(Raw_Data!C1546),""fixed deposit|owealth|savings|target""),""Fixed Deposit"",IF(REGEXMATCH(LOWER(Raw_Data!C1546),""airtime""),""Airtime"",IF(REGEXMATCH(LOWER(Raw_Data!C1546),""electronic money transfer levy""),""Electronic Money"&amp;" Transfer Levy"",IF(REGEXMATCH(LOWER(Raw_Data!C1546),""transfer|trf|send""),""Transfer"",""Other"")))),""Other"")"),"Electronic Money Transfer Levy")</f>
        <v>Electronic Money Transfer Levy</v>
      </c>
      <c r="E1540" s="20">
        <v>50.0</v>
      </c>
      <c r="F1540" s="20">
        <v>0.0</v>
      </c>
      <c r="G1540" s="12" t="str">
        <f t="shared" si="3"/>
        <v>Withdrawal</v>
      </c>
      <c r="H1540" s="12" t="str">
        <f>TEXT(Raw_Data!A1546,"hh:mm:ss")
</f>
        <v>17:23:38</v>
      </c>
      <c r="I1540" s="20">
        <f t="shared" si="4"/>
        <v>50</v>
      </c>
    </row>
    <row r="1541">
      <c r="A1541" s="12" t="str">
        <f>Raw_Data!A1547</f>
        <v>30 Oct 2025 17:46:58</v>
      </c>
      <c r="B1541" s="12" t="str">
        <f t="shared" si="1"/>
        <v>October</v>
      </c>
      <c r="C1541" s="12">
        <f t="shared" si="2"/>
        <v>10</v>
      </c>
      <c r="D1541" s="12" t="str">
        <f>IFERROR(__xludf.DUMMYFUNCTION("IFERROR(IF(REGEXMATCH(LOWER(Raw_Data!C1547),""fixed deposit|owealth|savings|target""),""Fixed Deposit"",IF(REGEXMATCH(LOWER(Raw_Data!C1547),""airtime""),""Airtime"",IF(REGEXMATCH(LOWER(Raw_Data!C1547),""electronic money transfer levy""),""Electronic Money"&amp;" Transfer Levy"",IF(REGEXMATCH(LOWER(Raw_Data!C1547),""transfer|trf|send""),""Transfer"",""Other"")))),""Other"")"),"Transfer")</f>
        <v>Transfer</v>
      </c>
      <c r="E1541" s="20">
        <v>200.0</v>
      </c>
      <c r="F1541" s="20">
        <v>0.0</v>
      </c>
      <c r="G1541" s="12" t="str">
        <f t="shared" si="3"/>
        <v>Withdrawal</v>
      </c>
      <c r="H1541" s="12" t="str">
        <f>TEXT(Raw_Data!A1547,"hh:mm:ss")
</f>
        <v>17:46:58</v>
      </c>
      <c r="I1541" s="20">
        <f t="shared" si="4"/>
        <v>200</v>
      </c>
    </row>
    <row r="1542">
      <c r="A1542" s="12" t="str">
        <f>Raw_Data!A1548</f>
        <v>31 Oct 2025 06:22:36</v>
      </c>
      <c r="B1542" s="12" t="str">
        <f t="shared" si="1"/>
        <v>October</v>
      </c>
      <c r="C1542" s="12">
        <f t="shared" si="2"/>
        <v>10</v>
      </c>
      <c r="D1542" s="12" t="str">
        <f>IFERROR(__xludf.DUMMYFUNCTION("IFERROR(IF(REGEXMATCH(LOWER(Raw_Data!C1548),""fixed deposit|owealth|savings|target""),""Fixed Deposit"",IF(REGEXMATCH(LOWER(Raw_Data!C1548),""airtime""),""Airtime"",IF(REGEXMATCH(LOWER(Raw_Data!C1548),""electronic money transfer levy""),""Electronic Money"&amp;" Transfer Levy"",IF(REGEXMATCH(LOWER(Raw_Data!C1548),""transfer|trf|send""),""Transfer"",""Other"")))),""Other"")"),"Airtime")</f>
        <v>Airtime</v>
      </c>
      <c r="E1542" s="20">
        <v>18900.0</v>
      </c>
      <c r="F1542" s="20">
        <v>0.0</v>
      </c>
      <c r="G1542" s="12" t="str">
        <f t="shared" si="3"/>
        <v>Withdrawal</v>
      </c>
      <c r="H1542" s="12" t="str">
        <f>TEXT(Raw_Data!A1548,"hh:mm:ss")
</f>
        <v>06:22:36</v>
      </c>
      <c r="I1542" s="20">
        <f t="shared" si="4"/>
        <v>18900</v>
      </c>
    </row>
    <row r="1543">
      <c r="A1543" s="12" t="str">
        <f>Raw_Data!A1549</f>
        <v>31 Oct 2025 06:22:36</v>
      </c>
      <c r="B1543" s="12" t="str">
        <f t="shared" si="1"/>
        <v>October</v>
      </c>
      <c r="C1543" s="12">
        <f t="shared" si="2"/>
        <v>10</v>
      </c>
      <c r="D1543" s="12" t="str">
        <f>IFERROR(__xludf.DUMMYFUNCTION("IFERROR(IF(REGEXMATCH(LOWER(Raw_Data!C1549),""fixed deposit|owealth|savings|target""),""Fixed Deposit"",IF(REGEXMATCH(LOWER(Raw_Data!C1549),""airtime""),""Airtime"",IF(REGEXMATCH(LOWER(Raw_Data!C1549),""electronic money transfer levy""),""Electronic Money"&amp;" Transfer Levy"",IF(REGEXMATCH(LOWER(Raw_Data!C1549),""transfer|trf|send""),""Transfer"",""Other"")))),""Other"")"),"Other")</f>
        <v>Other</v>
      </c>
      <c r="E1543" s="20">
        <v>99.0</v>
      </c>
      <c r="F1543" s="20">
        <v>0.0</v>
      </c>
      <c r="G1543" s="12" t="str">
        <f t="shared" si="3"/>
        <v>Withdrawal</v>
      </c>
      <c r="H1543" s="12" t="str">
        <f>TEXT(Raw_Data!A1549,"hh:mm:ss")
</f>
        <v>06:22:36</v>
      </c>
      <c r="I1543" s="20">
        <f t="shared" si="4"/>
        <v>99</v>
      </c>
    </row>
    <row r="1544">
      <c r="A1544" s="12" t="str">
        <f>Raw_Data!A1550</f>
        <v>31 Oct 2025 06:25:05</v>
      </c>
      <c r="B1544" s="12" t="str">
        <f t="shared" si="1"/>
        <v>October</v>
      </c>
      <c r="C1544" s="12">
        <f t="shared" si="2"/>
        <v>10</v>
      </c>
      <c r="D1544" s="12" t="str">
        <f>IFERROR(__xludf.DUMMYFUNCTION("IFERROR(IF(REGEXMATCH(LOWER(Raw_Data!C1550),""fixed deposit|owealth|savings|target""),""Fixed Deposit"",IF(REGEXMATCH(LOWER(Raw_Data!C1550),""airtime""),""Airtime"",IF(REGEXMATCH(LOWER(Raw_Data!C1550),""electronic money transfer levy""),""Electronic Money"&amp;" Transfer Levy"",IF(REGEXMATCH(LOWER(Raw_Data!C1550),""transfer|trf|send""),""Transfer"",""Other"")))),""Other"")"),"Airtime")</f>
        <v>Airtime</v>
      </c>
      <c r="E1544" s="20">
        <v>500.0</v>
      </c>
      <c r="F1544" s="20">
        <v>0.0</v>
      </c>
      <c r="G1544" s="12" t="str">
        <f t="shared" si="3"/>
        <v>Withdrawal</v>
      </c>
      <c r="H1544" s="12" t="str">
        <f>TEXT(Raw_Data!A1550,"hh:mm:ss")
</f>
        <v>06:25:05</v>
      </c>
      <c r="I1544" s="20">
        <f t="shared" si="4"/>
        <v>500</v>
      </c>
    </row>
    <row r="1545">
      <c r="A1545" s="12" t="str">
        <f>Raw_Data!A1551</f>
        <v>31 Oct 2025 07:24:38</v>
      </c>
      <c r="B1545" s="12" t="str">
        <f t="shared" si="1"/>
        <v>October</v>
      </c>
      <c r="C1545" s="12">
        <f t="shared" si="2"/>
        <v>10</v>
      </c>
      <c r="D1545" s="12" t="str">
        <f>IFERROR(__xludf.DUMMYFUNCTION("IFERROR(IF(REGEXMATCH(LOWER(Raw_Data!C1551),""fixed deposit|owealth|savings|target""),""Fixed Deposit"",IF(REGEXMATCH(LOWER(Raw_Data!C1551),""airtime""),""Airtime"",IF(REGEXMATCH(LOWER(Raw_Data!C1551),""electronic money transfer levy""),""Electronic Money"&amp;" Transfer Levy"",IF(REGEXMATCH(LOWER(Raw_Data!C1551),""transfer|trf|send""),""Transfer"",""Other"")))),""Other"")"),"Transfer")</f>
        <v>Transfer</v>
      </c>
      <c r="E1545" s="20">
        <v>400.0</v>
      </c>
      <c r="F1545" s="20">
        <v>0.0</v>
      </c>
      <c r="G1545" s="12" t="str">
        <f t="shared" si="3"/>
        <v>Withdrawal</v>
      </c>
      <c r="H1545" s="12" t="str">
        <f>TEXT(Raw_Data!A1551,"hh:mm:ss")
</f>
        <v>07:24:38</v>
      </c>
      <c r="I1545" s="20">
        <f t="shared" si="4"/>
        <v>400</v>
      </c>
    </row>
    <row r="1546">
      <c r="A1546" s="12" t="str">
        <f>Raw_Data!A1552</f>
        <v>31 Oct 2025 08:29:58</v>
      </c>
      <c r="B1546" s="12" t="str">
        <f t="shared" si="1"/>
        <v>October</v>
      </c>
      <c r="C1546" s="12">
        <f t="shared" si="2"/>
        <v>10</v>
      </c>
      <c r="D1546" s="12" t="str">
        <f>IFERROR(__xludf.DUMMYFUNCTION("IFERROR(IF(REGEXMATCH(LOWER(Raw_Data!C1552),""fixed deposit|owealth|savings|target""),""Fixed Deposit"",IF(REGEXMATCH(LOWER(Raw_Data!C1552),""airtime""),""Airtime"",IF(REGEXMATCH(LOWER(Raw_Data!C1552),""electronic money transfer levy""),""Electronic Money"&amp;" Transfer Levy"",IF(REGEXMATCH(LOWER(Raw_Data!C1552),""transfer|trf|send""),""Transfer"",""Other"")))),""Other"")"),"Transfer")</f>
        <v>Transfer</v>
      </c>
      <c r="E1546" s="20">
        <v>1000.0</v>
      </c>
      <c r="F1546" s="20">
        <v>0.0</v>
      </c>
      <c r="G1546" s="12" t="str">
        <f t="shared" si="3"/>
        <v>Withdrawal</v>
      </c>
      <c r="H1546" s="12" t="str">
        <f>TEXT(Raw_Data!A1552,"hh:mm:ss")
</f>
        <v>08:29:58</v>
      </c>
      <c r="I1546" s="20">
        <f t="shared" si="4"/>
        <v>1000</v>
      </c>
    </row>
    <row r="1547">
      <c r="A1547" s="12" t="str">
        <f>Raw_Data!A1553</f>
        <v>31 Oct 2025 09:13:28</v>
      </c>
      <c r="B1547" s="12" t="str">
        <f t="shared" si="1"/>
        <v>October</v>
      </c>
      <c r="C1547" s="12">
        <f t="shared" si="2"/>
        <v>10</v>
      </c>
      <c r="D1547" s="12" t="str">
        <f>IFERROR(__xludf.DUMMYFUNCTION("IFERROR(IF(REGEXMATCH(LOWER(Raw_Data!C1553),""fixed deposit|owealth|savings|target""),""Fixed Deposit"",IF(REGEXMATCH(LOWER(Raw_Data!C1553),""airtime""),""Airtime"",IF(REGEXMATCH(LOWER(Raw_Data!C1553),""electronic money transfer levy""),""Electronic Money"&amp;" Transfer Levy"",IF(REGEXMATCH(LOWER(Raw_Data!C1553),""transfer|trf|send""),""Transfer"",""Other"")))),""Other"")"),"Transfer")</f>
        <v>Transfer</v>
      </c>
      <c r="E1547" s="20">
        <v>0.0</v>
      </c>
      <c r="F1547" s="20">
        <v>5000.0</v>
      </c>
      <c r="G1547" s="12" t="str">
        <f t="shared" si="3"/>
        <v>Deposit</v>
      </c>
      <c r="H1547" s="12" t="str">
        <f>TEXT(Raw_Data!A1553,"hh:mm:ss")
</f>
        <v>09:13:28</v>
      </c>
      <c r="I1547" s="20">
        <f t="shared" si="4"/>
        <v>5000</v>
      </c>
    </row>
    <row r="1548">
      <c r="A1548" s="12" t="str">
        <f>Raw_Data!A1554</f>
        <v>31 Oct 2025 09:17:04</v>
      </c>
      <c r="B1548" s="12" t="str">
        <f t="shared" si="1"/>
        <v>October</v>
      </c>
      <c r="C1548" s="12">
        <f t="shared" si="2"/>
        <v>10</v>
      </c>
      <c r="D1548" s="12" t="str">
        <f>IFERROR(__xludf.DUMMYFUNCTION("IFERROR(IF(REGEXMATCH(LOWER(Raw_Data!C1554),""fixed deposit|owealth|savings|target""),""Fixed Deposit"",IF(REGEXMATCH(LOWER(Raw_Data!C1554),""airtime""),""Airtime"",IF(REGEXMATCH(LOWER(Raw_Data!C1554),""electronic money transfer levy""),""Electronic Money"&amp;" Transfer Levy"",IF(REGEXMATCH(LOWER(Raw_Data!C1554),""transfer|trf|send""),""Transfer"",""Other"")))),""Other"")"),"Transfer")</f>
        <v>Transfer</v>
      </c>
      <c r="E1548" s="20">
        <v>600.0</v>
      </c>
      <c r="F1548" s="20">
        <v>0.0</v>
      </c>
      <c r="G1548" s="12" t="str">
        <f t="shared" si="3"/>
        <v>Withdrawal</v>
      </c>
      <c r="H1548" s="12" t="str">
        <f>TEXT(Raw_Data!A1554,"hh:mm:ss")
</f>
        <v>09:17:04</v>
      </c>
      <c r="I1548" s="20">
        <f t="shared" si="4"/>
        <v>600</v>
      </c>
    </row>
    <row r="1549">
      <c r="A1549" s="12" t="str">
        <f>Raw_Data!A1555</f>
        <v>31 Oct 2025 12:27:35</v>
      </c>
      <c r="B1549" s="12" t="str">
        <f t="shared" si="1"/>
        <v>October</v>
      </c>
      <c r="C1549" s="12">
        <f t="shared" si="2"/>
        <v>10</v>
      </c>
      <c r="D1549" s="12" t="str">
        <f>IFERROR(__xludf.DUMMYFUNCTION("IFERROR(IF(REGEXMATCH(LOWER(Raw_Data!C1555),""fixed deposit|owealth|savings|target""),""Fixed Deposit"",IF(REGEXMATCH(LOWER(Raw_Data!C1555),""airtime""),""Airtime"",IF(REGEXMATCH(LOWER(Raw_Data!C1555),""electronic money transfer levy""),""Electronic Money"&amp;" Transfer Levy"",IF(REGEXMATCH(LOWER(Raw_Data!C1555),""transfer|trf|send""),""Transfer"",""Other"")))),""Other"")"),"Transfer")</f>
        <v>Transfer</v>
      </c>
      <c r="E1549" s="20">
        <v>0.0</v>
      </c>
      <c r="F1549" s="20">
        <v>500.0</v>
      </c>
      <c r="G1549" s="12" t="str">
        <f t="shared" si="3"/>
        <v>Deposit</v>
      </c>
      <c r="H1549" s="12" t="str">
        <f>TEXT(Raw_Data!A1555,"hh:mm:ss")
</f>
        <v>12:27:35</v>
      </c>
      <c r="I1549" s="20">
        <f t="shared" si="4"/>
        <v>500</v>
      </c>
    </row>
    <row r="1550">
      <c r="A1550" s="12" t="str">
        <f>Raw_Data!A1556</f>
        <v>31 Oct 2025 13:41:21</v>
      </c>
      <c r="B1550" s="12" t="str">
        <f t="shared" si="1"/>
        <v>October</v>
      </c>
      <c r="C1550" s="12">
        <f t="shared" si="2"/>
        <v>10</v>
      </c>
      <c r="D1550" s="12" t="str">
        <f>IFERROR(__xludf.DUMMYFUNCTION("IFERROR(IF(REGEXMATCH(LOWER(Raw_Data!C1556),""fixed deposit|owealth|savings|target""),""Fixed Deposit"",IF(REGEXMATCH(LOWER(Raw_Data!C1556),""airtime""),""Airtime"",IF(REGEXMATCH(LOWER(Raw_Data!C1556),""electronic money transfer levy""),""Electronic Money"&amp;" Transfer Levy"",IF(REGEXMATCH(LOWER(Raw_Data!C1556),""transfer|trf|send""),""Transfer"",""Other"")))),""Other"")"),"Transfer")</f>
        <v>Transfer</v>
      </c>
      <c r="E1550" s="20">
        <v>1050.0</v>
      </c>
      <c r="F1550" s="20">
        <v>0.0</v>
      </c>
      <c r="G1550" s="12" t="str">
        <f t="shared" si="3"/>
        <v>Withdrawal</v>
      </c>
      <c r="H1550" s="12" t="str">
        <f>TEXT(Raw_Data!A1556,"hh:mm:ss")
</f>
        <v>13:41:21</v>
      </c>
      <c r="I1550" s="20">
        <f t="shared" si="4"/>
        <v>1050</v>
      </c>
    </row>
    <row r="1551">
      <c r="A1551" s="12" t="str">
        <f>Raw_Data!A1557</f>
        <v>31 Oct 2025 13:53:47</v>
      </c>
      <c r="B1551" s="12" t="str">
        <f t="shared" si="1"/>
        <v>October</v>
      </c>
      <c r="C1551" s="12">
        <f t="shared" si="2"/>
        <v>10</v>
      </c>
      <c r="D1551" s="12" t="str">
        <f>IFERROR(__xludf.DUMMYFUNCTION("IFERROR(IF(REGEXMATCH(LOWER(Raw_Data!C1557),""fixed deposit|owealth|savings|target""),""Fixed Deposit"",IF(REGEXMATCH(LOWER(Raw_Data!C1557),""airtime""),""Airtime"",IF(REGEXMATCH(LOWER(Raw_Data!C1557),""electronic money transfer levy""),""Electronic Money"&amp;" Transfer Levy"",IF(REGEXMATCH(LOWER(Raw_Data!C1557),""transfer|trf|send""),""Transfer"",""Other"")))),""Other"")"),"Transfer")</f>
        <v>Transfer</v>
      </c>
      <c r="E1551" s="20">
        <v>200.0</v>
      </c>
      <c r="F1551" s="20">
        <v>0.0</v>
      </c>
      <c r="G1551" s="12" t="str">
        <f t="shared" si="3"/>
        <v>Withdrawal</v>
      </c>
      <c r="H1551" s="12" t="str">
        <f>TEXT(Raw_Data!A1557,"hh:mm:ss")
</f>
        <v>13:53:47</v>
      </c>
      <c r="I1551" s="20">
        <f t="shared" si="4"/>
        <v>200</v>
      </c>
    </row>
    <row r="1552">
      <c r="A1552" s="12" t="str">
        <f>Raw_Data!A1558</f>
        <v>01 Nov 2025 10:55:49</v>
      </c>
      <c r="B1552" s="12" t="str">
        <f t="shared" si="1"/>
        <v>November</v>
      </c>
      <c r="C1552" s="12">
        <f t="shared" si="2"/>
        <v>11</v>
      </c>
      <c r="D1552" s="12" t="str">
        <f>IFERROR(__xludf.DUMMYFUNCTION("IFERROR(IF(REGEXMATCH(LOWER(Raw_Data!C1558),""fixed deposit|owealth|savings|target""),""Fixed Deposit"",IF(REGEXMATCH(LOWER(Raw_Data!C1558),""airtime""),""Airtime"",IF(REGEXMATCH(LOWER(Raw_Data!C1558),""electronic money transfer levy""),""Electronic Money"&amp;" Transfer Levy"",IF(REGEXMATCH(LOWER(Raw_Data!C1558),""transfer|trf|send""),""Transfer"",""Other"")))),""Other"")"),"Transfer")</f>
        <v>Transfer</v>
      </c>
      <c r="E1552" s="20">
        <v>1000.0</v>
      </c>
      <c r="F1552" s="20">
        <v>0.0</v>
      </c>
      <c r="G1552" s="12" t="str">
        <f t="shared" si="3"/>
        <v>Withdrawal</v>
      </c>
      <c r="H1552" s="12" t="str">
        <f>TEXT(Raw_Data!A1558,"hh:mm:ss")
</f>
        <v>10:55:49</v>
      </c>
      <c r="I1552" s="20">
        <f t="shared" si="4"/>
        <v>1000</v>
      </c>
    </row>
    <row r="1553">
      <c r="A1553" s="12" t="str">
        <f>Raw_Data!A1559</f>
        <v>01 Nov 2025 11:05:10</v>
      </c>
      <c r="B1553" s="12" t="str">
        <f t="shared" si="1"/>
        <v>November</v>
      </c>
      <c r="C1553" s="12">
        <f t="shared" si="2"/>
        <v>11</v>
      </c>
      <c r="D1553" s="12" t="str">
        <f>IFERROR(__xludf.DUMMYFUNCTION("IFERROR(IF(REGEXMATCH(LOWER(Raw_Data!C1559),""fixed deposit|owealth|savings|target""),""Fixed Deposit"",IF(REGEXMATCH(LOWER(Raw_Data!C1559),""airtime""),""Airtime"",IF(REGEXMATCH(LOWER(Raw_Data!C1559),""electronic money transfer levy""),""Electronic Money"&amp;" Transfer Levy"",IF(REGEXMATCH(LOWER(Raw_Data!C1559),""transfer|trf|send""),""Transfer"",""Other"")))),""Other"")"),"Transfer")</f>
        <v>Transfer</v>
      </c>
      <c r="E1553" s="20">
        <v>800.0</v>
      </c>
      <c r="F1553" s="20">
        <v>0.0</v>
      </c>
      <c r="G1553" s="12" t="str">
        <f t="shared" si="3"/>
        <v>Withdrawal</v>
      </c>
      <c r="H1553" s="12" t="str">
        <f>TEXT(Raw_Data!A1559,"hh:mm:ss")
</f>
        <v>11:05:10</v>
      </c>
      <c r="I1553" s="20">
        <f t="shared" si="4"/>
        <v>800</v>
      </c>
    </row>
    <row r="1554">
      <c r="A1554" s="12" t="str">
        <f>Raw_Data!A1560</f>
        <v>01 Nov 2025 11:06:05</v>
      </c>
      <c r="B1554" s="12" t="str">
        <f t="shared" si="1"/>
        <v>November</v>
      </c>
      <c r="C1554" s="12">
        <f t="shared" si="2"/>
        <v>11</v>
      </c>
      <c r="D1554" s="12" t="str">
        <f>IFERROR(__xludf.DUMMYFUNCTION("IFERROR(IF(REGEXMATCH(LOWER(Raw_Data!C1560),""fixed deposit|owealth|savings|target""),""Fixed Deposit"",IF(REGEXMATCH(LOWER(Raw_Data!C1560),""airtime""),""Airtime"",IF(REGEXMATCH(LOWER(Raw_Data!C1560),""electronic money transfer levy""),""Electronic Money"&amp;" Transfer Levy"",IF(REGEXMATCH(LOWER(Raw_Data!C1560),""transfer|trf|send""),""Transfer"",""Other"")))),""Other"")"),"Transfer")</f>
        <v>Transfer</v>
      </c>
      <c r="E1554" s="20">
        <v>400.0</v>
      </c>
      <c r="F1554" s="20">
        <v>0.0</v>
      </c>
      <c r="G1554" s="12" t="str">
        <f t="shared" si="3"/>
        <v>Withdrawal</v>
      </c>
      <c r="H1554" s="12" t="str">
        <f>TEXT(Raw_Data!A1560,"hh:mm:ss")
</f>
        <v>11:06:05</v>
      </c>
      <c r="I1554" s="20">
        <f t="shared" si="4"/>
        <v>400</v>
      </c>
    </row>
    <row r="1555">
      <c r="A1555" s="12" t="str">
        <f>Raw_Data!A1561</f>
        <v>01 Nov 2025 19:53:32</v>
      </c>
      <c r="B1555" s="12" t="str">
        <f t="shared" si="1"/>
        <v>November</v>
      </c>
      <c r="C1555" s="12">
        <f t="shared" si="2"/>
        <v>11</v>
      </c>
      <c r="D1555" s="12" t="str">
        <f>IFERROR(__xludf.DUMMYFUNCTION("IFERROR(IF(REGEXMATCH(LOWER(Raw_Data!C1561),""fixed deposit|owealth|savings|target""),""Fixed Deposit"",IF(REGEXMATCH(LOWER(Raw_Data!C1561),""airtime""),""Airtime"",IF(REGEXMATCH(LOWER(Raw_Data!C1561),""electronic money transfer levy""),""Electronic Money"&amp;" Transfer Levy"",IF(REGEXMATCH(LOWER(Raw_Data!C1561),""transfer|trf|send""),""Transfer"",""Other"")))),""Other"")"),"Transfer")</f>
        <v>Transfer</v>
      </c>
      <c r="E1555" s="20">
        <v>400.0</v>
      </c>
      <c r="F1555" s="20">
        <v>0.0</v>
      </c>
      <c r="G1555" s="12" t="str">
        <f t="shared" si="3"/>
        <v>Withdrawal</v>
      </c>
      <c r="H1555" s="12" t="str">
        <f>TEXT(Raw_Data!A1561,"hh:mm:ss")
</f>
        <v>19:53:32</v>
      </c>
      <c r="I1555" s="20">
        <f t="shared" si="4"/>
        <v>400</v>
      </c>
    </row>
    <row r="1556">
      <c r="A1556" s="12" t="str">
        <f>Raw_Data!A1562</f>
        <v>02 Nov 2025 08:45:58</v>
      </c>
      <c r="B1556" s="12" t="str">
        <f t="shared" si="1"/>
        <v>November</v>
      </c>
      <c r="C1556" s="12">
        <f t="shared" si="2"/>
        <v>11</v>
      </c>
      <c r="D1556" s="12" t="str">
        <f>IFERROR(__xludf.DUMMYFUNCTION("IFERROR(IF(REGEXMATCH(LOWER(Raw_Data!C1562),""fixed deposit|owealth|savings|target""),""Fixed Deposit"",IF(REGEXMATCH(LOWER(Raw_Data!C1562),""airtime""),""Airtime"",IF(REGEXMATCH(LOWER(Raw_Data!C1562),""electronic money transfer levy""),""Electronic Money"&amp;" Transfer Levy"",IF(REGEXMATCH(LOWER(Raw_Data!C1562),""transfer|trf|send""),""Transfer"",""Other"")))),""Other"")"),"Transfer")</f>
        <v>Transfer</v>
      </c>
      <c r="E1556" s="20">
        <v>1000.0</v>
      </c>
      <c r="F1556" s="20">
        <v>0.0</v>
      </c>
      <c r="G1556" s="12" t="str">
        <f t="shared" si="3"/>
        <v>Withdrawal</v>
      </c>
      <c r="H1556" s="12" t="str">
        <f>TEXT(Raw_Data!A1562,"hh:mm:ss")
</f>
        <v>08:45:58</v>
      </c>
      <c r="I1556" s="20">
        <f t="shared" si="4"/>
        <v>1000</v>
      </c>
    </row>
    <row r="1557">
      <c r="A1557" s="12" t="str">
        <f>Raw_Data!A1563</f>
        <v>02 Nov 2025 12:17:42</v>
      </c>
      <c r="B1557" s="12" t="str">
        <f t="shared" si="1"/>
        <v>November</v>
      </c>
      <c r="C1557" s="12">
        <f t="shared" si="2"/>
        <v>11</v>
      </c>
      <c r="D1557" s="12" t="str">
        <f>IFERROR(__xludf.DUMMYFUNCTION("IFERROR(IF(REGEXMATCH(LOWER(Raw_Data!C1563),""fixed deposit|owealth|savings|target""),""Fixed Deposit"",IF(REGEXMATCH(LOWER(Raw_Data!C1563),""airtime""),""Airtime"",IF(REGEXMATCH(LOWER(Raw_Data!C1563),""electronic money transfer levy""),""Electronic Money"&amp;" Transfer Levy"",IF(REGEXMATCH(LOWER(Raw_Data!C1563),""transfer|trf|send""),""Transfer"",""Other"")))),""Other"")"),"Transfer")</f>
        <v>Transfer</v>
      </c>
      <c r="E1557" s="20">
        <v>350.0</v>
      </c>
      <c r="F1557" s="20">
        <v>0.0</v>
      </c>
      <c r="G1557" s="12" t="str">
        <f t="shared" si="3"/>
        <v>Withdrawal</v>
      </c>
      <c r="H1557" s="12" t="str">
        <f>TEXT(Raw_Data!A1563,"hh:mm:ss")
</f>
        <v>12:17:42</v>
      </c>
      <c r="I1557" s="20">
        <f t="shared" si="4"/>
        <v>350</v>
      </c>
    </row>
    <row r="1558">
      <c r="A1558" s="12" t="str">
        <f>Raw_Data!A1564</f>
        <v>02 Nov 2025 12:19:52</v>
      </c>
      <c r="B1558" s="12" t="str">
        <f t="shared" si="1"/>
        <v>November</v>
      </c>
      <c r="C1558" s="12">
        <f t="shared" si="2"/>
        <v>11</v>
      </c>
      <c r="D1558" s="12" t="str">
        <f>IFERROR(__xludf.DUMMYFUNCTION("IFERROR(IF(REGEXMATCH(LOWER(Raw_Data!C1564),""fixed deposit|owealth|savings|target""),""Fixed Deposit"",IF(REGEXMATCH(LOWER(Raw_Data!C1564),""airtime""),""Airtime"",IF(REGEXMATCH(LOWER(Raw_Data!C1564),""electronic money transfer levy""),""Electronic Money"&amp;" Transfer Levy"",IF(REGEXMATCH(LOWER(Raw_Data!C1564),""transfer|trf|send""),""Transfer"",""Other"")))),""Other"")"),"Transfer")</f>
        <v>Transfer</v>
      </c>
      <c r="E1558" s="20">
        <v>400.0</v>
      </c>
      <c r="F1558" s="20">
        <v>0.0</v>
      </c>
      <c r="G1558" s="12" t="str">
        <f t="shared" si="3"/>
        <v>Withdrawal</v>
      </c>
      <c r="H1558" s="12" t="str">
        <f>TEXT(Raw_Data!A1564,"hh:mm:ss")
</f>
        <v>12:19:52</v>
      </c>
      <c r="I1558" s="20">
        <f t="shared" si="4"/>
        <v>400</v>
      </c>
    </row>
    <row r="1559">
      <c r="A1559" s="12" t="str">
        <f>Raw_Data!A1565</f>
        <v>02 Nov 2025 12:25:43</v>
      </c>
      <c r="B1559" s="12" t="str">
        <f t="shared" si="1"/>
        <v>November</v>
      </c>
      <c r="C1559" s="12">
        <f t="shared" si="2"/>
        <v>11</v>
      </c>
      <c r="D1559" s="12" t="str">
        <f>IFERROR(__xludf.DUMMYFUNCTION("IFERROR(IF(REGEXMATCH(LOWER(Raw_Data!C1565),""fixed deposit|owealth|savings|target""),""Fixed Deposit"",IF(REGEXMATCH(LOWER(Raw_Data!C1565),""airtime""),""Airtime"",IF(REGEXMATCH(LOWER(Raw_Data!C1565),""electronic money transfer levy""),""Electronic Money"&amp;" Transfer Levy"",IF(REGEXMATCH(LOWER(Raw_Data!C1565),""transfer|trf|send""),""Transfer"",""Other"")))),""Other"")"),"Transfer")</f>
        <v>Transfer</v>
      </c>
      <c r="E1559" s="20">
        <v>500.0</v>
      </c>
      <c r="F1559" s="20">
        <v>0.0</v>
      </c>
      <c r="G1559" s="12" t="str">
        <f t="shared" si="3"/>
        <v>Withdrawal</v>
      </c>
      <c r="H1559" s="12" t="str">
        <f>TEXT(Raw_Data!A1565,"hh:mm:ss")
</f>
        <v>12:25:43</v>
      </c>
      <c r="I1559" s="20">
        <f t="shared" si="4"/>
        <v>500</v>
      </c>
    </row>
    <row r="1560">
      <c r="A1560" s="12" t="str">
        <f>Raw_Data!A1566</f>
        <v>02 Nov 2025 12:45:05</v>
      </c>
      <c r="B1560" s="12" t="str">
        <f t="shared" si="1"/>
        <v>November</v>
      </c>
      <c r="C1560" s="12">
        <f t="shared" si="2"/>
        <v>11</v>
      </c>
      <c r="D1560" s="12" t="str">
        <f>IFERROR(__xludf.DUMMYFUNCTION("IFERROR(IF(REGEXMATCH(LOWER(Raw_Data!C1566),""fixed deposit|owealth|savings|target""),""Fixed Deposit"",IF(REGEXMATCH(LOWER(Raw_Data!C1566),""airtime""),""Airtime"",IF(REGEXMATCH(LOWER(Raw_Data!C1566),""electronic money transfer levy""),""Electronic Money"&amp;" Transfer Levy"",IF(REGEXMATCH(LOWER(Raw_Data!C1566),""transfer|trf|send""),""Transfer"",""Other"")))),""Other"")"),"Transfer")</f>
        <v>Transfer</v>
      </c>
      <c r="E1560" s="20">
        <v>200.0</v>
      </c>
      <c r="F1560" s="20">
        <v>0.0</v>
      </c>
      <c r="G1560" s="12" t="str">
        <f t="shared" si="3"/>
        <v>Withdrawal</v>
      </c>
      <c r="H1560" s="12" t="str">
        <f>TEXT(Raw_Data!A1566,"hh:mm:ss")
</f>
        <v>12:45:05</v>
      </c>
      <c r="I1560" s="20">
        <f t="shared" si="4"/>
        <v>200</v>
      </c>
    </row>
    <row r="1561">
      <c r="A1561" s="12" t="str">
        <f>Raw_Data!A1567</f>
        <v>02 Nov 2025 14:32:49</v>
      </c>
      <c r="B1561" s="12" t="str">
        <f t="shared" si="1"/>
        <v>November</v>
      </c>
      <c r="C1561" s="12">
        <f t="shared" si="2"/>
        <v>11</v>
      </c>
      <c r="D1561" s="12" t="str">
        <f>IFERROR(__xludf.DUMMYFUNCTION("IFERROR(IF(REGEXMATCH(LOWER(Raw_Data!C1567),""fixed deposit|owealth|savings|target""),""Fixed Deposit"",IF(REGEXMATCH(LOWER(Raw_Data!C1567),""airtime""),""Airtime"",IF(REGEXMATCH(LOWER(Raw_Data!C1567),""electronic money transfer levy""),""Electronic Money"&amp;" Transfer Levy"",IF(REGEXMATCH(LOWER(Raw_Data!C1567),""transfer|trf|send""),""Transfer"",""Other"")))),""Other"")"),"Transfer")</f>
        <v>Transfer</v>
      </c>
      <c r="E1561" s="20">
        <v>200.0</v>
      </c>
      <c r="F1561" s="20">
        <v>0.0</v>
      </c>
      <c r="G1561" s="12" t="str">
        <f t="shared" si="3"/>
        <v>Withdrawal</v>
      </c>
      <c r="H1561" s="12" t="str">
        <f>TEXT(Raw_Data!A1567,"hh:mm:ss")
</f>
        <v>14:32:49</v>
      </c>
      <c r="I1561" s="20">
        <f t="shared" si="4"/>
        <v>200</v>
      </c>
    </row>
    <row r="1562">
      <c r="A1562" s="12" t="str">
        <f>Raw_Data!A1568</f>
        <v>02 Nov 2025 19:26:00</v>
      </c>
      <c r="B1562" s="12" t="str">
        <f t="shared" si="1"/>
        <v>November</v>
      </c>
      <c r="C1562" s="12">
        <f t="shared" si="2"/>
        <v>11</v>
      </c>
      <c r="D1562" s="12" t="str">
        <f>IFERROR(__xludf.DUMMYFUNCTION("IFERROR(IF(REGEXMATCH(LOWER(Raw_Data!C1568),""fixed deposit|owealth|savings|target""),""Fixed Deposit"",IF(REGEXMATCH(LOWER(Raw_Data!C1568),""airtime""),""Airtime"",IF(REGEXMATCH(LOWER(Raw_Data!C1568),""electronic money transfer levy""),""Electronic Money"&amp;" Transfer Levy"",IF(REGEXMATCH(LOWER(Raw_Data!C1568),""transfer|trf|send""),""Transfer"",""Other"")))),""Other"")"),"Transfer")</f>
        <v>Transfer</v>
      </c>
      <c r="E1562" s="20">
        <v>500.0</v>
      </c>
      <c r="F1562" s="20">
        <v>0.0</v>
      </c>
      <c r="G1562" s="12" t="str">
        <f t="shared" si="3"/>
        <v>Withdrawal</v>
      </c>
      <c r="H1562" s="12" t="str">
        <f>TEXT(Raw_Data!A1568,"hh:mm:ss")
</f>
        <v>19:26:00</v>
      </c>
      <c r="I1562" s="20">
        <f t="shared" si="4"/>
        <v>500</v>
      </c>
    </row>
    <row r="1563">
      <c r="A1563" s="12" t="str">
        <f>Raw_Data!A1569</f>
        <v>03 Nov 2025 08:51:56</v>
      </c>
      <c r="B1563" s="12" t="str">
        <f t="shared" si="1"/>
        <v>November</v>
      </c>
      <c r="C1563" s="12">
        <f t="shared" si="2"/>
        <v>11</v>
      </c>
      <c r="D1563" s="12" t="str">
        <f>IFERROR(__xludf.DUMMYFUNCTION("IFERROR(IF(REGEXMATCH(LOWER(Raw_Data!C1569),""fixed deposit|owealth|savings|target""),""Fixed Deposit"",IF(REGEXMATCH(LOWER(Raw_Data!C1569),""airtime""),""Airtime"",IF(REGEXMATCH(LOWER(Raw_Data!C1569),""electronic money transfer levy""),""Electronic Money"&amp;" Transfer Levy"",IF(REGEXMATCH(LOWER(Raw_Data!C1569),""transfer|trf|send""),""Transfer"",""Other"")))),""Other"")"),"Transfer")</f>
        <v>Transfer</v>
      </c>
      <c r="E1563" s="20">
        <v>200.0</v>
      </c>
      <c r="F1563" s="20">
        <v>0.0</v>
      </c>
      <c r="G1563" s="12" t="str">
        <f t="shared" si="3"/>
        <v>Withdrawal</v>
      </c>
      <c r="H1563" s="12" t="str">
        <f>TEXT(Raw_Data!A1569,"hh:mm:ss")
</f>
        <v>08:51:56</v>
      </c>
      <c r="I1563" s="20">
        <f t="shared" si="4"/>
        <v>200</v>
      </c>
    </row>
    <row r="1564">
      <c r="A1564" s="12" t="str">
        <f>Raw_Data!A1570</f>
        <v>03 Nov 2025 09:45:24</v>
      </c>
      <c r="B1564" s="12" t="str">
        <f t="shared" si="1"/>
        <v>November</v>
      </c>
      <c r="C1564" s="12">
        <f t="shared" si="2"/>
        <v>11</v>
      </c>
      <c r="D1564" s="12" t="str">
        <f>IFERROR(__xludf.DUMMYFUNCTION("IFERROR(IF(REGEXMATCH(LOWER(Raw_Data!C1570),""fixed deposit|owealth|savings|target""),""Fixed Deposit"",IF(REGEXMATCH(LOWER(Raw_Data!C1570),""airtime""),""Airtime"",IF(REGEXMATCH(LOWER(Raw_Data!C1570),""electronic money transfer levy""),""Electronic Money"&amp;" Transfer Levy"",IF(REGEXMATCH(LOWER(Raw_Data!C1570),""transfer|trf|send""),""Transfer"",""Other"")))),""Other"")"),"Transfer")</f>
        <v>Transfer</v>
      </c>
      <c r="E1564" s="20">
        <v>550.0</v>
      </c>
      <c r="F1564" s="20">
        <v>0.0</v>
      </c>
      <c r="G1564" s="12" t="str">
        <f t="shared" si="3"/>
        <v>Withdrawal</v>
      </c>
      <c r="H1564" s="12" t="str">
        <f>TEXT(Raw_Data!A1570,"hh:mm:ss")
</f>
        <v>09:45:24</v>
      </c>
      <c r="I1564" s="20">
        <f t="shared" si="4"/>
        <v>550</v>
      </c>
    </row>
    <row r="1565">
      <c r="A1565" s="12" t="str">
        <f>Raw_Data!A1571</f>
        <v>03 Nov 2025 10:40:48</v>
      </c>
      <c r="B1565" s="12" t="str">
        <f t="shared" si="1"/>
        <v>November</v>
      </c>
      <c r="C1565" s="12">
        <f t="shared" si="2"/>
        <v>11</v>
      </c>
      <c r="D1565" s="12" t="str">
        <f>IFERROR(__xludf.DUMMYFUNCTION("IFERROR(IF(REGEXMATCH(LOWER(Raw_Data!C1571),""fixed deposit|owealth|savings|target""),""Fixed Deposit"",IF(REGEXMATCH(LOWER(Raw_Data!C1571),""airtime""),""Airtime"",IF(REGEXMATCH(LOWER(Raw_Data!C1571),""electronic money transfer levy""),""Electronic Money"&amp;" Transfer Levy"",IF(REGEXMATCH(LOWER(Raw_Data!C1571),""transfer|trf|send""),""Transfer"",""Other"")))),""Other"")"),"Transfer")</f>
        <v>Transfer</v>
      </c>
      <c r="E1565" s="20">
        <v>0.0</v>
      </c>
      <c r="F1565" s="20">
        <v>7000.0</v>
      </c>
      <c r="G1565" s="12" t="str">
        <f t="shared" si="3"/>
        <v>Deposit</v>
      </c>
      <c r="H1565" s="12" t="str">
        <f>TEXT(Raw_Data!A1571,"hh:mm:ss")
</f>
        <v>10:40:48</v>
      </c>
      <c r="I1565" s="20">
        <f t="shared" si="4"/>
        <v>7000</v>
      </c>
    </row>
    <row r="1566">
      <c r="A1566" s="12" t="str">
        <f>Raw_Data!A1572</f>
        <v>03 Nov 2025 12:09:02</v>
      </c>
      <c r="B1566" s="12" t="str">
        <f t="shared" si="1"/>
        <v>November</v>
      </c>
      <c r="C1566" s="12">
        <f t="shared" si="2"/>
        <v>11</v>
      </c>
      <c r="D1566" s="12" t="str">
        <f>IFERROR(__xludf.DUMMYFUNCTION("IFERROR(IF(REGEXMATCH(LOWER(Raw_Data!C1572),""fixed deposit|owealth|savings|target""),""Fixed Deposit"",IF(REGEXMATCH(LOWER(Raw_Data!C1572),""airtime""),""Airtime"",IF(REGEXMATCH(LOWER(Raw_Data!C1572),""electronic money transfer levy""),""Electronic Money"&amp;" Transfer Levy"",IF(REGEXMATCH(LOWER(Raw_Data!C1572),""transfer|trf|send""),""Transfer"",""Other"")))),""Other"")"),"Transfer")</f>
        <v>Transfer</v>
      </c>
      <c r="E1566" s="20">
        <v>0.0</v>
      </c>
      <c r="F1566" s="20">
        <v>6500.0</v>
      </c>
      <c r="G1566" s="12" t="str">
        <f t="shared" si="3"/>
        <v>Deposit</v>
      </c>
      <c r="H1566" s="12" t="str">
        <f>TEXT(Raw_Data!A1572,"hh:mm:ss")
</f>
        <v>12:09:02</v>
      </c>
      <c r="I1566" s="20">
        <f t="shared" si="4"/>
        <v>6500</v>
      </c>
    </row>
    <row r="1567">
      <c r="A1567" s="12" t="str">
        <f>Raw_Data!A1573</f>
        <v>03 Nov 2025 12:11:50</v>
      </c>
      <c r="B1567" s="12" t="str">
        <f t="shared" si="1"/>
        <v>November</v>
      </c>
      <c r="C1567" s="12">
        <f t="shared" si="2"/>
        <v>11</v>
      </c>
      <c r="D1567" s="12" t="str">
        <f>IFERROR(__xludf.DUMMYFUNCTION("IFERROR(IF(REGEXMATCH(LOWER(Raw_Data!C1573),""fixed deposit|owealth|savings|target""),""Fixed Deposit"",IF(REGEXMATCH(LOWER(Raw_Data!C1573),""airtime""),""Airtime"",IF(REGEXMATCH(LOWER(Raw_Data!C1573),""electronic money transfer levy""),""Electronic Money"&amp;" Transfer Levy"",IF(REGEXMATCH(LOWER(Raw_Data!C1573),""transfer|trf|send""),""Transfer"",""Other"")))),""Other"")"),"Fixed Deposit")</f>
        <v>Fixed Deposit</v>
      </c>
      <c r="E1567" s="20">
        <v>4000.0</v>
      </c>
      <c r="F1567" s="20">
        <v>0.0</v>
      </c>
      <c r="G1567" s="12" t="str">
        <f t="shared" si="3"/>
        <v>Withdrawal</v>
      </c>
      <c r="H1567" s="12" t="str">
        <f>TEXT(Raw_Data!A1573,"hh:mm:ss")
</f>
        <v>12:11:50</v>
      </c>
      <c r="I1567" s="20">
        <f t="shared" si="4"/>
        <v>4000</v>
      </c>
    </row>
    <row r="1568">
      <c r="A1568" s="12" t="str">
        <f>Raw_Data!A1574</f>
        <v>03 Nov 2025 12:12:16</v>
      </c>
      <c r="B1568" s="12" t="str">
        <f t="shared" si="1"/>
        <v>November</v>
      </c>
      <c r="C1568" s="12">
        <f t="shared" si="2"/>
        <v>11</v>
      </c>
      <c r="D1568" s="12" t="str">
        <f>IFERROR(__xludf.DUMMYFUNCTION("IFERROR(IF(REGEXMATCH(LOWER(Raw_Data!C1574),""fixed deposit|owealth|savings|target""),""Fixed Deposit"",IF(REGEXMATCH(LOWER(Raw_Data!C1574),""airtime""),""Airtime"",IF(REGEXMATCH(LOWER(Raw_Data!C1574),""electronic money transfer levy""),""Electronic Money"&amp;" Transfer Levy"",IF(REGEXMATCH(LOWER(Raw_Data!C1574),""transfer|trf|send""),""Transfer"",""Other"")))),""Other"")"),"Transfer")</f>
        <v>Transfer</v>
      </c>
      <c r="E1568" s="20">
        <v>2000.0</v>
      </c>
      <c r="F1568" s="20">
        <v>0.0</v>
      </c>
      <c r="G1568" s="12" t="str">
        <f t="shared" si="3"/>
        <v>Withdrawal</v>
      </c>
      <c r="H1568" s="12" t="str">
        <f>TEXT(Raw_Data!A1574,"hh:mm:ss")
</f>
        <v>12:12:16</v>
      </c>
      <c r="I1568" s="20">
        <f t="shared" si="4"/>
        <v>2000</v>
      </c>
    </row>
    <row r="1569">
      <c r="A1569" s="12" t="str">
        <f>Raw_Data!A1575</f>
        <v>03 Nov 2025 12:13:10</v>
      </c>
      <c r="B1569" s="12" t="str">
        <f t="shared" si="1"/>
        <v>November</v>
      </c>
      <c r="C1569" s="12">
        <f t="shared" si="2"/>
        <v>11</v>
      </c>
      <c r="D1569" s="12" t="str">
        <f>IFERROR(__xludf.DUMMYFUNCTION("IFERROR(IF(REGEXMATCH(LOWER(Raw_Data!C1575),""fixed deposit|owealth|savings|target""),""Fixed Deposit"",IF(REGEXMATCH(LOWER(Raw_Data!C1575),""airtime""),""Airtime"",IF(REGEXMATCH(LOWER(Raw_Data!C1575),""electronic money transfer levy""),""Electronic Money"&amp;" Transfer Levy"",IF(REGEXMATCH(LOWER(Raw_Data!C1575),""transfer|trf|send""),""Transfer"",""Other"")))),""Other"")"),"Airtime")</f>
        <v>Airtime</v>
      </c>
      <c r="E1569" s="20">
        <v>500.0</v>
      </c>
      <c r="F1569" s="20">
        <v>0.0</v>
      </c>
      <c r="G1569" s="12" t="str">
        <f t="shared" si="3"/>
        <v>Withdrawal</v>
      </c>
      <c r="H1569" s="12" t="str">
        <f>TEXT(Raw_Data!A1575,"hh:mm:ss")
</f>
        <v>12:13:10</v>
      </c>
      <c r="I1569" s="20">
        <f t="shared" si="4"/>
        <v>500</v>
      </c>
    </row>
    <row r="1570">
      <c r="A1570" s="12" t="str">
        <f>Raw_Data!A1576</f>
        <v>04 Nov 2025 08:11:16</v>
      </c>
      <c r="B1570" s="12" t="str">
        <f t="shared" si="1"/>
        <v>November</v>
      </c>
      <c r="C1570" s="12">
        <f t="shared" si="2"/>
        <v>11</v>
      </c>
      <c r="D1570" s="12" t="str">
        <f>IFERROR(__xludf.DUMMYFUNCTION("IFERROR(IF(REGEXMATCH(LOWER(Raw_Data!C1576),""fixed deposit|owealth|savings|target""),""Fixed Deposit"",IF(REGEXMATCH(LOWER(Raw_Data!C1576),""airtime""),""Airtime"",IF(REGEXMATCH(LOWER(Raw_Data!C1576),""electronic money transfer levy""),""Electronic Money"&amp;" Transfer Levy"",IF(REGEXMATCH(LOWER(Raw_Data!C1576),""transfer|trf|send""),""Transfer"",""Other"")))),""Other"")"),"Transfer")</f>
        <v>Transfer</v>
      </c>
      <c r="E1570" s="20">
        <v>0.0</v>
      </c>
      <c r="F1570" s="20">
        <v>2000.0</v>
      </c>
      <c r="G1570" s="12" t="str">
        <f t="shared" si="3"/>
        <v>Deposit</v>
      </c>
      <c r="H1570" s="12" t="str">
        <f>TEXT(Raw_Data!A1576,"hh:mm:ss")
</f>
        <v>08:11:16</v>
      </c>
      <c r="I1570" s="20">
        <f t="shared" si="4"/>
        <v>2000</v>
      </c>
    </row>
    <row r="1571">
      <c r="A1571" s="12" t="str">
        <f>Raw_Data!A1577</f>
        <v>04 Nov 2025 08:38:30</v>
      </c>
      <c r="B1571" s="12" t="str">
        <f t="shared" si="1"/>
        <v>November</v>
      </c>
      <c r="C1571" s="12">
        <f t="shared" si="2"/>
        <v>11</v>
      </c>
      <c r="D1571" s="12" t="str">
        <f>IFERROR(__xludf.DUMMYFUNCTION("IFERROR(IF(REGEXMATCH(LOWER(Raw_Data!C1577),""fixed deposit|owealth|savings|target""),""Fixed Deposit"",IF(REGEXMATCH(LOWER(Raw_Data!C1577),""airtime""),""Airtime"",IF(REGEXMATCH(LOWER(Raw_Data!C1577),""electronic money transfer levy""),""Electronic Money"&amp;" Transfer Levy"",IF(REGEXMATCH(LOWER(Raw_Data!C1577),""transfer|trf|send""),""Transfer"",""Other"")))),""Other"")"),"Transfer")</f>
        <v>Transfer</v>
      </c>
      <c r="E1571" s="20">
        <v>300.0</v>
      </c>
      <c r="F1571" s="20">
        <v>0.0</v>
      </c>
      <c r="G1571" s="12" t="str">
        <f t="shared" si="3"/>
        <v>Withdrawal</v>
      </c>
      <c r="H1571" s="12" t="str">
        <f>TEXT(Raw_Data!A1577,"hh:mm:ss")
</f>
        <v>08:38:30</v>
      </c>
      <c r="I1571" s="20">
        <f t="shared" si="4"/>
        <v>300</v>
      </c>
    </row>
    <row r="1572">
      <c r="A1572" s="12" t="str">
        <f>Raw_Data!A1578</f>
        <v>04 Nov 2025 10:41:24</v>
      </c>
      <c r="B1572" s="12" t="str">
        <f t="shared" si="1"/>
        <v>November</v>
      </c>
      <c r="C1572" s="12">
        <f t="shared" si="2"/>
        <v>11</v>
      </c>
      <c r="D1572" s="12" t="str">
        <f>IFERROR(__xludf.DUMMYFUNCTION("IFERROR(IF(REGEXMATCH(LOWER(Raw_Data!C1578),""fixed deposit|owealth|savings|target""),""Fixed Deposit"",IF(REGEXMATCH(LOWER(Raw_Data!C1578),""airtime""),""Airtime"",IF(REGEXMATCH(LOWER(Raw_Data!C1578),""electronic money transfer levy""),""Electronic Money"&amp;" Transfer Levy"",IF(REGEXMATCH(LOWER(Raw_Data!C1578),""transfer|trf|send""),""Transfer"",""Other"")))),""Other"")"),"Transfer")</f>
        <v>Transfer</v>
      </c>
      <c r="E1572" s="20">
        <v>950.0</v>
      </c>
      <c r="F1572" s="20">
        <v>0.0</v>
      </c>
      <c r="G1572" s="12" t="str">
        <f t="shared" si="3"/>
        <v>Withdrawal</v>
      </c>
      <c r="H1572" s="12" t="str">
        <f>TEXT(Raw_Data!A1578,"hh:mm:ss")
</f>
        <v>10:41:24</v>
      </c>
      <c r="I1572" s="20">
        <f t="shared" si="4"/>
        <v>950</v>
      </c>
    </row>
    <row r="1573">
      <c r="A1573" s="12" t="str">
        <f>Raw_Data!A1579</f>
        <v>04 Nov 2025 11:52:44</v>
      </c>
      <c r="B1573" s="12" t="str">
        <f t="shared" si="1"/>
        <v>November</v>
      </c>
      <c r="C1573" s="12">
        <f t="shared" si="2"/>
        <v>11</v>
      </c>
      <c r="D1573" s="12" t="str">
        <f>IFERROR(__xludf.DUMMYFUNCTION("IFERROR(IF(REGEXMATCH(LOWER(Raw_Data!C1579),""fixed deposit|owealth|savings|target""),""Fixed Deposit"",IF(REGEXMATCH(LOWER(Raw_Data!C1579),""airtime""),""Airtime"",IF(REGEXMATCH(LOWER(Raw_Data!C1579),""electronic money transfer levy""),""Electronic Money"&amp;" Transfer Levy"",IF(REGEXMATCH(LOWER(Raw_Data!C1579),""transfer|trf|send""),""Transfer"",""Other"")))),""Other"")"),"Transfer")</f>
        <v>Transfer</v>
      </c>
      <c r="E1573" s="20">
        <v>800.0</v>
      </c>
      <c r="F1573" s="20">
        <v>0.0</v>
      </c>
      <c r="G1573" s="12" t="str">
        <f t="shared" si="3"/>
        <v>Withdrawal</v>
      </c>
      <c r="H1573" s="12" t="str">
        <f>TEXT(Raw_Data!A1579,"hh:mm:ss")
</f>
        <v>11:52:44</v>
      </c>
      <c r="I1573" s="20">
        <f t="shared" si="4"/>
        <v>800</v>
      </c>
    </row>
    <row r="1574">
      <c r="A1574" s="12" t="str">
        <f>Raw_Data!A1580</f>
        <v>04 Nov 2025 22:45:13</v>
      </c>
      <c r="B1574" s="12" t="str">
        <f t="shared" si="1"/>
        <v>November</v>
      </c>
      <c r="C1574" s="12">
        <f t="shared" si="2"/>
        <v>11</v>
      </c>
      <c r="D1574" s="12" t="str">
        <f>IFERROR(__xludf.DUMMYFUNCTION("IFERROR(IF(REGEXMATCH(LOWER(Raw_Data!C1580),""fixed deposit|owealth|savings|target""),""Fixed Deposit"",IF(REGEXMATCH(LOWER(Raw_Data!C1580),""airtime""),""Airtime"",IF(REGEXMATCH(LOWER(Raw_Data!C1580),""electronic money transfer levy""),""Electronic Money"&amp;" Transfer Levy"",IF(REGEXMATCH(LOWER(Raw_Data!C1580),""transfer|trf|send""),""Transfer"",""Other"")))),""Other"")"),"Transfer")</f>
        <v>Transfer</v>
      </c>
      <c r="E1574" s="20">
        <v>850.0</v>
      </c>
      <c r="F1574" s="20">
        <v>0.0</v>
      </c>
      <c r="G1574" s="12" t="str">
        <f t="shared" si="3"/>
        <v>Withdrawal</v>
      </c>
      <c r="H1574" s="12" t="str">
        <f>TEXT(Raw_Data!A1580,"hh:mm:ss")
</f>
        <v>22:45:13</v>
      </c>
      <c r="I1574" s="20">
        <f t="shared" si="4"/>
        <v>850</v>
      </c>
    </row>
    <row r="1575">
      <c r="A1575" s="12" t="str">
        <f>Raw_Data!A1581</f>
        <v>05 Nov 2025 09:09:55</v>
      </c>
      <c r="B1575" s="12" t="str">
        <f t="shared" si="1"/>
        <v>November</v>
      </c>
      <c r="C1575" s="12">
        <f t="shared" si="2"/>
        <v>11</v>
      </c>
      <c r="D1575" s="12" t="str">
        <f>IFERROR(__xludf.DUMMYFUNCTION("IFERROR(IF(REGEXMATCH(LOWER(Raw_Data!C1581),""fixed deposit|owealth|savings|target""),""Fixed Deposit"",IF(REGEXMATCH(LOWER(Raw_Data!C1581),""airtime""),""Airtime"",IF(REGEXMATCH(LOWER(Raw_Data!C1581),""electronic money transfer levy""),""Electronic Money"&amp;" Transfer Levy"",IF(REGEXMATCH(LOWER(Raw_Data!C1581),""transfer|trf|send""),""Transfer"",""Other"")))),""Other"")"),"Transfer")</f>
        <v>Transfer</v>
      </c>
      <c r="E1575" s="20">
        <v>1000.0</v>
      </c>
      <c r="F1575" s="20">
        <v>0.0</v>
      </c>
      <c r="G1575" s="12" t="str">
        <f t="shared" si="3"/>
        <v>Withdrawal</v>
      </c>
      <c r="H1575" s="12" t="str">
        <f>TEXT(Raw_Data!A1581,"hh:mm:ss")
</f>
        <v>09:09:55</v>
      </c>
      <c r="I1575" s="20">
        <f t="shared" si="4"/>
        <v>1000</v>
      </c>
    </row>
    <row r="1576">
      <c r="A1576" s="12" t="str">
        <f>Raw_Data!A1582</f>
        <v>05 Nov 2025 09:21:37</v>
      </c>
      <c r="B1576" s="12" t="str">
        <f t="shared" si="1"/>
        <v>November</v>
      </c>
      <c r="C1576" s="12">
        <f t="shared" si="2"/>
        <v>11</v>
      </c>
      <c r="D1576" s="12" t="str">
        <f>IFERROR(__xludf.DUMMYFUNCTION("IFERROR(IF(REGEXMATCH(LOWER(Raw_Data!C1582),""fixed deposit|owealth|savings|target""),""Fixed Deposit"",IF(REGEXMATCH(LOWER(Raw_Data!C1582),""airtime""),""Airtime"",IF(REGEXMATCH(LOWER(Raw_Data!C1582),""electronic money transfer levy""),""Electronic Money"&amp;" Transfer Levy"",IF(REGEXMATCH(LOWER(Raw_Data!C1582),""transfer|trf|send""),""Transfer"",""Other"")))),""Other"")"),"Transfer")</f>
        <v>Transfer</v>
      </c>
      <c r="E1576" s="20">
        <v>800.0</v>
      </c>
      <c r="F1576" s="20">
        <v>0.0</v>
      </c>
      <c r="G1576" s="12" t="str">
        <f t="shared" si="3"/>
        <v>Withdrawal</v>
      </c>
      <c r="H1576" s="12" t="str">
        <f>TEXT(Raw_Data!A1582,"hh:mm:ss")
</f>
        <v>09:21:37</v>
      </c>
      <c r="I1576" s="20">
        <f t="shared" si="4"/>
        <v>800</v>
      </c>
    </row>
    <row r="1577">
      <c r="A1577" s="12" t="str">
        <f>Raw_Data!A1583</f>
        <v>05 Nov 2025 09:22:02</v>
      </c>
      <c r="B1577" s="12" t="str">
        <f t="shared" si="1"/>
        <v>November</v>
      </c>
      <c r="C1577" s="12">
        <f t="shared" si="2"/>
        <v>11</v>
      </c>
      <c r="D1577" s="12" t="str">
        <f>IFERROR(__xludf.DUMMYFUNCTION("IFERROR(IF(REGEXMATCH(LOWER(Raw_Data!C1583),""fixed deposit|owealth|savings|target""),""Fixed Deposit"",IF(REGEXMATCH(LOWER(Raw_Data!C1583),""airtime""),""Airtime"",IF(REGEXMATCH(LOWER(Raw_Data!C1583),""electronic money transfer levy""),""Electronic Money"&amp;" Transfer Levy"",IF(REGEXMATCH(LOWER(Raw_Data!C1583),""transfer|trf|send""),""Transfer"",""Other"")))),""Other"")"),"Transfer")</f>
        <v>Transfer</v>
      </c>
      <c r="E1577" s="20">
        <v>250.0</v>
      </c>
      <c r="F1577" s="20">
        <v>0.0</v>
      </c>
      <c r="G1577" s="12" t="str">
        <f t="shared" si="3"/>
        <v>Withdrawal</v>
      </c>
      <c r="H1577" s="12" t="str">
        <f>TEXT(Raw_Data!A1583,"hh:mm:ss")
</f>
        <v>09:22:02</v>
      </c>
      <c r="I1577" s="20">
        <f t="shared" si="4"/>
        <v>250</v>
      </c>
    </row>
    <row r="1578">
      <c r="A1578" s="12" t="str">
        <f>Raw_Data!A1584</f>
        <v>05 Nov 2025 16:26:22</v>
      </c>
      <c r="B1578" s="12" t="str">
        <f t="shared" si="1"/>
        <v>November</v>
      </c>
      <c r="C1578" s="12">
        <f t="shared" si="2"/>
        <v>11</v>
      </c>
      <c r="D1578" s="12" t="str">
        <f>IFERROR(__xludf.DUMMYFUNCTION("IFERROR(IF(REGEXMATCH(LOWER(Raw_Data!C1584),""fixed deposit|owealth|savings|target""),""Fixed Deposit"",IF(REGEXMATCH(LOWER(Raw_Data!C1584),""airtime""),""Airtime"",IF(REGEXMATCH(LOWER(Raw_Data!C1584),""electronic money transfer levy""),""Electronic Money"&amp;" Transfer Levy"",IF(REGEXMATCH(LOWER(Raw_Data!C1584),""transfer|trf|send""),""Transfer"",""Other"")))),""Other"")"),"Transfer")</f>
        <v>Transfer</v>
      </c>
      <c r="E1578" s="20">
        <v>500.0</v>
      </c>
      <c r="F1578" s="20">
        <v>0.0</v>
      </c>
      <c r="G1578" s="12" t="str">
        <f t="shared" si="3"/>
        <v>Withdrawal</v>
      </c>
      <c r="H1578" s="12" t="str">
        <f>TEXT(Raw_Data!A1584,"hh:mm:ss")
</f>
        <v>16:26:22</v>
      </c>
      <c r="I1578" s="20">
        <f t="shared" si="4"/>
        <v>500</v>
      </c>
    </row>
    <row r="1579">
      <c r="A1579" s="12" t="str">
        <f>Raw_Data!A1585</f>
        <v>06 Nov 2025 07:25:20</v>
      </c>
      <c r="B1579" s="12" t="str">
        <f t="shared" si="1"/>
        <v>November</v>
      </c>
      <c r="C1579" s="12">
        <f t="shared" si="2"/>
        <v>11</v>
      </c>
      <c r="D1579" s="12" t="str">
        <f>IFERROR(__xludf.DUMMYFUNCTION("IFERROR(IF(REGEXMATCH(LOWER(Raw_Data!C1585),""fixed deposit|owealth|savings|target""),""Fixed Deposit"",IF(REGEXMATCH(LOWER(Raw_Data!C1585),""airtime""),""Airtime"",IF(REGEXMATCH(LOWER(Raw_Data!C1585),""electronic money transfer levy""),""Electronic Money"&amp;" Transfer Levy"",IF(REGEXMATCH(LOWER(Raw_Data!C1585),""transfer|trf|send""),""Transfer"",""Other"")))),""Other"")"),"Transfer")</f>
        <v>Transfer</v>
      </c>
      <c r="E1579" s="20">
        <v>550.0</v>
      </c>
      <c r="F1579" s="20">
        <v>0.0</v>
      </c>
      <c r="G1579" s="12" t="str">
        <f t="shared" si="3"/>
        <v>Withdrawal</v>
      </c>
      <c r="H1579" s="12" t="str">
        <f>TEXT(Raw_Data!A1585,"hh:mm:ss")
</f>
        <v>07:25:20</v>
      </c>
      <c r="I1579" s="20">
        <f t="shared" si="4"/>
        <v>550</v>
      </c>
    </row>
    <row r="1580">
      <c r="A1580" s="12" t="str">
        <f>Raw_Data!A1586</f>
        <v>06 Nov 2025 17:44:51</v>
      </c>
      <c r="B1580" s="12" t="str">
        <f t="shared" si="1"/>
        <v>November</v>
      </c>
      <c r="C1580" s="12">
        <f t="shared" si="2"/>
        <v>11</v>
      </c>
      <c r="D1580" s="12" t="str">
        <f>IFERROR(__xludf.DUMMYFUNCTION("IFERROR(IF(REGEXMATCH(LOWER(Raw_Data!C1586),""fixed deposit|owealth|savings|target""),""Fixed Deposit"",IF(REGEXMATCH(LOWER(Raw_Data!C1586),""airtime""),""Airtime"",IF(REGEXMATCH(LOWER(Raw_Data!C1586),""electronic money transfer levy""),""Electronic Money"&amp;" Transfer Levy"",IF(REGEXMATCH(LOWER(Raw_Data!C1586),""transfer|trf|send""),""Transfer"",""Other"")))),""Other"")"),"Transfer")</f>
        <v>Transfer</v>
      </c>
      <c r="E1580" s="20">
        <v>800.0</v>
      </c>
      <c r="F1580" s="20">
        <v>0.0</v>
      </c>
      <c r="G1580" s="12" t="str">
        <f t="shared" si="3"/>
        <v>Withdrawal</v>
      </c>
      <c r="H1580" s="12" t="str">
        <f>TEXT(Raw_Data!A1586,"hh:mm:ss")
</f>
        <v>17:44:51</v>
      </c>
      <c r="I1580" s="20">
        <f t="shared" si="4"/>
        <v>800</v>
      </c>
    </row>
    <row r="1581">
      <c r="A1581" s="12" t="str">
        <f>Raw_Data!A1587</f>
        <v>06 Nov 2025 18:58:44</v>
      </c>
      <c r="B1581" s="12" t="str">
        <f t="shared" si="1"/>
        <v>November</v>
      </c>
      <c r="C1581" s="12">
        <f t="shared" si="2"/>
        <v>11</v>
      </c>
      <c r="D1581" s="12" t="str">
        <f>IFERROR(__xludf.DUMMYFUNCTION("IFERROR(IF(REGEXMATCH(LOWER(Raw_Data!C1587),""fixed deposit|owealth|savings|target""),""Fixed Deposit"",IF(REGEXMATCH(LOWER(Raw_Data!C1587),""airtime""),""Airtime"",IF(REGEXMATCH(LOWER(Raw_Data!C1587),""electronic money transfer levy""),""Electronic Money"&amp;" Transfer Levy"",IF(REGEXMATCH(LOWER(Raw_Data!C1587),""transfer|trf|send""),""Transfer"",""Other"")))),""Other"")"),"Transfer")</f>
        <v>Transfer</v>
      </c>
      <c r="E1581" s="20">
        <v>500.0</v>
      </c>
      <c r="F1581" s="20">
        <v>0.0</v>
      </c>
      <c r="G1581" s="12" t="str">
        <f t="shared" si="3"/>
        <v>Withdrawal</v>
      </c>
      <c r="H1581" s="12" t="str">
        <f>TEXT(Raw_Data!A1587,"hh:mm:ss")
</f>
        <v>18:58:44</v>
      </c>
      <c r="I1581" s="20">
        <f t="shared" si="4"/>
        <v>500</v>
      </c>
    </row>
    <row r="1582">
      <c r="A1582" s="12" t="str">
        <f>Raw_Data!A1588</f>
        <v>06 Nov 2025 19:13:05</v>
      </c>
      <c r="B1582" s="12" t="str">
        <f t="shared" si="1"/>
        <v>November</v>
      </c>
      <c r="C1582" s="12">
        <f t="shared" si="2"/>
        <v>11</v>
      </c>
      <c r="D1582" s="12" t="str">
        <f>IFERROR(__xludf.DUMMYFUNCTION("IFERROR(IF(REGEXMATCH(LOWER(Raw_Data!C1588),""fixed deposit|owealth|savings|target""),""Fixed Deposit"",IF(REGEXMATCH(LOWER(Raw_Data!C1588),""airtime""),""Airtime"",IF(REGEXMATCH(LOWER(Raw_Data!C1588),""electronic money transfer levy""),""Electronic Money"&amp;" Transfer Levy"",IF(REGEXMATCH(LOWER(Raw_Data!C1588),""transfer|trf|send""),""Transfer"",""Other"")))),""Other"")"),"Transfer")</f>
        <v>Transfer</v>
      </c>
      <c r="E1582" s="20">
        <v>600.0</v>
      </c>
      <c r="F1582" s="20">
        <v>0.0</v>
      </c>
      <c r="G1582" s="12" t="str">
        <f t="shared" si="3"/>
        <v>Withdrawal</v>
      </c>
      <c r="H1582" s="12" t="str">
        <f>TEXT(Raw_Data!A1588,"hh:mm:ss")
</f>
        <v>19:13:05</v>
      </c>
      <c r="I1582" s="20">
        <f t="shared" si="4"/>
        <v>600</v>
      </c>
    </row>
    <row r="1583">
      <c r="A1583" s="12" t="str">
        <f>Raw_Data!A1589</f>
        <v>06 Nov 2025 19:13:42</v>
      </c>
      <c r="B1583" s="12" t="str">
        <f t="shared" si="1"/>
        <v>November</v>
      </c>
      <c r="C1583" s="12">
        <f t="shared" si="2"/>
        <v>11</v>
      </c>
      <c r="D1583" s="12" t="str">
        <f>IFERROR(__xludf.DUMMYFUNCTION("IFERROR(IF(REGEXMATCH(LOWER(Raw_Data!C1589),""fixed deposit|owealth|savings|target""),""Fixed Deposit"",IF(REGEXMATCH(LOWER(Raw_Data!C1589),""airtime""),""Airtime"",IF(REGEXMATCH(LOWER(Raw_Data!C1589),""electronic money transfer levy""),""Electronic Money"&amp;" Transfer Levy"",IF(REGEXMATCH(LOWER(Raw_Data!C1589),""transfer|trf|send""),""Transfer"",""Other"")))),""Other"")"),"Transfer")</f>
        <v>Transfer</v>
      </c>
      <c r="E1583" s="20">
        <v>660.0</v>
      </c>
      <c r="F1583" s="20">
        <v>0.0</v>
      </c>
      <c r="G1583" s="12" t="str">
        <f t="shared" si="3"/>
        <v>Withdrawal</v>
      </c>
      <c r="H1583" s="12" t="str">
        <f>TEXT(Raw_Data!A1589,"hh:mm:ss")
</f>
        <v>19:13:42</v>
      </c>
      <c r="I1583" s="20">
        <f t="shared" si="4"/>
        <v>660</v>
      </c>
    </row>
    <row r="1584">
      <c r="A1584" s="12" t="str">
        <f>Raw_Data!A1590</f>
        <v>07 Nov 2025 15:48:59</v>
      </c>
      <c r="B1584" s="12" t="str">
        <f t="shared" si="1"/>
        <v>November</v>
      </c>
      <c r="C1584" s="12">
        <f t="shared" si="2"/>
        <v>11</v>
      </c>
      <c r="D1584" s="12" t="str">
        <f>IFERROR(__xludf.DUMMYFUNCTION("IFERROR(IF(REGEXMATCH(LOWER(Raw_Data!C1590),""fixed deposit|owealth|savings|target""),""Fixed Deposit"",IF(REGEXMATCH(LOWER(Raw_Data!C1590),""airtime""),""Airtime"",IF(REGEXMATCH(LOWER(Raw_Data!C1590),""electronic money transfer levy""),""Electronic Money"&amp;" Transfer Levy"",IF(REGEXMATCH(LOWER(Raw_Data!C1590),""transfer|trf|send""),""Transfer"",""Other"")))),""Other"")"),"Transfer")</f>
        <v>Transfer</v>
      </c>
      <c r="E1584" s="20">
        <v>200.0</v>
      </c>
      <c r="F1584" s="20">
        <v>0.0</v>
      </c>
      <c r="G1584" s="12" t="str">
        <f t="shared" si="3"/>
        <v>Withdrawal</v>
      </c>
      <c r="H1584" s="12" t="str">
        <f>TEXT(Raw_Data!A1590,"hh:mm:ss")
</f>
        <v>15:48:59</v>
      </c>
      <c r="I1584" s="20">
        <f t="shared" si="4"/>
        <v>200</v>
      </c>
    </row>
    <row r="1585">
      <c r="A1585" s="12" t="str">
        <f>Raw_Data!A1591</f>
        <v>08 Nov 2025 06:17:13</v>
      </c>
      <c r="B1585" s="12" t="str">
        <f t="shared" si="1"/>
        <v>November</v>
      </c>
      <c r="C1585" s="12">
        <f t="shared" si="2"/>
        <v>11</v>
      </c>
      <c r="D1585" s="12" t="str">
        <f>IFERROR(__xludf.DUMMYFUNCTION("IFERROR(IF(REGEXMATCH(LOWER(Raw_Data!C1591),""fixed deposit|owealth|savings|target""),""Fixed Deposit"",IF(REGEXMATCH(LOWER(Raw_Data!C1591),""airtime""),""Airtime"",IF(REGEXMATCH(LOWER(Raw_Data!C1591),""electronic money transfer levy""),""Electronic Money"&amp;" Transfer Levy"",IF(REGEXMATCH(LOWER(Raw_Data!C1591),""transfer|trf|send""),""Transfer"",""Other"")))),""Other"")"),"Transfer")</f>
        <v>Transfer</v>
      </c>
      <c r="E1585" s="20">
        <v>0.0</v>
      </c>
      <c r="F1585" s="20">
        <v>2000.0</v>
      </c>
      <c r="G1585" s="12" t="str">
        <f t="shared" si="3"/>
        <v>Deposit</v>
      </c>
      <c r="H1585" s="12" t="str">
        <f>TEXT(Raw_Data!A1591,"hh:mm:ss")
</f>
        <v>06:17:13</v>
      </c>
      <c r="I1585" s="20">
        <f t="shared" si="4"/>
        <v>2000</v>
      </c>
    </row>
    <row r="1586">
      <c r="A1586" s="12" t="str">
        <f>Raw_Data!A1592</f>
        <v>08 Nov 2025 08:08:38</v>
      </c>
      <c r="B1586" s="12" t="str">
        <f t="shared" si="1"/>
        <v>November</v>
      </c>
      <c r="C1586" s="12">
        <f t="shared" si="2"/>
        <v>11</v>
      </c>
      <c r="D1586" s="12" t="str">
        <f>IFERROR(__xludf.DUMMYFUNCTION("IFERROR(IF(REGEXMATCH(LOWER(Raw_Data!C1592),""fixed deposit|owealth|savings|target""),""Fixed Deposit"",IF(REGEXMATCH(LOWER(Raw_Data!C1592),""airtime""),""Airtime"",IF(REGEXMATCH(LOWER(Raw_Data!C1592),""electronic money transfer levy""),""Electronic Money"&amp;" Transfer Levy"",IF(REGEXMATCH(LOWER(Raw_Data!C1592),""transfer|trf|send""),""Transfer"",""Other"")))),""Other"")"),"Transfer")</f>
        <v>Transfer</v>
      </c>
      <c r="E1586" s="20">
        <v>2100.0</v>
      </c>
      <c r="F1586" s="20">
        <v>0.0</v>
      </c>
      <c r="G1586" s="12" t="str">
        <f t="shared" si="3"/>
        <v>Withdrawal</v>
      </c>
      <c r="H1586" s="12" t="str">
        <f>TEXT(Raw_Data!A1592,"hh:mm:ss")
</f>
        <v>08:08:38</v>
      </c>
      <c r="I1586" s="20">
        <f t="shared" si="4"/>
        <v>2100</v>
      </c>
    </row>
    <row r="1587">
      <c r="A1587" s="12" t="str">
        <f>Raw_Data!A1593</f>
        <v>08 Nov 2025 08:12:23</v>
      </c>
      <c r="B1587" s="12" t="str">
        <f t="shared" si="1"/>
        <v>November</v>
      </c>
      <c r="C1587" s="12">
        <f t="shared" si="2"/>
        <v>11</v>
      </c>
      <c r="D1587" s="12" t="str">
        <f>IFERROR(__xludf.DUMMYFUNCTION("IFERROR(IF(REGEXMATCH(LOWER(Raw_Data!C1593),""fixed deposit|owealth|savings|target""),""Fixed Deposit"",IF(REGEXMATCH(LOWER(Raw_Data!C1593),""airtime""),""Airtime"",IF(REGEXMATCH(LOWER(Raw_Data!C1593),""electronic money transfer levy""),""Electronic Money"&amp;" Transfer Levy"",IF(REGEXMATCH(LOWER(Raw_Data!C1593),""transfer|trf|send""),""Transfer"",""Other"")))),""Other"")"),"Transfer")</f>
        <v>Transfer</v>
      </c>
      <c r="E1587" s="20">
        <v>550.0</v>
      </c>
      <c r="F1587" s="20">
        <v>0.0</v>
      </c>
      <c r="G1587" s="12" t="str">
        <f t="shared" si="3"/>
        <v>Withdrawal</v>
      </c>
      <c r="H1587" s="12" t="str">
        <f>TEXT(Raw_Data!A1593,"hh:mm:ss")
</f>
        <v>08:12:23</v>
      </c>
      <c r="I1587" s="20">
        <f t="shared" si="4"/>
        <v>550</v>
      </c>
    </row>
    <row r="1588">
      <c r="A1588" s="12" t="str">
        <f>Raw_Data!A1594</f>
        <v>08 Nov 2025 08:39:13</v>
      </c>
      <c r="B1588" s="12" t="str">
        <f t="shared" si="1"/>
        <v>November</v>
      </c>
      <c r="C1588" s="12">
        <f t="shared" si="2"/>
        <v>11</v>
      </c>
      <c r="D1588" s="12" t="str">
        <f>IFERROR(__xludf.DUMMYFUNCTION("IFERROR(IF(REGEXMATCH(LOWER(Raw_Data!C1594),""fixed deposit|owealth|savings|target""),""Fixed Deposit"",IF(REGEXMATCH(LOWER(Raw_Data!C1594),""airtime""),""Airtime"",IF(REGEXMATCH(LOWER(Raw_Data!C1594),""electronic money transfer levy""),""Electronic Money"&amp;" Transfer Levy"",IF(REGEXMATCH(LOWER(Raw_Data!C1594),""transfer|trf|send""),""Transfer"",""Other"")))),""Other"")"),"Transfer")</f>
        <v>Transfer</v>
      </c>
      <c r="E1588" s="20">
        <v>0.0</v>
      </c>
      <c r="F1588" s="20">
        <v>500.0</v>
      </c>
      <c r="G1588" s="12" t="str">
        <f t="shared" si="3"/>
        <v>Deposit</v>
      </c>
      <c r="H1588" s="12" t="str">
        <f>TEXT(Raw_Data!A1594,"hh:mm:ss")
</f>
        <v>08:39:13</v>
      </c>
      <c r="I1588" s="20">
        <f t="shared" si="4"/>
        <v>500</v>
      </c>
    </row>
    <row r="1589">
      <c r="A1589" s="12" t="str">
        <f>Raw_Data!A1595</f>
        <v>08 Nov 2025 08:39:52</v>
      </c>
      <c r="B1589" s="12" t="str">
        <f t="shared" si="1"/>
        <v>November</v>
      </c>
      <c r="C1589" s="12">
        <f t="shared" si="2"/>
        <v>11</v>
      </c>
      <c r="D1589" s="12" t="str">
        <f>IFERROR(__xludf.DUMMYFUNCTION("IFERROR(IF(REGEXMATCH(LOWER(Raw_Data!C1595),""fixed deposit|owealth|savings|target""),""Fixed Deposit"",IF(REGEXMATCH(LOWER(Raw_Data!C1595),""airtime""),""Airtime"",IF(REGEXMATCH(LOWER(Raw_Data!C1595),""electronic money transfer levy""),""Electronic Money"&amp;" Transfer Levy"",IF(REGEXMATCH(LOWER(Raw_Data!C1595),""transfer|trf|send""),""Transfer"",""Other"")))),""Other"")"),"Transfer")</f>
        <v>Transfer</v>
      </c>
      <c r="E1589" s="20">
        <v>700.0</v>
      </c>
      <c r="F1589" s="20">
        <v>0.0</v>
      </c>
      <c r="G1589" s="12" t="str">
        <f t="shared" si="3"/>
        <v>Withdrawal</v>
      </c>
      <c r="H1589" s="12" t="str">
        <f>TEXT(Raw_Data!A1595,"hh:mm:ss")
</f>
        <v>08:39:52</v>
      </c>
      <c r="I1589" s="20">
        <f t="shared" si="4"/>
        <v>700</v>
      </c>
    </row>
    <row r="1590">
      <c r="A1590" s="12" t="str">
        <f>Raw_Data!A1596</f>
        <v>08 Nov 2025 08:40:28</v>
      </c>
      <c r="B1590" s="12" t="str">
        <f t="shared" si="1"/>
        <v>November</v>
      </c>
      <c r="C1590" s="12">
        <f t="shared" si="2"/>
        <v>11</v>
      </c>
      <c r="D1590" s="12" t="str">
        <f>IFERROR(__xludf.DUMMYFUNCTION("IFERROR(IF(REGEXMATCH(LOWER(Raw_Data!C1596),""fixed deposit|owealth|savings|target""),""Fixed Deposit"",IF(REGEXMATCH(LOWER(Raw_Data!C1596),""airtime""),""Airtime"",IF(REGEXMATCH(LOWER(Raw_Data!C1596),""electronic money transfer levy""),""Electronic Money"&amp;" Transfer Levy"",IF(REGEXMATCH(LOWER(Raw_Data!C1596),""transfer|trf|send""),""Transfer"",""Other"")))),""Other"")"),"Transfer")</f>
        <v>Transfer</v>
      </c>
      <c r="E1590" s="20">
        <v>300.0</v>
      </c>
      <c r="F1590" s="20">
        <v>0.0</v>
      </c>
      <c r="G1590" s="12" t="str">
        <f t="shared" si="3"/>
        <v>Withdrawal</v>
      </c>
      <c r="H1590" s="12" t="str">
        <f>TEXT(Raw_Data!A1596,"hh:mm:ss")
</f>
        <v>08:40:28</v>
      </c>
      <c r="I1590" s="20">
        <f t="shared" si="4"/>
        <v>300</v>
      </c>
    </row>
    <row r="1591">
      <c r="A1591" s="12" t="str">
        <f>Raw_Data!A1597</f>
        <v>08 Nov 2025 15:27:39</v>
      </c>
      <c r="B1591" s="12" t="str">
        <f t="shared" si="1"/>
        <v>November</v>
      </c>
      <c r="C1591" s="12">
        <f t="shared" si="2"/>
        <v>11</v>
      </c>
      <c r="D1591" s="12" t="str">
        <f>IFERROR(__xludf.DUMMYFUNCTION("IFERROR(IF(REGEXMATCH(LOWER(Raw_Data!C1597),""fixed deposit|owealth|savings|target""),""Fixed Deposit"",IF(REGEXMATCH(LOWER(Raw_Data!C1597),""airtime""),""Airtime"",IF(REGEXMATCH(LOWER(Raw_Data!C1597),""electronic money transfer levy""),""Electronic Money"&amp;" Transfer Levy"",IF(REGEXMATCH(LOWER(Raw_Data!C1597),""transfer|trf|send""),""Transfer"",""Other"")))),""Other"")"),"Transfer")</f>
        <v>Transfer</v>
      </c>
      <c r="E1591" s="20">
        <v>0.0</v>
      </c>
      <c r="F1591" s="20">
        <v>25000.0</v>
      </c>
      <c r="G1591" s="12" t="str">
        <f t="shared" si="3"/>
        <v>Deposit</v>
      </c>
      <c r="H1591" s="12" t="str">
        <f>TEXT(Raw_Data!A1597,"hh:mm:ss")
</f>
        <v>15:27:39</v>
      </c>
      <c r="I1591" s="20">
        <f t="shared" si="4"/>
        <v>25000</v>
      </c>
    </row>
    <row r="1592">
      <c r="A1592" s="12" t="str">
        <f>Raw_Data!A1598</f>
        <v>08 Nov 2025 15:27:56</v>
      </c>
      <c r="B1592" s="12" t="str">
        <f t="shared" si="1"/>
        <v>November</v>
      </c>
      <c r="C1592" s="12">
        <f t="shared" si="2"/>
        <v>11</v>
      </c>
      <c r="D1592" s="12" t="str">
        <f>IFERROR(__xludf.DUMMYFUNCTION("IFERROR(IF(REGEXMATCH(LOWER(Raw_Data!C1598),""fixed deposit|owealth|savings|target""),""Fixed Deposit"",IF(REGEXMATCH(LOWER(Raw_Data!C1598),""airtime""),""Airtime"",IF(REGEXMATCH(LOWER(Raw_Data!C1598),""electronic money transfer levy""),""Electronic Money"&amp;" Transfer Levy"",IF(REGEXMATCH(LOWER(Raw_Data!C1598),""transfer|trf|send""),""Transfer"",""Other"")))),""Other"")"),"Electronic Money Transfer Levy")</f>
        <v>Electronic Money Transfer Levy</v>
      </c>
      <c r="E1592" s="20">
        <v>50.0</v>
      </c>
      <c r="F1592" s="20">
        <v>0.0</v>
      </c>
      <c r="G1592" s="12" t="str">
        <f t="shared" si="3"/>
        <v>Withdrawal</v>
      </c>
      <c r="H1592" s="12" t="str">
        <f>TEXT(Raw_Data!A1598,"hh:mm:ss")
</f>
        <v>15:27:56</v>
      </c>
      <c r="I1592" s="20">
        <f t="shared" si="4"/>
        <v>50</v>
      </c>
    </row>
    <row r="1593">
      <c r="A1593" s="12" t="str">
        <f>Raw_Data!A1599</f>
        <v>08 Nov 2025 15:34:33</v>
      </c>
      <c r="B1593" s="12" t="str">
        <f t="shared" si="1"/>
        <v>November</v>
      </c>
      <c r="C1593" s="12">
        <f t="shared" si="2"/>
        <v>11</v>
      </c>
      <c r="D1593" s="12" t="str">
        <f>IFERROR(__xludf.DUMMYFUNCTION("IFERROR(IF(REGEXMATCH(LOWER(Raw_Data!C1599),""fixed deposit|owealth|savings|target""),""Fixed Deposit"",IF(REGEXMATCH(LOWER(Raw_Data!C1599),""airtime""),""Airtime"",IF(REGEXMATCH(LOWER(Raw_Data!C1599),""electronic money transfer levy""),""Electronic Money"&amp;" Transfer Levy"",IF(REGEXMATCH(LOWER(Raw_Data!C1599),""transfer|trf|send""),""Transfer"",""Other"")))),""Other"")"),"Fixed Deposit")</f>
        <v>Fixed Deposit</v>
      </c>
      <c r="E1593" s="20">
        <v>5000.0</v>
      </c>
      <c r="F1593" s="20">
        <v>0.0</v>
      </c>
      <c r="G1593" s="12" t="str">
        <f t="shared" si="3"/>
        <v>Withdrawal</v>
      </c>
      <c r="H1593" s="12" t="str">
        <f>TEXT(Raw_Data!A1599,"hh:mm:ss")
</f>
        <v>15:34:33</v>
      </c>
      <c r="I1593" s="20">
        <f t="shared" si="4"/>
        <v>5000</v>
      </c>
    </row>
    <row r="1594">
      <c r="A1594" s="12" t="str">
        <f>Raw_Data!A1600</f>
        <v>08 Nov 2025 15:35:03</v>
      </c>
      <c r="B1594" s="12" t="str">
        <f t="shared" si="1"/>
        <v>November</v>
      </c>
      <c r="C1594" s="12">
        <f t="shared" si="2"/>
        <v>11</v>
      </c>
      <c r="D1594" s="12" t="str">
        <f>IFERROR(__xludf.DUMMYFUNCTION("IFERROR(IF(REGEXMATCH(LOWER(Raw_Data!C1600),""fixed deposit|owealth|savings|target""),""Fixed Deposit"",IF(REGEXMATCH(LOWER(Raw_Data!C1600),""airtime""),""Airtime"",IF(REGEXMATCH(LOWER(Raw_Data!C1600),""electronic money transfer levy""),""Electronic Money"&amp;" Transfer Levy"",IF(REGEXMATCH(LOWER(Raw_Data!C1600),""transfer|trf|send""),""Transfer"",""Other"")))),""Other"")"),"Transfer")</f>
        <v>Transfer</v>
      </c>
      <c r="E1594" s="20">
        <v>1000.0</v>
      </c>
      <c r="F1594" s="20">
        <v>0.0</v>
      </c>
      <c r="G1594" s="12" t="str">
        <f t="shared" si="3"/>
        <v>Withdrawal</v>
      </c>
      <c r="H1594" s="12" t="str">
        <f>TEXT(Raw_Data!A1600,"hh:mm:ss")
</f>
        <v>15:35:03</v>
      </c>
      <c r="I1594" s="20">
        <f t="shared" si="4"/>
        <v>1000</v>
      </c>
    </row>
    <row r="1595">
      <c r="A1595" s="12" t="str">
        <f>Raw_Data!A1601</f>
        <v>08 Nov 2025 15:35:22</v>
      </c>
      <c r="B1595" s="12" t="str">
        <f t="shared" si="1"/>
        <v>November</v>
      </c>
      <c r="C1595" s="12">
        <f t="shared" si="2"/>
        <v>11</v>
      </c>
      <c r="D1595" s="12" t="str">
        <f>IFERROR(__xludf.DUMMYFUNCTION("IFERROR(IF(REGEXMATCH(LOWER(Raw_Data!C1601),""fixed deposit|owealth|savings|target""),""Fixed Deposit"",IF(REGEXMATCH(LOWER(Raw_Data!C1601),""airtime""),""Airtime"",IF(REGEXMATCH(LOWER(Raw_Data!C1601),""electronic money transfer levy""),""Electronic Money"&amp;" Transfer Levy"",IF(REGEXMATCH(LOWER(Raw_Data!C1601),""transfer|trf|send""),""Transfer"",""Other"")))),""Other"")"),"Transfer")</f>
        <v>Transfer</v>
      </c>
      <c r="E1595" s="20">
        <v>1000.0</v>
      </c>
      <c r="F1595" s="20">
        <v>0.0</v>
      </c>
      <c r="G1595" s="12" t="str">
        <f t="shared" si="3"/>
        <v>Withdrawal</v>
      </c>
      <c r="H1595" s="12" t="str">
        <f>TEXT(Raw_Data!A1601,"hh:mm:ss")
</f>
        <v>15:35:22</v>
      </c>
      <c r="I1595" s="20">
        <f t="shared" si="4"/>
        <v>1000</v>
      </c>
    </row>
    <row r="1596">
      <c r="A1596" s="12" t="str">
        <f>Raw_Data!A1602</f>
        <v>08 Nov 2025 17:48:02</v>
      </c>
      <c r="B1596" s="12" t="str">
        <f t="shared" si="1"/>
        <v>November</v>
      </c>
      <c r="C1596" s="12">
        <f t="shared" si="2"/>
        <v>11</v>
      </c>
      <c r="D1596" s="12" t="str">
        <f>IFERROR(__xludf.DUMMYFUNCTION("IFERROR(IF(REGEXMATCH(LOWER(Raw_Data!C1602),""fixed deposit|owealth|savings|target""),""Fixed Deposit"",IF(REGEXMATCH(LOWER(Raw_Data!C1602),""airtime""),""Airtime"",IF(REGEXMATCH(LOWER(Raw_Data!C1602),""electronic money transfer levy""),""Electronic Money"&amp;" Transfer Levy"",IF(REGEXMATCH(LOWER(Raw_Data!C1602),""transfer|trf|send""),""Transfer"",""Other"")))),""Other"")"),"Transfer")</f>
        <v>Transfer</v>
      </c>
      <c r="E1596" s="20">
        <v>2000.0</v>
      </c>
      <c r="F1596" s="20">
        <v>0.0</v>
      </c>
      <c r="G1596" s="12" t="str">
        <f t="shared" si="3"/>
        <v>Withdrawal</v>
      </c>
      <c r="H1596" s="12" t="str">
        <f>TEXT(Raw_Data!A1602,"hh:mm:ss")
</f>
        <v>17:48:02</v>
      </c>
      <c r="I1596" s="20">
        <f t="shared" si="4"/>
        <v>2000</v>
      </c>
    </row>
    <row r="1597">
      <c r="A1597" s="12" t="str">
        <f>Raw_Data!A1603</f>
        <v>08 Nov 2025 17:48:55</v>
      </c>
      <c r="B1597" s="12" t="str">
        <f t="shared" si="1"/>
        <v>November</v>
      </c>
      <c r="C1597" s="12">
        <f t="shared" si="2"/>
        <v>11</v>
      </c>
      <c r="D1597" s="12" t="str">
        <f>IFERROR(__xludf.DUMMYFUNCTION("IFERROR(IF(REGEXMATCH(LOWER(Raw_Data!C1603),""fixed deposit|owealth|savings|target""),""Fixed Deposit"",IF(REGEXMATCH(LOWER(Raw_Data!C1603),""airtime""),""Airtime"",IF(REGEXMATCH(LOWER(Raw_Data!C1603),""electronic money transfer levy""),""Electronic Money"&amp;" Transfer Levy"",IF(REGEXMATCH(LOWER(Raw_Data!C1603),""transfer|trf|send""),""Transfer"",""Other"")))),""Other"")"),"Transfer")</f>
        <v>Transfer</v>
      </c>
      <c r="E1597" s="20">
        <v>410.0</v>
      </c>
      <c r="F1597" s="20">
        <v>0.0</v>
      </c>
      <c r="G1597" s="12" t="str">
        <f t="shared" si="3"/>
        <v>Withdrawal</v>
      </c>
      <c r="H1597" s="12" t="str">
        <f>TEXT(Raw_Data!A1603,"hh:mm:ss")
</f>
        <v>17:48:55</v>
      </c>
      <c r="I1597" s="20">
        <f t="shared" si="4"/>
        <v>410</v>
      </c>
    </row>
    <row r="1598">
      <c r="A1598" s="12" t="str">
        <f>Raw_Data!A1604</f>
        <v>09 Nov 2025 08:06:44</v>
      </c>
      <c r="B1598" s="12" t="str">
        <f t="shared" si="1"/>
        <v>November</v>
      </c>
      <c r="C1598" s="12">
        <f t="shared" si="2"/>
        <v>11</v>
      </c>
      <c r="D1598" s="12" t="str">
        <f>IFERROR(__xludf.DUMMYFUNCTION("IFERROR(IF(REGEXMATCH(LOWER(Raw_Data!C1604),""fixed deposit|owealth|savings|target""),""Fixed Deposit"",IF(REGEXMATCH(LOWER(Raw_Data!C1604),""airtime""),""Airtime"",IF(REGEXMATCH(LOWER(Raw_Data!C1604),""electronic money transfer levy""),""Electronic Money"&amp;" Transfer Levy"",IF(REGEXMATCH(LOWER(Raw_Data!C1604),""transfer|trf|send""),""Transfer"",""Other"")))),""Other"")"),"Transfer")</f>
        <v>Transfer</v>
      </c>
      <c r="E1598" s="20">
        <v>200.0</v>
      </c>
      <c r="F1598" s="20">
        <v>0.0</v>
      </c>
      <c r="G1598" s="12" t="str">
        <f t="shared" si="3"/>
        <v>Withdrawal</v>
      </c>
      <c r="H1598" s="12" t="str">
        <f>TEXT(Raw_Data!A1604,"hh:mm:ss")
</f>
        <v>08:06:44</v>
      </c>
      <c r="I1598" s="20">
        <f t="shared" si="4"/>
        <v>200</v>
      </c>
    </row>
    <row r="1599">
      <c r="A1599" s="12" t="str">
        <f>Raw_Data!A1605</f>
        <v>09 Nov 2025 09:18:48</v>
      </c>
      <c r="B1599" s="12" t="str">
        <f t="shared" si="1"/>
        <v>November</v>
      </c>
      <c r="C1599" s="12">
        <f t="shared" si="2"/>
        <v>11</v>
      </c>
      <c r="D1599" s="12" t="str">
        <f>IFERROR(__xludf.DUMMYFUNCTION("IFERROR(IF(REGEXMATCH(LOWER(Raw_Data!C1605),""fixed deposit|owealth|savings|target""),""Fixed Deposit"",IF(REGEXMATCH(LOWER(Raw_Data!C1605),""airtime""),""Airtime"",IF(REGEXMATCH(LOWER(Raw_Data!C1605),""electronic money transfer levy""),""Electronic Money"&amp;" Transfer Levy"",IF(REGEXMATCH(LOWER(Raw_Data!C1605),""transfer|trf|send""),""Transfer"",""Other"")))),""Other"")"),"Transfer")</f>
        <v>Transfer</v>
      </c>
      <c r="E1599" s="20">
        <v>550.0</v>
      </c>
      <c r="F1599" s="20">
        <v>0.0</v>
      </c>
      <c r="G1599" s="12" t="str">
        <f t="shared" si="3"/>
        <v>Withdrawal</v>
      </c>
      <c r="H1599" s="12" t="str">
        <f>TEXT(Raw_Data!A1605,"hh:mm:ss")
</f>
        <v>09:18:48</v>
      </c>
      <c r="I1599" s="20">
        <f t="shared" si="4"/>
        <v>550</v>
      </c>
    </row>
    <row r="1600">
      <c r="A1600" s="12" t="str">
        <f>Raw_Data!A1606</f>
        <v>09 Nov 2025 09:41:02</v>
      </c>
      <c r="B1600" s="12" t="str">
        <f t="shared" si="1"/>
        <v>November</v>
      </c>
      <c r="C1600" s="12">
        <f t="shared" si="2"/>
        <v>11</v>
      </c>
      <c r="D1600" s="12" t="str">
        <f>IFERROR(__xludf.DUMMYFUNCTION("IFERROR(IF(REGEXMATCH(LOWER(Raw_Data!C1606),""fixed deposit|owealth|savings|target""),""Fixed Deposit"",IF(REGEXMATCH(LOWER(Raw_Data!C1606),""airtime""),""Airtime"",IF(REGEXMATCH(LOWER(Raw_Data!C1606),""electronic money transfer levy""),""Electronic Money"&amp;" Transfer Levy"",IF(REGEXMATCH(LOWER(Raw_Data!C1606),""transfer|trf|send""),""Transfer"",""Other"")))),""Other"")"),"Transfer")</f>
        <v>Transfer</v>
      </c>
      <c r="E1600" s="20">
        <v>2600.0</v>
      </c>
      <c r="F1600" s="20">
        <v>0.0</v>
      </c>
      <c r="G1600" s="12" t="str">
        <f t="shared" si="3"/>
        <v>Withdrawal</v>
      </c>
      <c r="H1600" s="12" t="str">
        <f>TEXT(Raw_Data!A1606,"hh:mm:ss")
</f>
        <v>09:41:02</v>
      </c>
      <c r="I1600" s="20">
        <f t="shared" si="4"/>
        <v>2600</v>
      </c>
    </row>
    <row r="1601">
      <c r="A1601" s="12" t="str">
        <f>Raw_Data!A1607</f>
        <v>09 Nov 2025 09:41:33</v>
      </c>
      <c r="B1601" s="12" t="str">
        <f t="shared" si="1"/>
        <v>November</v>
      </c>
      <c r="C1601" s="12">
        <f t="shared" si="2"/>
        <v>11</v>
      </c>
      <c r="D1601" s="12" t="str">
        <f>IFERROR(__xludf.DUMMYFUNCTION("IFERROR(IF(REGEXMATCH(LOWER(Raw_Data!C1607),""fixed deposit|owealth|savings|target""),""Fixed Deposit"",IF(REGEXMATCH(LOWER(Raw_Data!C1607),""airtime""),""Airtime"",IF(REGEXMATCH(LOWER(Raw_Data!C1607),""electronic money transfer levy""),""Electronic Money"&amp;" Transfer Levy"",IF(REGEXMATCH(LOWER(Raw_Data!C1607),""transfer|trf|send""),""Transfer"",""Other"")))),""Other"")"),"Transfer")</f>
        <v>Transfer</v>
      </c>
      <c r="E1601" s="20">
        <v>500.0</v>
      </c>
      <c r="F1601" s="20">
        <v>0.0</v>
      </c>
      <c r="G1601" s="12" t="str">
        <f t="shared" si="3"/>
        <v>Withdrawal</v>
      </c>
      <c r="H1601" s="12" t="str">
        <f>TEXT(Raw_Data!A1607,"hh:mm:ss")
</f>
        <v>09:41:33</v>
      </c>
      <c r="I1601" s="20">
        <f t="shared" si="4"/>
        <v>500</v>
      </c>
    </row>
    <row r="1602">
      <c r="A1602" s="12" t="str">
        <f>Raw_Data!A1608</f>
        <v>09 Nov 2025 14:58:11</v>
      </c>
      <c r="B1602" s="12" t="str">
        <f t="shared" si="1"/>
        <v>November</v>
      </c>
      <c r="C1602" s="12">
        <f t="shared" si="2"/>
        <v>11</v>
      </c>
      <c r="D1602" s="12" t="str">
        <f>IFERROR(__xludf.DUMMYFUNCTION("IFERROR(IF(REGEXMATCH(LOWER(Raw_Data!C1608),""fixed deposit|owealth|savings|target""),""Fixed Deposit"",IF(REGEXMATCH(LOWER(Raw_Data!C1608),""airtime""),""Airtime"",IF(REGEXMATCH(LOWER(Raw_Data!C1608),""electronic money transfer levy""),""Electronic Money"&amp;" Transfer Levy"",IF(REGEXMATCH(LOWER(Raw_Data!C1608),""transfer|trf|send""),""Transfer"",""Other"")))),""Other"")"),"Transfer")</f>
        <v>Transfer</v>
      </c>
      <c r="E1602" s="20">
        <v>810.0</v>
      </c>
      <c r="F1602" s="20">
        <v>0.0</v>
      </c>
      <c r="G1602" s="12" t="str">
        <f t="shared" si="3"/>
        <v>Withdrawal</v>
      </c>
      <c r="H1602" s="12" t="str">
        <f>TEXT(Raw_Data!A1608,"hh:mm:ss")
</f>
        <v>14:58:11</v>
      </c>
      <c r="I1602" s="20">
        <f t="shared" si="4"/>
        <v>810</v>
      </c>
    </row>
    <row r="1603">
      <c r="A1603" s="12" t="str">
        <f>Raw_Data!A1609</f>
        <v>09 Nov 2025 17:54:23</v>
      </c>
      <c r="B1603" s="12" t="str">
        <f t="shared" si="1"/>
        <v>November</v>
      </c>
      <c r="C1603" s="12">
        <f t="shared" si="2"/>
        <v>11</v>
      </c>
      <c r="D1603" s="12" t="str">
        <f>IFERROR(__xludf.DUMMYFUNCTION("IFERROR(IF(REGEXMATCH(LOWER(Raw_Data!C1609),""fixed deposit|owealth|savings|target""),""Fixed Deposit"",IF(REGEXMATCH(LOWER(Raw_Data!C1609),""airtime""),""Airtime"",IF(REGEXMATCH(LOWER(Raw_Data!C1609),""electronic money transfer levy""),""Electronic Money"&amp;" Transfer Levy"",IF(REGEXMATCH(LOWER(Raw_Data!C1609),""transfer|trf|send""),""Transfer"",""Other"")))),""Other"")"),"Transfer")</f>
        <v>Transfer</v>
      </c>
      <c r="E1603" s="20">
        <v>3610.0</v>
      </c>
      <c r="F1603" s="20">
        <v>0.0</v>
      </c>
      <c r="G1603" s="12" t="str">
        <f t="shared" si="3"/>
        <v>Withdrawal</v>
      </c>
      <c r="H1603" s="12" t="str">
        <f>TEXT(Raw_Data!A1609,"hh:mm:ss")
</f>
        <v>17:54:23</v>
      </c>
      <c r="I1603" s="20">
        <f t="shared" si="4"/>
        <v>3610</v>
      </c>
    </row>
    <row r="1604">
      <c r="A1604" s="12" t="str">
        <f>Raw_Data!A1610</f>
        <v>09 Nov 2025 18:17:49</v>
      </c>
      <c r="B1604" s="12" t="str">
        <f t="shared" si="1"/>
        <v>November</v>
      </c>
      <c r="C1604" s="12">
        <f t="shared" si="2"/>
        <v>11</v>
      </c>
      <c r="D1604" s="12" t="str">
        <f>IFERROR(__xludf.DUMMYFUNCTION("IFERROR(IF(REGEXMATCH(LOWER(Raw_Data!C1610),""fixed deposit|owealth|savings|target""),""Fixed Deposit"",IF(REGEXMATCH(LOWER(Raw_Data!C1610),""airtime""),""Airtime"",IF(REGEXMATCH(LOWER(Raw_Data!C1610),""electronic money transfer levy""),""Electronic Money"&amp;" Transfer Levy"",IF(REGEXMATCH(LOWER(Raw_Data!C1610),""transfer|trf|send""),""Transfer"",""Other"")))),""Other"")"),"Transfer")</f>
        <v>Transfer</v>
      </c>
      <c r="E1604" s="20">
        <v>410.0</v>
      </c>
      <c r="F1604" s="20">
        <v>0.0</v>
      </c>
      <c r="G1604" s="12" t="str">
        <f t="shared" si="3"/>
        <v>Withdrawal</v>
      </c>
      <c r="H1604" s="12" t="str">
        <f>TEXT(Raw_Data!A1610,"hh:mm:ss")
</f>
        <v>18:17:49</v>
      </c>
      <c r="I1604" s="20">
        <f t="shared" si="4"/>
        <v>410</v>
      </c>
    </row>
    <row r="1605">
      <c r="A1605" s="12" t="str">
        <f>Raw_Data!A1611</f>
        <v>10 Nov 2025 06:38:22</v>
      </c>
      <c r="B1605" s="12" t="str">
        <f t="shared" si="1"/>
        <v>November</v>
      </c>
      <c r="C1605" s="12">
        <f t="shared" si="2"/>
        <v>11</v>
      </c>
      <c r="D1605" s="12" t="str">
        <f>IFERROR(__xludf.DUMMYFUNCTION("IFERROR(IF(REGEXMATCH(LOWER(Raw_Data!C1611),""fixed deposit|owealth|savings|target""),""Fixed Deposit"",IF(REGEXMATCH(LOWER(Raw_Data!C1611),""airtime""),""Airtime"",IF(REGEXMATCH(LOWER(Raw_Data!C1611),""electronic money transfer levy""),""Electronic Money"&amp;" Transfer Levy"",IF(REGEXMATCH(LOWER(Raw_Data!C1611),""transfer|trf|send""),""Transfer"",""Other"")))),""Other"")"),"Transfer")</f>
        <v>Transfer</v>
      </c>
      <c r="E1605" s="20">
        <v>400.0</v>
      </c>
      <c r="F1605" s="20">
        <v>0.0</v>
      </c>
      <c r="G1605" s="12" t="str">
        <f t="shared" si="3"/>
        <v>Withdrawal</v>
      </c>
      <c r="H1605" s="12" t="str">
        <f>TEXT(Raw_Data!A1611,"hh:mm:ss")
</f>
        <v>06:38:22</v>
      </c>
      <c r="I1605" s="20">
        <f t="shared" si="4"/>
        <v>400</v>
      </c>
    </row>
    <row r="1606">
      <c r="A1606" s="12" t="str">
        <f>Raw_Data!A1612</f>
        <v>10 Nov 2025 07:31:24</v>
      </c>
      <c r="B1606" s="12" t="str">
        <f t="shared" si="1"/>
        <v>November</v>
      </c>
      <c r="C1606" s="12">
        <f t="shared" si="2"/>
        <v>11</v>
      </c>
      <c r="D1606" s="12" t="str">
        <f>IFERROR(__xludf.DUMMYFUNCTION("IFERROR(IF(REGEXMATCH(LOWER(Raw_Data!C1612),""fixed deposit|owealth|savings|target""),""Fixed Deposit"",IF(REGEXMATCH(LOWER(Raw_Data!C1612),""airtime""),""Airtime"",IF(REGEXMATCH(LOWER(Raw_Data!C1612),""electronic money transfer levy""),""Electronic Money"&amp;" Transfer Levy"",IF(REGEXMATCH(LOWER(Raw_Data!C1612),""transfer|trf|send""),""Transfer"",""Other"")))),""Other"")"),"Transfer")</f>
        <v>Transfer</v>
      </c>
      <c r="E1606" s="20">
        <v>4100.0</v>
      </c>
      <c r="F1606" s="20">
        <v>0.0</v>
      </c>
      <c r="G1606" s="12" t="str">
        <f t="shared" si="3"/>
        <v>Withdrawal</v>
      </c>
      <c r="H1606" s="12" t="str">
        <f>TEXT(Raw_Data!A1612,"hh:mm:ss")
</f>
        <v>07:31:24</v>
      </c>
      <c r="I1606" s="20">
        <f t="shared" si="4"/>
        <v>4100</v>
      </c>
    </row>
    <row r="1607">
      <c r="A1607" s="12" t="str">
        <f>Raw_Data!A1613</f>
        <v>10 Nov 2025 13:14:27</v>
      </c>
      <c r="B1607" s="12" t="str">
        <f t="shared" si="1"/>
        <v>November</v>
      </c>
      <c r="C1607" s="12">
        <f t="shared" si="2"/>
        <v>11</v>
      </c>
      <c r="D1607" s="12" t="str">
        <f>IFERROR(__xludf.DUMMYFUNCTION("IFERROR(IF(REGEXMATCH(LOWER(Raw_Data!C1613),""fixed deposit|owealth|savings|target""),""Fixed Deposit"",IF(REGEXMATCH(LOWER(Raw_Data!C1613),""airtime""),""Airtime"",IF(REGEXMATCH(LOWER(Raw_Data!C1613),""electronic money transfer levy""),""Electronic Money"&amp;" Transfer Levy"",IF(REGEXMATCH(LOWER(Raw_Data!C1613),""transfer|trf|send""),""Transfer"",""Other"")))),""Other"")"),"Transfer")</f>
        <v>Transfer</v>
      </c>
      <c r="E1607" s="20">
        <v>700.0</v>
      </c>
      <c r="F1607" s="20">
        <v>0.0</v>
      </c>
      <c r="G1607" s="12" t="str">
        <f t="shared" si="3"/>
        <v>Withdrawal</v>
      </c>
      <c r="H1607" s="12" t="str">
        <f>TEXT(Raw_Data!A1613,"hh:mm:ss")
</f>
        <v>13:14:27</v>
      </c>
      <c r="I1607" s="20">
        <f t="shared" si="4"/>
        <v>700</v>
      </c>
    </row>
    <row r="1608">
      <c r="A1608" s="12" t="str">
        <f>Raw_Data!A1614</f>
        <v>10 Nov 2025 13:24:55</v>
      </c>
      <c r="B1608" s="12" t="str">
        <f t="shared" si="1"/>
        <v>November</v>
      </c>
      <c r="C1608" s="12">
        <f t="shared" si="2"/>
        <v>11</v>
      </c>
      <c r="D1608" s="12" t="str">
        <f>IFERROR(__xludf.DUMMYFUNCTION("IFERROR(IF(REGEXMATCH(LOWER(Raw_Data!C1614),""fixed deposit|owealth|savings|target""),""Fixed Deposit"",IF(REGEXMATCH(LOWER(Raw_Data!C1614),""airtime""),""Airtime"",IF(REGEXMATCH(LOWER(Raw_Data!C1614),""electronic money transfer levy""),""Electronic Money"&amp;" Transfer Levy"",IF(REGEXMATCH(LOWER(Raw_Data!C1614),""transfer|trf|send""),""Transfer"",""Other"")))),""Other"")"),"Transfer")</f>
        <v>Transfer</v>
      </c>
      <c r="E1608" s="20">
        <v>0.0</v>
      </c>
      <c r="F1608" s="20">
        <v>15000.0</v>
      </c>
      <c r="G1608" s="12" t="str">
        <f t="shared" si="3"/>
        <v>Deposit</v>
      </c>
      <c r="H1608" s="12" t="str">
        <f>TEXT(Raw_Data!A1614,"hh:mm:ss")
</f>
        <v>13:24:55</v>
      </c>
      <c r="I1608" s="20">
        <f t="shared" si="4"/>
        <v>15000</v>
      </c>
    </row>
    <row r="1609">
      <c r="A1609" s="12" t="str">
        <f>Raw_Data!A1615</f>
        <v>10 Nov 2025 13:25:01</v>
      </c>
      <c r="B1609" s="12" t="str">
        <f t="shared" si="1"/>
        <v>November</v>
      </c>
      <c r="C1609" s="12">
        <f t="shared" si="2"/>
        <v>11</v>
      </c>
      <c r="D1609" s="12" t="str">
        <f>IFERROR(__xludf.DUMMYFUNCTION("IFERROR(IF(REGEXMATCH(LOWER(Raw_Data!C1615),""fixed deposit|owealth|savings|target""),""Fixed Deposit"",IF(REGEXMATCH(LOWER(Raw_Data!C1615),""airtime""),""Airtime"",IF(REGEXMATCH(LOWER(Raw_Data!C1615),""electronic money transfer levy""),""Electronic Money"&amp;" Transfer Levy"",IF(REGEXMATCH(LOWER(Raw_Data!C1615),""transfer|trf|send""),""Transfer"",""Other"")))),""Other"")"),"Electronic Money Transfer Levy")</f>
        <v>Electronic Money Transfer Levy</v>
      </c>
      <c r="E1609" s="20">
        <v>50.0</v>
      </c>
      <c r="F1609" s="20">
        <v>0.0</v>
      </c>
      <c r="G1609" s="12" t="str">
        <f t="shared" si="3"/>
        <v>Withdrawal</v>
      </c>
      <c r="H1609" s="12" t="str">
        <f>TEXT(Raw_Data!A1615,"hh:mm:ss")
</f>
        <v>13:25:01</v>
      </c>
      <c r="I1609" s="20">
        <f t="shared" si="4"/>
        <v>50</v>
      </c>
    </row>
    <row r="1610">
      <c r="A1610" s="12" t="str">
        <f>Raw_Data!A1616</f>
        <v>10 Nov 2025 18:26:43</v>
      </c>
      <c r="B1610" s="12" t="str">
        <f t="shared" si="1"/>
        <v>November</v>
      </c>
      <c r="C1610" s="12">
        <f t="shared" si="2"/>
        <v>11</v>
      </c>
      <c r="D1610" s="12" t="str">
        <f>IFERROR(__xludf.DUMMYFUNCTION("IFERROR(IF(REGEXMATCH(LOWER(Raw_Data!C1616),""fixed deposit|owealth|savings|target""),""Fixed Deposit"",IF(REGEXMATCH(LOWER(Raw_Data!C1616),""airtime""),""Airtime"",IF(REGEXMATCH(LOWER(Raw_Data!C1616),""electronic money transfer levy""),""Electronic Money"&amp;" Transfer Levy"",IF(REGEXMATCH(LOWER(Raw_Data!C1616),""transfer|trf|send""),""Transfer"",""Other"")))),""Other"")"),"Transfer")</f>
        <v>Transfer</v>
      </c>
      <c r="E1610" s="20">
        <v>1200.0</v>
      </c>
      <c r="F1610" s="20">
        <v>0.0</v>
      </c>
      <c r="G1610" s="12" t="str">
        <f t="shared" si="3"/>
        <v>Withdrawal</v>
      </c>
      <c r="H1610" s="12" t="str">
        <f>TEXT(Raw_Data!A1616,"hh:mm:ss")
</f>
        <v>18:26:43</v>
      </c>
      <c r="I1610" s="20">
        <f t="shared" si="4"/>
        <v>1200</v>
      </c>
    </row>
    <row r="1611">
      <c r="A1611" s="12" t="str">
        <f>Raw_Data!A1617</f>
        <v>11 Nov 2025 06:57:04</v>
      </c>
      <c r="B1611" s="12" t="str">
        <f t="shared" si="1"/>
        <v>November</v>
      </c>
      <c r="C1611" s="12">
        <f t="shared" si="2"/>
        <v>11</v>
      </c>
      <c r="D1611" s="12" t="str">
        <f>IFERROR(__xludf.DUMMYFUNCTION("IFERROR(IF(REGEXMATCH(LOWER(Raw_Data!C1617),""fixed deposit|owealth|savings|target""),""Fixed Deposit"",IF(REGEXMATCH(LOWER(Raw_Data!C1617),""airtime""),""Airtime"",IF(REGEXMATCH(LOWER(Raw_Data!C1617),""electronic money transfer levy""),""Electronic Money"&amp;" Transfer Levy"",IF(REGEXMATCH(LOWER(Raw_Data!C1617),""transfer|trf|send""),""Transfer"",""Other"")))),""Other"")"),"Transfer")</f>
        <v>Transfer</v>
      </c>
      <c r="E1611" s="20">
        <v>200.0</v>
      </c>
      <c r="F1611" s="20">
        <v>0.0</v>
      </c>
      <c r="G1611" s="12" t="str">
        <f t="shared" si="3"/>
        <v>Withdrawal</v>
      </c>
      <c r="H1611" s="12" t="str">
        <f>TEXT(Raw_Data!A1617,"hh:mm:ss")
</f>
        <v>06:57:04</v>
      </c>
      <c r="I1611" s="20">
        <f t="shared" si="4"/>
        <v>200</v>
      </c>
    </row>
    <row r="1612">
      <c r="A1612" s="12" t="str">
        <f>Raw_Data!A1618</f>
        <v>11 Nov 2025 13:30:23</v>
      </c>
      <c r="B1612" s="12" t="str">
        <f t="shared" si="1"/>
        <v>November</v>
      </c>
      <c r="C1612" s="12">
        <f t="shared" si="2"/>
        <v>11</v>
      </c>
      <c r="D1612" s="12" t="str">
        <f>IFERROR(__xludf.DUMMYFUNCTION("IFERROR(IF(REGEXMATCH(LOWER(Raw_Data!C1618),""fixed deposit|owealth|savings|target""),""Fixed Deposit"",IF(REGEXMATCH(LOWER(Raw_Data!C1618),""airtime""),""Airtime"",IF(REGEXMATCH(LOWER(Raw_Data!C1618),""electronic money transfer levy""),""Electronic Money"&amp;" Transfer Levy"",IF(REGEXMATCH(LOWER(Raw_Data!C1618),""transfer|trf|send""),""Transfer"",""Other"")))),""Other"")"),"Transfer")</f>
        <v>Transfer</v>
      </c>
      <c r="E1612" s="20">
        <v>1500.0</v>
      </c>
      <c r="F1612" s="20">
        <v>0.0</v>
      </c>
      <c r="G1612" s="12" t="str">
        <f t="shared" si="3"/>
        <v>Withdrawal</v>
      </c>
      <c r="H1612" s="12" t="str">
        <f>TEXT(Raw_Data!A1618,"hh:mm:ss")
</f>
        <v>13:30:23</v>
      </c>
      <c r="I1612" s="20">
        <f t="shared" si="4"/>
        <v>1500</v>
      </c>
    </row>
    <row r="1613">
      <c r="A1613" s="12" t="str">
        <f>Raw_Data!A1619</f>
        <v>11 Nov 2025 13:30:59</v>
      </c>
      <c r="B1613" s="12" t="str">
        <f t="shared" si="1"/>
        <v>November</v>
      </c>
      <c r="C1613" s="12">
        <f t="shared" si="2"/>
        <v>11</v>
      </c>
      <c r="D1613" s="12" t="str">
        <f>IFERROR(__xludf.DUMMYFUNCTION("IFERROR(IF(REGEXMATCH(LOWER(Raw_Data!C1619),""fixed deposit|owealth|savings|target""),""Fixed Deposit"",IF(REGEXMATCH(LOWER(Raw_Data!C1619),""airtime""),""Airtime"",IF(REGEXMATCH(LOWER(Raw_Data!C1619),""electronic money transfer levy""),""Electronic Money"&amp;" Transfer Levy"",IF(REGEXMATCH(LOWER(Raw_Data!C1619),""transfer|trf|send""),""Transfer"",""Other"")))),""Other"")"),"Airtime")</f>
        <v>Airtime</v>
      </c>
      <c r="E1613" s="20">
        <v>4980.0</v>
      </c>
      <c r="F1613" s="20">
        <v>0.0</v>
      </c>
      <c r="G1613" s="12" t="str">
        <f t="shared" si="3"/>
        <v>Withdrawal</v>
      </c>
      <c r="H1613" s="12" t="str">
        <f>TEXT(Raw_Data!A1619,"hh:mm:ss")
</f>
        <v>13:30:59</v>
      </c>
      <c r="I1613" s="20">
        <f t="shared" si="4"/>
        <v>4980</v>
      </c>
    </row>
    <row r="1614">
      <c r="A1614" s="12" t="str">
        <f>Raw_Data!A1620</f>
        <v>11 Nov 2025 17:58:42</v>
      </c>
      <c r="B1614" s="12" t="str">
        <f t="shared" si="1"/>
        <v>November</v>
      </c>
      <c r="C1614" s="12">
        <f t="shared" si="2"/>
        <v>11</v>
      </c>
      <c r="D1614" s="12" t="str">
        <f>IFERROR(__xludf.DUMMYFUNCTION("IFERROR(IF(REGEXMATCH(LOWER(Raw_Data!C1620),""fixed deposit|owealth|savings|target""),""Fixed Deposit"",IF(REGEXMATCH(LOWER(Raw_Data!C1620),""airtime""),""Airtime"",IF(REGEXMATCH(LOWER(Raw_Data!C1620),""electronic money transfer levy""),""Electronic Money"&amp;" Transfer Levy"",IF(REGEXMATCH(LOWER(Raw_Data!C1620),""transfer|trf|send""),""Transfer"",""Other"")))),""Other"")"),"Transfer")</f>
        <v>Transfer</v>
      </c>
      <c r="E1614" s="20">
        <v>750.0</v>
      </c>
      <c r="F1614" s="20">
        <v>0.0</v>
      </c>
      <c r="G1614" s="12" t="str">
        <f t="shared" si="3"/>
        <v>Withdrawal</v>
      </c>
      <c r="H1614" s="12" t="str">
        <f>TEXT(Raw_Data!A1620,"hh:mm:ss")
</f>
        <v>17:58:42</v>
      </c>
      <c r="I1614" s="20">
        <f t="shared" si="4"/>
        <v>750</v>
      </c>
    </row>
    <row r="1615">
      <c r="A1615" s="12" t="str">
        <f>Raw_Data!A1621</f>
        <v>11 Nov 2025 19:32:07</v>
      </c>
      <c r="B1615" s="12" t="str">
        <f t="shared" si="1"/>
        <v>November</v>
      </c>
      <c r="C1615" s="12">
        <f t="shared" si="2"/>
        <v>11</v>
      </c>
      <c r="D1615" s="12" t="str">
        <f>IFERROR(__xludf.DUMMYFUNCTION("IFERROR(IF(REGEXMATCH(LOWER(Raw_Data!C1621),""fixed deposit|owealth|savings|target""),""Fixed Deposit"",IF(REGEXMATCH(LOWER(Raw_Data!C1621),""airtime""),""Airtime"",IF(REGEXMATCH(LOWER(Raw_Data!C1621),""electronic money transfer levy""),""Electronic Money"&amp;" Transfer Levy"",IF(REGEXMATCH(LOWER(Raw_Data!C1621),""transfer|trf|send""),""Transfer"",""Other"")))),""Other"")"),"Airtime")</f>
        <v>Airtime</v>
      </c>
      <c r="E1615" s="20">
        <v>300.0</v>
      </c>
      <c r="F1615" s="20">
        <v>0.0</v>
      </c>
      <c r="G1615" s="12" t="str">
        <f t="shared" si="3"/>
        <v>Withdrawal</v>
      </c>
      <c r="H1615" s="12" t="str">
        <f>TEXT(Raw_Data!A1621,"hh:mm:ss")
</f>
        <v>19:32:07</v>
      </c>
      <c r="I1615" s="20">
        <f t="shared" si="4"/>
        <v>300</v>
      </c>
    </row>
    <row r="1616">
      <c r="A1616" s="12" t="str">
        <f>Raw_Data!A1622</f>
        <v>12 Nov 2025 08:46:37</v>
      </c>
      <c r="B1616" s="12" t="str">
        <f t="shared" si="1"/>
        <v>November</v>
      </c>
      <c r="C1616" s="12">
        <f t="shared" si="2"/>
        <v>11</v>
      </c>
      <c r="D1616" s="12" t="str">
        <f>IFERROR(__xludf.DUMMYFUNCTION("IFERROR(IF(REGEXMATCH(LOWER(Raw_Data!C1622),""fixed deposit|owealth|savings|target""),""Fixed Deposit"",IF(REGEXMATCH(LOWER(Raw_Data!C1622),""airtime""),""Airtime"",IF(REGEXMATCH(LOWER(Raw_Data!C1622),""electronic money transfer levy""),""Electronic Money"&amp;" Transfer Levy"",IF(REGEXMATCH(LOWER(Raw_Data!C1622),""transfer|trf|send""),""Transfer"",""Other"")))),""Other"")"),"Transfer")</f>
        <v>Transfer</v>
      </c>
      <c r="E1616" s="20">
        <v>2000.0</v>
      </c>
      <c r="F1616" s="20">
        <v>0.0</v>
      </c>
      <c r="G1616" s="12" t="str">
        <f t="shared" si="3"/>
        <v>Withdrawal</v>
      </c>
      <c r="H1616" s="12" t="str">
        <f>TEXT(Raw_Data!A1622,"hh:mm:ss")
</f>
        <v>08:46:37</v>
      </c>
      <c r="I1616" s="20">
        <f t="shared" si="4"/>
        <v>2000</v>
      </c>
    </row>
    <row r="1617">
      <c r="A1617" s="12" t="str">
        <f>Raw_Data!A1623</f>
        <v>13 Nov 2025 08:15:09</v>
      </c>
      <c r="B1617" s="12" t="str">
        <f t="shared" si="1"/>
        <v>November</v>
      </c>
      <c r="C1617" s="12">
        <f t="shared" si="2"/>
        <v>11</v>
      </c>
      <c r="D1617" s="12" t="str">
        <f>IFERROR(__xludf.DUMMYFUNCTION("IFERROR(IF(REGEXMATCH(LOWER(Raw_Data!C1623),""fixed deposit|owealth|savings|target""),""Fixed Deposit"",IF(REGEXMATCH(LOWER(Raw_Data!C1623),""airtime""),""Airtime"",IF(REGEXMATCH(LOWER(Raw_Data!C1623),""electronic money transfer levy""),""Electronic Money"&amp;" Transfer Levy"",IF(REGEXMATCH(LOWER(Raw_Data!C1623),""transfer|trf|send""),""Transfer"",""Other"")))),""Other"")"),"Transfer")</f>
        <v>Transfer</v>
      </c>
      <c r="E1617" s="20">
        <v>600.0</v>
      </c>
      <c r="F1617" s="20">
        <v>0.0</v>
      </c>
      <c r="G1617" s="12" t="str">
        <f t="shared" si="3"/>
        <v>Withdrawal</v>
      </c>
      <c r="H1617" s="12" t="str">
        <f>TEXT(Raw_Data!A1623,"hh:mm:ss")
</f>
        <v>08:15:09</v>
      </c>
      <c r="I1617" s="20">
        <f t="shared" si="4"/>
        <v>600</v>
      </c>
    </row>
    <row r="1618">
      <c r="A1618" s="12" t="str">
        <f>Raw_Data!A1624</f>
        <v>13 Nov 2025 08:19:47</v>
      </c>
      <c r="B1618" s="12" t="str">
        <f t="shared" si="1"/>
        <v>November</v>
      </c>
      <c r="C1618" s="12">
        <f t="shared" si="2"/>
        <v>11</v>
      </c>
      <c r="D1618" s="12" t="str">
        <f>IFERROR(__xludf.DUMMYFUNCTION("IFERROR(IF(REGEXMATCH(LOWER(Raw_Data!C1624),""fixed deposit|owealth|savings|target""),""Fixed Deposit"",IF(REGEXMATCH(LOWER(Raw_Data!C1624),""airtime""),""Airtime"",IF(REGEXMATCH(LOWER(Raw_Data!C1624),""electronic money transfer levy""),""Electronic Money"&amp;" Transfer Levy"",IF(REGEXMATCH(LOWER(Raw_Data!C1624),""transfer|trf|send""),""Transfer"",""Other"")))),""Other"")"),"Transfer")</f>
        <v>Transfer</v>
      </c>
      <c r="E1618" s="20">
        <v>800.0</v>
      </c>
      <c r="F1618" s="20">
        <v>0.0</v>
      </c>
      <c r="G1618" s="12" t="str">
        <f t="shared" si="3"/>
        <v>Withdrawal</v>
      </c>
      <c r="H1618" s="12" t="str">
        <f>TEXT(Raw_Data!A1624,"hh:mm:ss")
</f>
        <v>08:19:47</v>
      </c>
      <c r="I1618" s="20">
        <f t="shared" si="4"/>
        <v>800</v>
      </c>
    </row>
    <row r="1619">
      <c r="A1619" s="12" t="str">
        <f>Raw_Data!A1625</f>
        <v>13 Nov 2025 21:16:18</v>
      </c>
      <c r="B1619" s="12" t="str">
        <f t="shared" si="1"/>
        <v>November</v>
      </c>
      <c r="C1619" s="12">
        <f t="shared" si="2"/>
        <v>11</v>
      </c>
      <c r="D1619" s="12" t="str">
        <f>IFERROR(__xludf.DUMMYFUNCTION("IFERROR(IF(REGEXMATCH(LOWER(Raw_Data!C1625),""fixed deposit|owealth|savings|target""),""Fixed Deposit"",IF(REGEXMATCH(LOWER(Raw_Data!C1625),""airtime""),""Airtime"",IF(REGEXMATCH(LOWER(Raw_Data!C1625),""electronic money transfer levy""),""Electronic Money"&amp;" Transfer Levy"",IF(REGEXMATCH(LOWER(Raw_Data!C1625),""transfer|trf|send""),""Transfer"",""Other"")))),""Other"")"),"Transfer")</f>
        <v>Transfer</v>
      </c>
      <c r="E1619" s="20">
        <v>0.0</v>
      </c>
      <c r="F1619" s="20">
        <v>2000.0</v>
      </c>
      <c r="G1619" s="12" t="str">
        <f t="shared" si="3"/>
        <v>Deposit</v>
      </c>
      <c r="H1619" s="12" t="str">
        <f>TEXT(Raw_Data!A1625,"hh:mm:ss")
</f>
        <v>21:16:18</v>
      </c>
      <c r="I1619" s="20">
        <f t="shared" si="4"/>
        <v>2000</v>
      </c>
    </row>
    <row r="1620">
      <c r="A1620" s="12" t="str">
        <f>Raw_Data!A1626</f>
        <v>14 Nov 2025 10:28:17</v>
      </c>
      <c r="B1620" s="12" t="str">
        <f t="shared" si="1"/>
        <v>November</v>
      </c>
      <c r="C1620" s="12">
        <f t="shared" si="2"/>
        <v>11</v>
      </c>
      <c r="D1620" s="12" t="str">
        <f>IFERROR(__xludf.DUMMYFUNCTION("IFERROR(IF(REGEXMATCH(LOWER(Raw_Data!C1626),""fixed deposit|owealth|savings|target""),""Fixed Deposit"",IF(REGEXMATCH(LOWER(Raw_Data!C1626),""airtime""),""Airtime"",IF(REGEXMATCH(LOWER(Raw_Data!C1626),""electronic money transfer levy""),""Electronic Money"&amp;" Transfer Levy"",IF(REGEXMATCH(LOWER(Raw_Data!C1626),""transfer|trf|send""),""Transfer"",""Other"")))),""Other"")"),"Airtime")</f>
        <v>Airtime</v>
      </c>
      <c r="E1620" s="20">
        <v>100.0</v>
      </c>
      <c r="F1620" s="20">
        <v>0.0</v>
      </c>
      <c r="G1620" s="12" t="str">
        <f t="shared" si="3"/>
        <v>Withdrawal</v>
      </c>
      <c r="H1620" s="12" t="str">
        <f>TEXT(Raw_Data!A1626,"hh:mm:ss")
</f>
        <v>10:28:17</v>
      </c>
      <c r="I1620" s="20">
        <f t="shared" si="4"/>
        <v>100</v>
      </c>
    </row>
    <row r="1621">
      <c r="A1621" s="12" t="str">
        <f>Raw_Data!A1627</f>
        <v>14 Nov 2025 10:56:39</v>
      </c>
      <c r="B1621" s="12" t="str">
        <f t="shared" si="1"/>
        <v>November</v>
      </c>
      <c r="C1621" s="12">
        <f t="shared" si="2"/>
        <v>11</v>
      </c>
      <c r="D1621" s="12" t="str">
        <f>IFERROR(__xludf.DUMMYFUNCTION("IFERROR(IF(REGEXMATCH(LOWER(Raw_Data!C1627),""fixed deposit|owealth|savings|target""),""Fixed Deposit"",IF(REGEXMATCH(LOWER(Raw_Data!C1627),""airtime""),""Airtime"",IF(REGEXMATCH(LOWER(Raw_Data!C1627),""electronic money transfer levy""),""Electronic Money"&amp;" Transfer Levy"",IF(REGEXMATCH(LOWER(Raw_Data!C1627),""transfer|trf|send""),""Transfer"",""Other"")))),""Other"")"),"Transfer")</f>
        <v>Transfer</v>
      </c>
      <c r="E1621" s="20">
        <v>450.0</v>
      </c>
      <c r="F1621" s="20">
        <v>0.0</v>
      </c>
      <c r="G1621" s="12" t="str">
        <f t="shared" si="3"/>
        <v>Withdrawal</v>
      </c>
      <c r="H1621" s="12" t="str">
        <f>TEXT(Raw_Data!A1627,"hh:mm:ss")
</f>
        <v>10:56:39</v>
      </c>
      <c r="I1621" s="20">
        <f t="shared" si="4"/>
        <v>450</v>
      </c>
    </row>
    <row r="1622">
      <c r="A1622" s="12" t="str">
        <f>Raw_Data!A1628</f>
        <v>14 Nov 2025 16:35:29</v>
      </c>
      <c r="B1622" s="12" t="str">
        <f t="shared" si="1"/>
        <v>November</v>
      </c>
      <c r="C1622" s="12">
        <f t="shared" si="2"/>
        <v>11</v>
      </c>
      <c r="D1622" s="12" t="str">
        <f>IFERROR(__xludf.DUMMYFUNCTION("IFERROR(IF(REGEXMATCH(LOWER(Raw_Data!C1628),""fixed deposit|owealth|savings|target""),""Fixed Deposit"",IF(REGEXMATCH(LOWER(Raw_Data!C1628),""airtime""),""Airtime"",IF(REGEXMATCH(LOWER(Raw_Data!C1628),""electronic money transfer levy""),""Electronic Money"&amp;" Transfer Levy"",IF(REGEXMATCH(LOWER(Raw_Data!C1628),""transfer|trf|send""),""Transfer"",""Other"")))),""Other"")"),"Transfer")</f>
        <v>Transfer</v>
      </c>
      <c r="E1622" s="20">
        <v>300.0</v>
      </c>
      <c r="F1622" s="20">
        <v>0.0</v>
      </c>
      <c r="G1622" s="12" t="str">
        <f t="shared" si="3"/>
        <v>Withdrawal</v>
      </c>
      <c r="H1622" s="12" t="str">
        <f>TEXT(Raw_Data!A1628,"hh:mm:ss")
</f>
        <v>16:35:29</v>
      </c>
      <c r="I1622" s="20">
        <f t="shared" si="4"/>
        <v>300</v>
      </c>
    </row>
    <row r="1623">
      <c r="A1623" s="12" t="str">
        <f>Raw_Data!A1629</f>
        <v>14 Nov 2025 17:37:24</v>
      </c>
      <c r="B1623" s="12" t="str">
        <f t="shared" si="1"/>
        <v>November</v>
      </c>
      <c r="C1623" s="12">
        <f t="shared" si="2"/>
        <v>11</v>
      </c>
      <c r="D1623" s="12" t="str">
        <f>IFERROR(__xludf.DUMMYFUNCTION("IFERROR(IF(REGEXMATCH(LOWER(Raw_Data!C1629),""fixed deposit|owealth|savings|target""),""Fixed Deposit"",IF(REGEXMATCH(LOWER(Raw_Data!C1629),""airtime""),""Airtime"",IF(REGEXMATCH(LOWER(Raw_Data!C1629),""electronic money transfer levy""),""Electronic Money"&amp;" Transfer Levy"",IF(REGEXMATCH(LOWER(Raw_Data!C1629),""transfer|trf|send""),""Transfer"",""Other"")))),""Other"")"),"Transfer")</f>
        <v>Transfer</v>
      </c>
      <c r="E1623" s="20">
        <v>0.0</v>
      </c>
      <c r="F1623" s="20">
        <v>800.0</v>
      </c>
      <c r="G1623" s="12" t="str">
        <f t="shared" si="3"/>
        <v>Deposit</v>
      </c>
      <c r="H1623" s="12" t="str">
        <f>TEXT(Raw_Data!A1629,"hh:mm:ss")
</f>
        <v>17:37:24</v>
      </c>
      <c r="I1623" s="20">
        <f t="shared" si="4"/>
        <v>800</v>
      </c>
    </row>
    <row r="1624">
      <c r="A1624" s="12" t="str">
        <f>Raw_Data!A1630</f>
        <v>15 Nov 2025 07:01:07</v>
      </c>
      <c r="B1624" s="12" t="str">
        <f t="shared" si="1"/>
        <v>November</v>
      </c>
      <c r="C1624" s="12">
        <f t="shared" si="2"/>
        <v>11</v>
      </c>
      <c r="D1624" s="12" t="str">
        <f>IFERROR(__xludf.DUMMYFUNCTION("IFERROR(IF(REGEXMATCH(LOWER(Raw_Data!C1630),""fixed deposit|owealth|savings|target""),""Fixed Deposit"",IF(REGEXMATCH(LOWER(Raw_Data!C1630),""airtime""),""Airtime"",IF(REGEXMATCH(LOWER(Raw_Data!C1630),""electronic money transfer levy""),""Electronic Money"&amp;" Transfer Levy"",IF(REGEXMATCH(LOWER(Raw_Data!C1630),""transfer|trf|send""),""Transfer"",""Other"")))),""Other"")"),"Airtime")</f>
        <v>Airtime</v>
      </c>
      <c r="E1624" s="20">
        <v>200.0</v>
      </c>
      <c r="F1624" s="20">
        <v>0.0</v>
      </c>
      <c r="G1624" s="12" t="str">
        <f t="shared" si="3"/>
        <v>Withdrawal</v>
      </c>
      <c r="H1624" s="12" t="str">
        <f>TEXT(Raw_Data!A1630,"hh:mm:ss")
</f>
        <v>07:01:07</v>
      </c>
      <c r="I1624" s="20">
        <f t="shared" si="4"/>
        <v>200</v>
      </c>
    </row>
    <row r="1625">
      <c r="A1625" s="12" t="str">
        <f>Raw_Data!A1631</f>
        <v>15 Nov 2025 07:02:07</v>
      </c>
      <c r="B1625" s="12" t="str">
        <f t="shared" si="1"/>
        <v>November</v>
      </c>
      <c r="C1625" s="12">
        <f t="shared" si="2"/>
        <v>11</v>
      </c>
      <c r="D1625" s="12" t="str">
        <f>IFERROR(__xludf.DUMMYFUNCTION("IFERROR(IF(REGEXMATCH(LOWER(Raw_Data!C1631),""fixed deposit|owealth|savings|target""),""Fixed Deposit"",IF(REGEXMATCH(LOWER(Raw_Data!C1631),""airtime""),""Airtime"",IF(REGEXMATCH(LOWER(Raw_Data!C1631),""electronic money transfer levy""),""Electronic Money"&amp;" Transfer Levy"",IF(REGEXMATCH(LOWER(Raw_Data!C1631),""transfer|trf|send""),""Transfer"",""Other"")))),""Other"")"),"Transfer")</f>
        <v>Transfer</v>
      </c>
      <c r="E1625" s="20">
        <v>1200.0</v>
      </c>
      <c r="F1625" s="20">
        <v>0.0</v>
      </c>
      <c r="G1625" s="12" t="str">
        <f t="shared" si="3"/>
        <v>Withdrawal</v>
      </c>
      <c r="H1625" s="12" t="str">
        <f>TEXT(Raw_Data!A1631,"hh:mm:ss")
</f>
        <v>07:02:07</v>
      </c>
      <c r="I1625" s="20">
        <f t="shared" si="4"/>
        <v>1200</v>
      </c>
    </row>
    <row r="1626">
      <c r="A1626" s="12" t="str">
        <f>Raw_Data!A1632</f>
        <v>15 Nov 2025 15:38:51</v>
      </c>
      <c r="B1626" s="12" t="str">
        <f t="shared" si="1"/>
        <v>November</v>
      </c>
      <c r="C1626" s="12">
        <f t="shared" si="2"/>
        <v>11</v>
      </c>
      <c r="D1626" s="12" t="str">
        <f>IFERROR(__xludf.DUMMYFUNCTION("IFERROR(IF(REGEXMATCH(LOWER(Raw_Data!C1632),""fixed deposit|owealth|savings|target""),""Fixed Deposit"",IF(REGEXMATCH(LOWER(Raw_Data!C1632),""airtime""),""Airtime"",IF(REGEXMATCH(LOWER(Raw_Data!C1632),""electronic money transfer levy""),""Electronic Money"&amp;" Transfer Levy"",IF(REGEXMATCH(LOWER(Raw_Data!C1632),""transfer|trf|send""),""Transfer"",""Other"")))),""Other"")"),"Transfer")</f>
        <v>Transfer</v>
      </c>
      <c r="E1626" s="20">
        <v>1200.0</v>
      </c>
      <c r="F1626" s="20">
        <v>0.0</v>
      </c>
      <c r="G1626" s="12" t="str">
        <f t="shared" si="3"/>
        <v>Withdrawal</v>
      </c>
      <c r="H1626" s="12" t="str">
        <f>TEXT(Raw_Data!A1632,"hh:mm:ss")
</f>
        <v>15:38:51</v>
      </c>
      <c r="I1626" s="20">
        <f t="shared" si="4"/>
        <v>1200</v>
      </c>
    </row>
    <row r="1627">
      <c r="A1627" s="12" t="str">
        <f>Raw_Data!A1633</f>
        <v>15 Nov 2025 17:00:24</v>
      </c>
      <c r="B1627" s="12" t="str">
        <f t="shared" si="1"/>
        <v>November</v>
      </c>
      <c r="C1627" s="12">
        <f t="shared" si="2"/>
        <v>11</v>
      </c>
      <c r="D1627" s="12" t="str">
        <f>IFERROR(__xludf.DUMMYFUNCTION("IFERROR(IF(REGEXMATCH(LOWER(Raw_Data!C1633),""fixed deposit|owealth|savings|target""),""Fixed Deposit"",IF(REGEXMATCH(LOWER(Raw_Data!C1633),""airtime""),""Airtime"",IF(REGEXMATCH(LOWER(Raw_Data!C1633),""electronic money transfer levy""),""Electronic Money"&amp;" Transfer Levy"",IF(REGEXMATCH(LOWER(Raw_Data!C1633),""transfer|trf|send""),""Transfer"",""Other"")))),""Other"")"),"Transfer")</f>
        <v>Transfer</v>
      </c>
      <c r="E1627" s="20">
        <v>300.0</v>
      </c>
      <c r="F1627" s="20">
        <v>0.0</v>
      </c>
      <c r="G1627" s="12" t="str">
        <f t="shared" si="3"/>
        <v>Withdrawal</v>
      </c>
      <c r="H1627" s="12" t="str">
        <f>TEXT(Raw_Data!A1633,"hh:mm:ss")
</f>
        <v>17:00:24</v>
      </c>
      <c r="I1627" s="20">
        <f t="shared" si="4"/>
        <v>300</v>
      </c>
    </row>
    <row r="1628">
      <c r="A1628" s="12" t="str">
        <f>Raw_Data!A1634</f>
        <v>16 Nov 2025 08:12:28</v>
      </c>
      <c r="B1628" s="12" t="str">
        <f t="shared" si="1"/>
        <v>November</v>
      </c>
      <c r="C1628" s="12">
        <f t="shared" si="2"/>
        <v>11</v>
      </c>
      <c r="D1628" s="12" t="str">
        <f>IFERROR(__xludf.DUMMYFUNCTION("IFERROR(IF(REGEXMATCH(LOWER(Raw_Data!C1634),""fixed deposit|owealth|savings|target""),""Fixed Deposit"",IF(REGEXMATCH(LOWER(Raw_Data!C1634),""airtime""),""Airtime"",IF(REGEXMATCH(LOWER(Raw_Data!C1634),""electronic money transfer levy""),""Electronic Money"&amp;" Transfer Levy"",IF(REGEXMATCH(LOWER(Raw_Data!C1634),""transfer|trf|send""),""Transfer"",""Other"")))),""Other"")"),"Transfer")</f>
        <v>Transfer</v>
      </c>
      <c r="E1628" s="20">
        <v>400.0</v>
      </c>
      <c r="F1628" s="20">
        <v>0.0</v>
      </c>
      <c r="G1628" s="12" t="str">
        <f t="shared" si="3"/>
        <v>Withdrawal</v>
      </c>
      <c r="H1628" s="12" t="str">
        <f>TEXT(Raw_Data!A1634,"hh:mm:ss")
</f>
        <v>08:12:28</v>
      </c>
      <c r="I1628" s="20">
        <f t="shared" si="4"/>
        <v>400</v>
      </c>
    </row>
    <row r="1629">
      <c r="A1629" s="12" t="str">
        <f>Raw_Data!A1635</f>
        <v>16 Nov 2025 08:12:40</v>
      </c>
      <c r="B1629" s="12" t="str">
        <f t="shared" si="1"/>
        <v>November</v>
      </c>
      <c r="C1629" s="12">
        <f t="shared" si="2"/>
        <v>11</v>
      </c>
      <c r="D1629" s="12" t="str">
        <f>IFERROR(__xludf.DUMMYFUNCTION("IFERROR(IF(REGEXMATCH(LOWER(Raw_Data!C1635),""fixed deposit|owealth|savings|target""),""Fixed Deposit"",IF(REGEXMATCH(LOWER(Raw_Data!C1635),""airtime""),""Airtime"",IF(REGEXMATCH(LOWER(Raw_Data!C1635),""electronic money transfer levy""),""Electronic Money"&amp;" Transfer Levy"",IF(REGEXMATCH(LOWER(Raw_Data!C1635),""transfer|trf|send""),""Transfer"",""Other"")))),""Other"")"),"Transfer")</f>
        <v>Transfer</v>
      </c>
      <c r="E1629" s="20">
        <v>0.0</v>
      </c>
      <c r="F1629" s="20">
        <v>200.0</v>
      </c>
      <c r="G1629" s="12" t="str">
        <f t="shared" si="3"/>
        <v>Deposit</v>
      </c>
      <c r="H1629" s="12" t="str">
        <f>TEXT(Raw_Data!A1635,"hh:mm:ss")
</f>
        <v>08:12:40</v>
      </c>
      <c r="I1629" s="20">
        <f t="shared" si="4"/>
        <v>200</v>
      </c>
    </row>
    <row r="1630">
      <c r="A1630" s="12" t="str">
        <f>Raw_Data!A1636</f>
        <v>16 Nov 2025 08:27:14</v>
      </c>
      <c r="B1630" s="12" t="str">
        <f t="shared" si="1"/>
        <v>November</v>
      </c>
      <c r="C1630" s="12">
        <f t="shared" si="2"/>
        <v>11</v>
      </c>
      <c r="D1630" s="12" t="str">
        <f>IFERROR(__xludf.DUMMYFUNCTION("IFERROR(IF(REGEXMATCH(LOWER(Raw_Data!C1636),""fixed deposit|owealth|savings|target""),""Fixed Deposit"",IF(REGEXMATCH(LOWER(Raw_Data!C1636),""airtime""),""Airtime"",IF(REGEXMATCH(LOWER(Raw_Data!C1636),""electronic money transfer levy""),""Electronic Money"&amp;" Transfer Levy"",IF(REGEXMATCH(LOWER(Raw_Data!C1636),""transfer|trf|send""),""Transfer"",""Other"")))),""Other"")"),"Transfer")</f>
        <v>Transfer</v>
      </c>
      <c r="E1630" s="20">
        <v>350.0</v>
      </c>
      <c r="F1630" s="20">
        <v>0.0</v>
      </c>
      <c r="G1630" s="12" t="str">
        <f t="shared" si="3"/>
        <v>Withdrawal</v>
      </c>
      <c r="H1630" s="12" t="str">
        <f>TEXT(Raw_Data!A1636,"hh:mm:ss")
</f>
        <v>08:27:14</v>
      </c>
      <c r="I1630" s="20">
        <f t="shared" si="4"/>
        <v>350</v>
      </c>
    </row>
    <row r="1631">
      <c r="A1631" s="12" t="str">
        <f>Raw_Data!A1637</f>
        <v>16 Nov 2025 21:41:53</v>
      </c>
      <c r="B1631" s="12" t="str">
        <f t="shared" si="1"/>
        <v>November</v>
      </c>
      <c r="C1631" s="12">
        <f t="shared" si="2"/>
        <v>11</v>
      </c>
      <c r="D1631" s="12" t="str">
        <f>IFERROR(__xludf.DUMMYFUNCTION("IFERROR(IF(REGEXMATCH(LOWER(Raw_Data!C1637),""fixed deposit|owealth|savings|target""),""Fixed Deposit"",IF(REGEXMATCH(LOWER(Raw_Data!C1637),""airtime""),""Airtime"",IF(REGEXMATCH(LOWER(Raw_Data!C1637),""electronic money transfer levy""),""Electronic Money"&amp;" Transfer Levy"",IF(REGEXMATCH(LOWER(Raw_Data!C1637),""transfer|trf|send""),""Transfer"",""Other"")))),""Other"")"),"Airtime")</f>
        <v>Airtime</v>
      </c>
      <c r="E1631" s="20">
        <v>300.0</v>
      </c>
      <c r="F1631" s="20">
        <v>0.0</v>
      </c>
      <c r="G1631" s="12" t="str">
        <f t="shared" si="3"/>
        <v>Withdrawal</v>
      </c>
      <c r="H1631" s="12" t="str">
        <f>TEXT(Raw_Data!A1637,"hh:mm:ss")
</f>
        <v>21:41:53</v>
      </c>
      <c r="I1631" s="20">
        <f t="shared" si="4"/>
        <v>300</v>
      </c>
    </row>
    <row r="1632">
      <c r="A1632" s="12" t="str">
        <f>Raw_Data!A1638</f>
        <v>16 Nov 2025 23:00:06</v>
      </c>
      <c r="B1632" s="12" t="str">
        <f t="shared" si="1"/>
        <v>November</v>
      </c>
      <c r="C1632" s="12">
        <f t="shared" si="2"/>
        <v>11</v>
      </c>
      <c r="D1632" s="12" t="str">
        <f>IFERROR(__xludf.DUMMYFUNCTION("IFERROR(IF(REGEXMATCH(LOWER(Raw_Data!C1638),""fixed deposit|owealth|savings|target""),""Fixed Deposit"",IF(REGEXMATCH(LOWER(Raw_Data!C1638),""airtime""),""Airtime"",IF(REGEXMATCH(LOWER(Raw_Data!C1638),""electronic money transfer levy""),""Electronic Money"&amp;" Transfer Levy"",IF(REGEXMATCH(LOWER(Raw_Data!C1638),""transfer|trf|send""),""Transfer"",""Other"")))),""Other"")"),"Transfer")</f>
        <v>Transfer</v>
      </c>
      <c r="E1632" s="20">
        <v>1000.0</v>
      </c>
      <c r="F1632" s="20">
        <v>0.0</v>
      </c>
      <c r="G1632" s="12" t="str">
        <f t="shared" si="3"/>
        <v>Withdrawal</v>
      </c>
      <c r="H1632" s="12" t="str">
        <f>TEXT(Raw_Data!A1638,"hh:mm:ss")
</f>
        <v>23:00:06</v>
      </c>
      <c r="I1632" s="20">
        <f t="shared" si="4"/>
        <v>1000</v>
      </c>
    </row>
    <row r="1633">
      <c r="A1633" s="12" t="str">
        <f>Raw_Data!A1639</f>
        <v>17 Nov 2025 09:43:41</v>
      </c>
      <c r="B1633" s="12" t="str">
        <f t="shared" si="1"/>
        <v>November</v>
      </c>
      <c r="C1633" s="12">
        <f t="shared" si="2"/>
        <v>11</v>
      </c>
      <c r="D1633" s="12" t="str">
        <f>IFERROR(__xludf.DUMMYFUNCTION("IFERROR(IF(REGEXMATCH(LOWER(Raw_Data!C1639),""fixed deposit|owealth|savings|target""),""Fixed Deposit"",IF(REGEXMATCH(LOWER(Raw_Data!C1639),""airtime""),""Airtime"",IF(REGEXMATCH(LOWER(Raw_Data!C1639),""electronic money transfer levy""),""Electronic Money"&amp;" Transfer Levy"",IF(REGEXMATCH(LOWER(Raw_Data!C1639),""transfer|trf|send""),""Transfer"",""Other"")))),""Other"")"),"Transfer")</f>
        <v>Transfer</v>
      </c>
      <c r="E1633" s="20">
        <v>0.0</v>
      </c>
      <c r="F1633" s="20">
        <v>5000.0</v>
      </c>
      <c r="G1633" s="12" t="str">
        <f t="shared" si="3"/>
        <v>Deposit</v>
      </c>
      <c r="H1633" s="12" t="str">
        <f>TEXT(Raw_Data!A1639,"hh:mm:ss")
</f>
        <v>09:43:41</v>
      </c>
      <c r="I1633" s="20">
        <f t="shared" si="4"/>
        <v>5000</v>
      </c>
    </row>
    <row r="1634">
      <c r="A1634" s="12" t="str">
        <f>Raw_Data!A1640</f>
        <v>17 Nov 2025 10:02:52</v>
      </c>
      <c r="B1634" s="12" t="str">
        <f t="shared" si="1"/>
        <v>November</v>
      </c>
      <c r="C1634" s="12">
        <f t="shared" si="2"/>
        <v>11</v>
      </c>
      <c r="D1634" s="12" t="str">
        <f>IFERROR(__xludf.DUMMYFUNCTION("IFERROR(IF(REGEXMATCH(LOWER(Raw_Data!C1640),""fixed deposit|owealth|savings|target""),""Fixed Deposit"",IF(REGEXMATCH(LOWER(Raw_Data!C1640),""airtime""),""Airtime"",IF(REGEXMATCH(LOWER(Raw_Data!C1640),""electronic money transfer levy""),""Electronic Money"&amp;" Transfer Levy"",IF(REGEXMATCH(LOWER(Raw_Data!C1640),""transfer|trf|send""),""Transfer"",""Other"")))),""Other"")"),"Transfer")</f>
        <v>Transfer</v>
      </c>
      <c r="E1634" s="20">
        <v>1300.0</v>
      </c>
      <c r="F1634" s="20">
        <v>0.0</v>
      </c>
      <c r="G1634" s="12" t="str">
        <f t="shared" si="3"/>
        <v>Withdrawal</v>
      </c>
      <c r="H1634" s="12" t="str">
        <f>TEXT(Raw_Data!A1640,"hh:mm:ss")
</f>
        <v>10:02:52</v>
      </c>
      <c r="I1634" s="20">
        <f t="shared" si="4"/>
        <v>1300</v>
      </c>
    </row>
    <row r="1635">
      <c r="A1635" s="12" t="str">
        <f>Raw_Data!A1641</f>
        <v>17 Nov 2025 10:31:39</v>
      </c>
      <c r="B1635" s="12" t="str">
        <f t="shared" si="1"/>
        <v>November</v>
      </c>
      <c r="C1635" s="12">
        <f t="shared" si="2"/>
        <v>11</v>
      </c>
      <c r="D1635" s="12" t="str">
        <f>IFERROR(__xludf.DUMMYFUNCTION("IFERROR(IF(REGEXMATCH(LOWER(Raw_Data!C1641),""fixed deposit|owealth|savings|target""),""Fixed Deposit"",IF(REGEXMATCH(LOWER(Raw_Data!C1641),""airtime""),""Airtime"",IF(REGEXMATCH(LOWER(Raw_Data!C1641),""electronic money transfer levy""),""Electronic Money"&amp;" Transfer Levy"",IF(REGEXMATCH(LOWER(Raw_Data!C1641),""transfer|trf|send""),""Transfer"",""Other"")))),""Other"")"),"Transfer")</f>
        <v>Transfer</v>
      </c>
      <c r="E1635" s="20">
        <v>0.0</v>
      </c>
      <c r="F1635" s="20">
        <v>5000.0</v>
      </c>
      <c r="G1635" s="12" t="str">
        <f t="shared" si="3"/>
        <v>Deposit</v>
      </c>
      <c r="H1635" s="12" t="str">
        <f>TEXT(Raw_Data!A1641,"hh:mm:ss")
</f>
        <v>10:31:39</v>
      </c>
      <c r="I1635" s="20">
        <f t="shared" si="4"/>
        <v>5000</v>
      </c>
    </row>
    <row r="1636">
      <c r="A1636" s="12" t="str">
        <f>Raw_Data!A1642</f>
        <v>17 Nov 2025 10:37:50</v>
      </c>
      <c r="B1636" s="12" t="str">
        <f t="shared" si="1"/>
        <v>November</v>
      </c>
      <c r="C1636" s="12">
        <f t="shared" si="2"/>
        <v>11</v>
      </c>
      <c r="D1636" s="12" t="str">
        <f>IFERROR(__xludf.DUMMYFUNCTION("IFERROR(IF(REGEXMATCH(LOWER(Raw_Data!C1642),""fixed deposit|owealth|savings|target""),""Fixed Deposit"",IF(REGEXMATCH(LOWER(Raw_Data!C1642),""airtime""),""Airtime"",IF(REGEXMATCH(LOWER(Raw_Data!C1642),""electronic money transfer levy""),""Electronic Money"&amp;" Transfer Levy"",IF(REGEXMATCH(LOWER(Raw_Data!C1642),""transfer|trf|send""),""Transfer"",""Other"")))),""Other"")"),"Transfer")</f>
        <v>Transfer</v>
      </c>
      <c r="E1636" s="20">
        <v>5000.0</v>
      </c>
      <c r="F1636" s="20">
        <v>0.0</v>
      </c>
      <c r="G1636" s="12" t="str">
        <f t="shared" si="3"/>
        <v>Withdrawal</v>
      </c>
      <c r="H1636" s="12" t="str">
        <f>TEXT(Raw_Data!A1642,"hh:mm:ss")
</f>
        <v>10:37:50</v>
      </c>
      <c r="I1636" s="20">
        <f t="shared" si="4"/>
        <v>5000</v>
      </c>
    </row>
    <row r="1637">
      <c r="A1637" s="12" t="str">
        <f>Raw_Data!A1643</f>
        <v>17 Nov 2025 16:45:45</v>
      </c>
      <c r="B1637" s="12" t="str">
        <f t="shared" si="1"/>
        <v>November</v>
      </c>
      <c r="C1637" s="12">
        <f t="shared" si="2"/>
        <v>11</v>
      </c>
      <c r="D1637" s="12" t="str">
        <f>IFERROR(__xludf.DUMMYFUNCTION("IFERROR(IF(REGEXMATCH(LOWER(Raw_Data!C1643),""fixed deposit|owealth|savings|target""),""Fixed Deposit"",IF(REGEXMATCH(LOWER(Raw_Data!C1643),""airtime""),""Airtime"",IF(REGEXMATCH(LOWER(Raw_Data!C1643),""electronic money transfer levy""),""Electronic Money"&amp;" Transfer Levy"",IF(REGEXMATCH(LOWER(Raw_Data!C1643),""transfer|trf|send""),""Transfer"",""Other"")))),""Other"")"),"Transfer")</f>
        <v>Transfer</v>
      </c>
      <c r="E1637" s="20">
        <v>550.0</v>
      </c>
      <c r="F1637" s="20">
        <v>0.0</v>
      </c>
      <c r="G1637" s="12" t="str">
        <f t="shared" si="3"/>
        <v>Withdrawal</v>
      </c>
      <c r="H1637" s="12" t="str">
        <f>TEXT(Raw_Data!A1643,"hh:mm:ss")
</f>
        <v>16:45:45</v>
      </c>
      <c r="I1637" s="20">
        <f t="shared" si="4"/>
        <v>550</v>
      </c>
    </row>
    <row r="1638">
      <c r="A1638" s="12" t="str">
        <f>Raw_Data!A1644</f>
        <v>17 Nov 2025 21:30:35</v>
      </c>
      <c r="B1638" s="12" t="str">
        <f t="shared" si="1"/>
        <v>November</v>
      </c>
      <c r="C1638" s="12">
        <f t="shared" si="2"/>
        <v>11</v>
      </c>
      <c r="D1638" s="12" t="str">
        <f>IFERROR(__xludf.DUMMYFUNCTION("IFERROR(IF(REGEXMATCH(LOWER(Raw_Data!C1644),""fixed deposit|owealth|savings|target""),""Fixed Deposit"",IF(REGEXMATCH(LOWER(Raw_Data!C1644),""airtime""),""Airtime"",IF(REGEXMATCH(LOWER(Raw_Data!C1644),""electronic money transfer levy""),""Electronic Money"&amp;" Transfer Levy"",IF(REGEXMATCH(LOWER(Raw_Data!C1644),""transfer|trf|send""),""Transfer"",""Other"")))),""Other"")"),"Transfer")</f>
        <v>Transfer</v>
      </c>
      <c r="E1638" s="20">
        <v>400.0</v>
      </c>
      <c r="F1638" s="20">
        <v>0.0</v>
      </c>
      <c r="G1638" s="12" t="str">
        <f t="shared" si="3"/>
        <v>Withdrawal</v>
      </c>
      <c r="H1638" s="12" t="str">
        <f>TEXT(Raw_Data!A1644,"hh:mm:ss")
</f>
        <v>21:30:35</v>
      </c>
      <c r="I1638" s="20">
        <f t="shared" si="4"/>
        <v>400</v>
      </c>
    </row>
    <row r="1639">
      <c r="A1639" s="12" t="str">
        <f>Raw_Data!A1645</f>
        <v>18 Nov 2025 06:54:24</v>
      </c>
      <c r="B1639" s="12" t="str">
        <f t="shared" si="1"/>
        <v>November</v>
      </c>
      <c r="C1639" s="12">
        <f t="shared" si="2"/>
        <v>11</v>
      </c>
      <c r="D1639" s="12" t="str">
        <f>IFERROR(__xludf.DUMMYFUNCTION("IFERROR(IF(REGEXMATCH(LOWER(Raw_Data!C1645),""fixed deposit|owealth|savings|target""),""Fixed Deposit"",IF(REGEXMATCH(LOWER(Raw_Data!C1645),""airtime""),""Airtime"",IF(REGEXMATCH(LOWER(Raw_Data!C1645),""electronic money transfer levy""),""Electronic Money"&amp;" Transfer Levy"",IF(REGEXMATCH(LOWER(Raw_Data!C1645),""transfer|trf|send""),""Transfer"",""Other"")))),""Other"")"),"Transfer")</f>
        <v>Transfer</v>
      </c>
      <c r="E1639" s="20">
        <v>200.0</v>
      </c>
      <c r="F1639" s="20">
        <v>0.0</v>
      </c>
      <c r="G1639" s="12" t="str">
        <f t="shared" si="3"/>
        <v>Withdrawal</v>
      </c>
      <c r="H1639" s="12" t="str">
        <f>TEXT(Raw_Data!A1645,"hh:mm:ss")
</f>
        <v>06:54:24</v>
      </c>
      <c r="I1639" s="20">
        <f t="shared" si="4"/>
        <v>200</v>
      </c>
    </row>
    <row r="1640">
      <c r="A1640" s="12" t="str">
        <f>Raw_Data!A1646</f>
        <v>18 Nov 2025 10:10:02</v>
      </c>
      <c r="B1640" s="12" t="str">
        <f t="shared" si="1"/>
        <v>November</v>
      </c>
      <c r="C1640" s="12">
        <f t="shared" si="2"/>
        <v>11</v>
      </c>
      <c r="D1640" s="12" t="str">
        <f>IFERROR(__xludf.DUMMYFUNCTION("IFERROR(IF(REGEXMATCH(LOWER(Raw_Data!C1646),""fixed deposit|owealth|savings|target""),""Fixed Deposit"",IF(REGEXMATCH(LOWER(Raw_Data!C1646),""airtime""),""Airtime"",IF(REGEXMATCH(LOWER(Raw_Data!C1646),""electronic money transfer levy""),""Electronic Money"&amp;" Transfer Levy"",IF(REGEXMATCH(LOWER(Raw_Data!C1646),""transfer|trf|send""),""Transfer"",""Other"")))),""Other"")"),"Transfer")</f>
        <v>Transfer</v>
      </c>
      <c r="E1640" s="20">
        <v>1600.0</v>
      </c>
      <c r="F1640" s="20">
        <v>0.0</v>
      </c>
      <c r="G1640" s="12" t="str">
        <f t="shared" si="3"/>
        <v>Withdrawal</v>
      </c>
      <c r="H1640" s="12" t="str">
        <f>TEXT(Raw_Data!A1646,"hh:mm:ss")
</f>
        <v>10:10:02</v>
      </c>
      <c r="I1640" s="20">
        <f t="shared" si="4"/>
        <v>1600</v>
      </c>
    </row>
    <row r="1641">
      <c r="A1641" s="12" t="str">
        <f>Raw_Data!A1647</f>
        <v>18 Nov 2025 10:15:01</v>
      </c>
      <c r="B1641" s="12" t="str">
        <f t="shared" si="1"/>
        <v>November</v>
      </c>
      <c r="C1641" s="12">
        <f t="shared" si="2"/>
        <v>11</v>
      </c>
      <c r="D1641" s="12" t="str">
        <f>IFERROR(__xludf.DUMMYFUNCTION("IFERROR(IF(REGEXMATCH(LOWER(Raw_Data!C1647),""fixed deposit|owealth|savings|target""),""Fixed Deposit"",IF(REGEXMATCH(LOWER(Raw_Data!C1647),""airtime""),""Airtime"",IF(REGEXMATCH(LOWER(Raw_Data!C1647),""electronic money transfer levy""),""Electronic Money"&amp;" Transfer Levy"",IF(REGEXMATCH(LOWER(Raw_Data!C1647),""transfer|trf|send""),""Transfer"",""Other"")))),""Other"")"),"Transfer")</f>
        <v>Transfer</v>
      </c>
      <c r="E1641" s="20">
        <v>400.0</v>
      </c>
      <c r="F1641" s="20">
        <v>0.0</v>
      </c>
      <c r="G1641" s="12" t="str">
        <f t="shared" si="3"/>
        <v>Withdrawal</v>
      </c>
      <c r="H1641" s="12" t="str">
        <f>TEXT(Raw_Data!A1647,"hh:mm:ss")
</f>
        <v>10:15:01</v>
      </c>
      <c r="I1641" s="20">
        <f t="shared" si="4"/>
        <v>400</v>
      </c>
    </row>
    <row r="1642">
      <c r="A1642" s="12" t="str">
        <f>Raw_Data!A1648</f>
        <v>18 Nov 2025 14:44:54</v>
      </c>
      <c r="B1642" s="12" t="str">
        <f t="shared" si="1"/>
        <v>November</v>
      </c>
      <c r="C1642" s="12">
        <f t="shared" si="2"/>
        <v>11</v>
      </c>
      <c r="D1642" s="12" t="str">
        <f>IFERROR(__xludf.DUMMYFUNCTION("IFERROR(IF(REGEXMATCH(LOWER(Raw_Data!C1648),""fixed deposit|owealth|savings|target""),""Fixed Deposit"",IF(REGEXMATCH(LOWER(Raw_Data!C1648),""airtime""),""Airtime"",IF(REGEXMATCH(LOWER(Raw_Data!C1648),""electronic money transfer levy""),""Electronic Money"&amp;" Transfer Levy"",IF(REGEXMATCH(LOWER(Raw_Data!C1648),""transfer|trf|send""),""Transfer"",""Other"")))),""Other"")"),"Transfer")</f>
        <v>Transfer</v>
      </c>
      <c r="E1642" s="20">
        <v>0.0</v>
      </c>
      <c r="F1642" s="20">
        <v>3000.0</v>
      </c>
      <c r="G1642" s="12" t="str">
        <f t="shared" si="3"/>
        <v>Deposit</v>
      </c>
      <c r="H1642" s="12" t="str">
        <f>TEXT(Raw_Data!A1648,"hh:mm:ss")
</f>
        <v>14:44:54</v>
      </c>
      <c r="I1642" s="20">
        <f t="shared" si="4"/>
        <v>3000</v>
      </c>
    </row>
    <row r="1643">
      <c r="A1643" s="12" t="str">
        <f>Raw_Data!A1649</f>
        <v>18 Nov 2025 14:45:55</v>
      </c>
      <c r="B1643" s="12" t="str">
        <f t="shared" si="1"/>
        <v>November</v>
      </c>
      <c r="C1643" s="12">
        <f t="shared" si="2"/>
        <v>11</v>
      </c>
      <c r="D1643" s="12" t="str">
        <f>IFERROR(__xludf.DUMMYFUNCTION("IFERROR(IF(REGEXMATCH(LOWER(Raw_Data!C1649),""fixed deposit|owealth|savings|target""),""Fixed Deposit"",IF(REGEXMATCH(LOWER(Raw_Data!C1649),""airtime""),""Airtime"",IF(REGEXMATCH(LOWER(Raw_Data!C1649),""electronic money transfer levy""),""Electronic Money"&amp;" Transfer Levy"",IF(REGEXMATCH(LOWER(Raw_Data!C1649),""transfer|trf|send""),""Transfer"",""Other"")))),""Other"")"),"Transfer")</f>
        <v>Transfer</v>
      </c>
      <c r="E1643" s="20">
        <v>2000.0</v>
      </c>
      <c r="F1643" s="20">
        <v>0.0</v>
      </c>
      <c r="G1643" s="12" t="str">
        <f t="shared" si="3"/>
        <v>Withdrawal</v>
      </c>
      <c r="H1643" s="12" t="str">
        <f>TEXT(Raw_Data!A1649,"hh:mm:ss")
</f>
        <v>14:45:55</v>
      </c>
      <c r="I1643" s="20">
        <f t="shared" si="4"/>
        <v>2000</v>
      </c>
    </row>
    <row r="1644">
      <c r="A1644" s="12" t="str">
        <f>Raw_Data!A1650</f>
        <v>18 Nov 2025 19:38:10</v>
      </c>
      <c r="B1644" s="12" t="str">
        <f t="shared" si="1"/>
        <v>November</v>
      </c>
      <c r="C1644" s="12">
        <f t="shared" si="2"/>
        <v>11</v>
      </c>
      <c r="D1644" s="12" t="str">
        <f>IFERROR(__xludf.DUMMYFUNCTION("IFERROR(IF(REGEXMATCH(LOWER(Raw_Data!C1650),""fixed deposit|owealth|savings|target""),""Fixed Deposit"",IF(REGEXMATCH(LOWER(Raw_Data!C1650),""airtime""),""Airtime"",IF(REGEXMATCH(LOWER(Raw_Data!C1650),""electronic money transfer levy""),""Electronic Money"&amp;" Transfer Levy"",IF(REGEXMATCH(LOWER(Raw_Data!C1650),""transfer|trf|send""),""Transfer"",""Other"")))),""Other"")"),"Transfer")</f>
        <v>Transfer</v>
      </c>
      <c r="E1644" s="20">
        <v>500.0</v>
      </c>
      <c r="F1644" s="20">
        <v>0.0</v>
      </c>
      <c r="G1644" s="12" t="str">
        <f t="shared" si="3"/>
        <v>Withdrawal</v>
      </c>
      <c r="H1644" s="12" t="str">
        <f>TEXT(Raw_Data!A1650,"hh:mm:ss")
</f>
        <v>19:38:10</v>
      </c>
      <c r="I1644" s="20">
        <f t="shared" si="4"/>
        <v>500</v>
      </c>
    </row>
    <row r="1645">
      <c r="A1645" s="12" t="str">
        <f>Raw_Data!A1651</f>
        <v>19 Nov 2025 08:42:15</v>
      </c>
      <c r="B1645" s="12" t="str">
        <f t="shared" si="1"/>
        <v>November</v>
      </c>
      <c r="C1645" s="12">
        <f t="shared" si="2"/>
        <v>11</v>
      </c>
      <c r="D1645" s="12" t="str">
        <f>IFERROR(__xludf.DUMMYFUNCTION("IFERROR(IF(REGEXMATCH(LOWER(Raw_Data!C1651),""fixed deposit|owealth|savings|target""),""Fixed Deposit"",IF(REGEXMATCH(LOWER(Raw_Data!C1651),""airtime""),""Airtime"",IF(REGEXMATCH(LOWER(Raw_Data!C1651),""electronic money transfer levy""),""Electronic Money"&amp;" Transfer Levy"",IF(REGEXMATCH(LOWER(Raw_Data!C1651),""transfer|trf|send""),""Transfer"",""Other"")))),""Other"")"),"Other")</f>
        <v>Other</v>
      </c>
      <c r="E1645" s="20">
        <v>2496.0</v>
      </c>
      <c r="F1645" s="20">
        <v>0.0</v>
      </c>
      <c r="G1645" s="12" t="str">
        <f t="shared" si="3"/>
        <v>Withdrawal</v>
      </c>
      <c r="H1645" s="12" t="str">
        <f>TEXT(Raw_Data!A1651,"hh:mm:ss")
</f>
        <v>08:42:15</v>
      </c>
      <c r="I1645" s="20">
        <f t="shared" si="4"/>
        <v>2496</v>
      </c>
    </row>
    <row r="1646">
      <c r="A1646" s="12" t="str">
        <f>Raw_Data!A1652</f>
        <v>19 Nov 2025 08:43:12</v>
      </c>
      <c r="B1646" s="12" t="str">
        <f t="shared" si="1"/>
        <v>November</v>
      </c>
      <c r="C1646" s="12">
        <f t="shared" si="2"/>
        <v>11</v>
      </c>
      <c r="D1646" s="12" t="str">
        <f>IFERROR(__xludf.DUMMYFUNCTION("IFERROR(IF(REGEXMATCH(LOWER(Raw_Data!C1652),""fixed deposit|owealth|savings|target""),""Fixed Deposit"",IF(REGEXMATCH(LOWER(Raw_Data!C1652),""airtime""),""Airtime"",IF(REGEXMATCH(LOWER(Raw_Data!C1652),""electronic money transfer levy""),""Electronic Money"&amp;" Transfer Levy"",IF(REGEXMATCH(LOWER(Raw_Data!C1652),""transfer|trf|send""),""Transfer"",""Other"")))),""Other"")"),"Fixed Deposit")</f>
        <v>Fixed Deposit</v>
      </c>
      <c r="E1646" s="20">
        <v>0.0</v>
      </c>
      <c r="F1646" s="20">
        <v>3000.0</v>
      </c>
      <c r="G1646" s="12" t="str">
        <f t="shared" si="3"/>
        <v>Deposit</v>
      </c>
      <c r="H1646" s="12" t="str">
        <f>TEXT(Raw_Data!A1652,"hh:mm:ss")
</f>
        <v>08:43:12</v>
      </c>
      <c r="I1646" s="20">
        <f t="shared" si="4"/>
        <v>3000</v>
      </c>
    </row>
    <row r="1647">
      <c r="A1647" s="12" t="str">
        <f>Raw_Data!A1653</f>
        <v>19 Nov 2025 09:56:21</v>
      </c>
      <c r="B1647" s="12" t="str">
        <f t="shared" si="1"/>
        <v>November</v>
      </c>
      <c r="C1647" s="12">
        <f t="shared" si="2"/>
        <v>11</v>
      </c>
      <c r="D1647" s="12" t="str">
        <f>IFERROR(__xludf.DUMMYFUNCTION("IFERROR(IF(REGEXMATCH(LOWER(Raw_Data!C1653),""fixed deposit|owealth|savings|target""),""Fixed Deposit"",IF(REGEXMATCH(LOWER(Raw_Data!C1653),""airtime""),""Airtime"",IF(REGEXMATCH(LOWER(Raw_Data!C1653),""electronic money transfer levy""),""Electronic Money"&amp;" Transfer Levy"",IF(REGEXMATCH(LOWER(Raw_Data!C1653),""transfer|trf|send""),""Transfer"",""Other"")))),""Other"")"),"Transfer")</f>
        <v>Transfer</v>
      </c>
      <c r="E1647" s="20">
        <v>400.0</v>
      </c>
      <c r="F1647" s="20">
        <v>0.0</v>
      </c>
      <c r="G1647" s="12" t="str">
        <f t="shared" si="3"/>
        <v>Withdrawal</v>
      </c>
      <c r="H1647" s="12" t="str">
        <f>TEXT(Raw_Data!A1653,"hh:mm:ss")
</f>
        <v>09:56:21</v>
      </c>
      <c r="I1647" s="20">
        <f t="shared" si="4"/>
        <v>400</v>
      </c>
    </row>
    <row r="1648">
      <c r="A1648" s="12" t="str">
        <f>Raw_Data!A1654</f>
        <v>19 Nov 2025 11:23:31</v>
      </c>
      <c r="B1648" s="12" t="str">
        <f t="shared" si="1"/>
        <v>November</v>
      </c>
      <c r="C1648" s="12">
        <f t="shared" si="2"/>
        <v>11</v>
      </c>
      <c r="D1648" s="12" t="str">
        <f>IFERROR(__xludf.DUMMYFUNCTION("IFERROR(IF(REGEXMATCH(LOWER(Raw_Data!C1654),""fixed deposit|owealth|savings|target""),""Fixed Deposit"",IF(REGEXMATCH(LOWER(Raw_Data!C1654),""airtime""),""Airtime"",IF(REGEXMATCH(LOWER(Raw_Data!C1654),""electronic money transfer levy""),""Electronic Money"&amp;" Transfer Levy"",IF(REGEXMATCH(LOWER(Raw_Data!C1654),""transfer|trf|send""),""Transfer"",""Other"")))),""Other"")"),"Transfer")</f>
        <v>Transfer</v>
      </c>
      <c r="E1648" s="20">
        <v>600.0</v>
      </c>
      <c r="F1648" s="20">
        <v>0.0</v>
      </c>
      <c r="G1648" s="12" t="str">
        <f t="shared" si="3"/>
        <v>Withdrawal</v>
      </c>
      <c r="H1648" s="12" t="str">
        <f>TEXT(Raw_Data!A1654,"hh:mm:ss")
</f>
        <v>11:23:31</v>
      </c>
      <c r="I1648" s="20">
        <f t="shared" si="4"/>
        <v>600</v>
      </c>
    </row>
    <row r="1649">
      <c r="A1649" s="12" t="str">
        <f>Raw_Data!A1655</f>
        <v>19 Nov 2025 14:50:34</v>
      </c>
      <c r="B1649" s="12" t="str">
        <f t="shared" si="1"/>
        <v>November</v>
      </c>
      <c r="C1649" s="12">
        <f t="shared" si="2"/>
        <v>11</v>
      </c>
      <c r="D1649" s="12" t="str">
        <f>IFERROR(__xludf.DUMMYFUNCTION("IFERROR(IF(REGEXMATCH(LOWER(Raw_Data!C1655),""fixed deposit|owealth|savings|target""),""Fixed Deposit"",IF(REGEXMATCH(LOWER(Raw_Data!C1655),""airtime""),""Airtime"",IF(REGEXMATCH(LOWER(Raw_Data!C1655),""electronic money transfer levy""),""Electronic Money"&amp;" Transfer Levy"",IF(REGEXMATCH(LOWER(Raw_Data!C1655),""transfer|trf|send""),""Transfer"",""Other"")))),""Other"")"),"Transfer")</f>
        <v>Transfer</v>
      </c>
      <c r="E1649" s="20">
        <v>3000.0</v>
      </c>
      <c r="F1649" s="20">
        <v>0.0</v>
      </c>
      <c r="G1649" s="12" t="str">
        <f t="shared" si="3"/>
        <v>Withdrawal</v>
      </c>
      <c r="H1649" s="12" t="str">
        <f>TEXT(Raw_Data!A1655,"hh:mm:ss")
</f>
        <v>14:50:34</v>
      </c>
      <c r="I1649" s="20">
        <f t="shared" si="4"/>
        <v>3000</v>
      </c>
    </row>
    <row r="1650">
      <c r="A1650" s="12" t="str">
        <f>Raw_Data!A1656</f>
        <v>19 Nov 2025 14:50:38</v>
      </c>
      <c r="B1650" s="12" t="str">
        <f t="shared" si="1"/>
        <v>November</v>
      </c>
      <c r="C1650" s="12">
        <f t="shared" si="2"/>
        <v>11</v>
      </c>
      <c r="D1650" s="12" t="str">
        <f>IFERROR(__xludf.DUMMYFUNCTION("IFERROR(IF(REGEXMATCH(LOWER(Raw_Data!C1656),""fixed deposit|owealth|savings|target""),""Fixed Deposit"",IF(REGEXMATCH(LOWER(Raw_Data!C1656),""airtime""),""Airtime"",IF(REGEXMATCH(LOWER(Raw_Data!C1656),""electronic money transfer levy""),""Electronic Money"&amp;" Transfer Levy"",IF(REGEXMATCH(LOWER(Raw_Data!C1656),""transfer|trf|send""),""Transfer"",""Other"")))),""Other"")"),"Fixed Deposit")</f>
        <v>Fixed Deposit</v>
      </c>
      <c r="E1650" s="20">
        <v>0.0</v>
      </c>
      <c r="F1650" s="20">
        <v>890.76</v>
      </c>
      <c r="G1650" s="12" t="str">
        <f t="shared" si="3"/>
        <v>Deposit</v>
      </c>
      <c r="H1650" s="12" t="str">
        <f>TEXT(Raw_Data!A1656,"hh:mm:ss")
</f>
        <v>14:50:38</v>
      </c>
      <c r="I1650" s="20">
        <f t="shared" si="4"/>
        <v>890.76</v>
      </c>
    </row>
    <row r="1651">
      <c r="A1651" s="12" t="str">
        <f>Raw_Data!A1657</f>
        <v>19 Nov 2025 16:09:56</v>
      </c>
      <c r="B1651" s="12" t="str">
        <f t="shared" si="1"/>
        <v>November</v>
      </c>
      <c r="C1651" s="12">
        <f t="shared" si="2"/>
        <v>11</v>
      </c>
      <c r="D1651" s="12" t="str">
        <f>IFERROR(__xludf.DUMMYFUNCTION("IFERROR(IF(REGEXMATCH(LOWER(Raw_Data!C1657),""fixed deposit|owealth|savings|target""),""Fixed Deposit"",IF(REGEXMATCH(LOWER(Raw_Data!C1657),""airtime""),""Airtime"",IF(REGEXMATCH(LOWER(Raw_Data!C1657),""electronic money transfer levy""),""Electronic Money"&amp;" Transfer Levy"",IF(REGEXMATCH(LOWER(Raw_Data!C1657),""transfer|trf|send""),""Transfer"",""Other"")))),""Other"")"),"Transfer")</f>
        <v>Transfer</v>
      </c>
      <c r="E1651" s="20">
        <v>200.0</v>
      </c>
      <c r="F1651" s="20">
        <v>0.0</v>
      </c>
      <c r="G1651" s="12" t="str">
        <f t="shared" si="3"/>
        <v>Withdrawal</v>
      </c>
      <c r="H1651" s="12" t="str">
        <f>TEXT(Raw_Data!A1657,"hh:mm:ss")
</f>
        <v>16:09:56</v>
      </c>
      <c r="I1651" s="20">
        <f t="shared" si="4"/>
        <v>200</v>
      </c>
    </row>
    <row r="1652">
      <c r="A1652" s="12" t="str">
        <f>Raw_Data!A1658</f>
        <v>19 Nov 2025 16:10:00</v>
      </c>
      <c r="B1652" s="12" t="str">
        <f t="shared" si="1"/>
        <v>November</v>
      </c>
      <c r="C1652" s="12">
        <f t="shared" si="2"/>
        <v>11</v>
      </c>
      <c r="D1652" s="12" t="str">
        <f>IFERROR(__xludf.DUMMYFUNCTION("IFERROR(IF(REGEXMATCH(LOWER(Raw_Data!C1658),""fixed deposit|owealth|savings|target""),""Fixed Deposit"",IF(REGEXMATCH(LOWER(Raw_Data!C1658),""airtime""),""Airtime"",IF(REGEXMATCH(LOWER(Raw_Data!C1658),""electronic money transfer levy""),""Electronic Money"&amp;" Transfer Levy"",IF(REGEXMATCH(LOWER(Raw_Data!C1658),""transfer|trf|send""),""Transfer"",""Other"")))),""Other"")"),"Fixed Deposit")</f>
        <v>Fixed Deposit</v>
      </c>
      <c r="E1652" s="20">
        <v>0.0</v>
      </c>
      <c r="F1652" s="20">
        <v>200.0</v>
      </c>
      <c r="G1652" s="12" t="str">
        <f t="shared" si="3"/>
        <v>Deposit</v>
      </c>
      <c r="H1652" s="12" t="str">
        <f>TEXT(Raw_Data!A1658,"hh:mm:ss")
</f>
        <v>16:10:00</v>
      </c>
      <c r="I1652" s="20">
        <f t="shared" si="4"/>
        <v>200</v>
      </c>
    </row>
    <row r="1653">
      <c r="A1653" s="12" t="str">
        <f>Raw_Data!A1659</f>
        <v>19 Nov 2025 16:21:58</v>
      </c>
      <c r="B1653" s="12" t="str">
        <f t="shared" si="1"/>
        <v>November</v>
      </c>
      <c r="C1653" s="12">
        <f t="shared" si="2"/>
        <v>11</v>
      </c>
      <c r="D1653" s="12" t="str">
        <f>IFERROR(__xludf.DUMMYFUNCTION("IFERROR(IF(REGEXMATCH(LOWER(Raw_Data!C1659),""fixed deposit|owealth|savings|target""),""Fixed Deposit"",IF(REGEXMATCH(LOWER(Raw_Data!C1659),""airtime""),""Airtime"",IF(REGEXMATCH(LOWER(Raw_Data!C1659),""electronic money transfer levy""),""Electronic Money"&amp;" Transfer Levy"",IF(REGEXMATCH(LOWER(Raw_Data!C1659),""transfer|trf|send""),""Transfer"",""Other"")))),""Other"")"),"Transfer")</f>
        <v>Transfer</v>
      </c>
      <c r="E1653" s="20">
        <v>2400.0</v>
      </c>
      <c r="F1653" s="20">
        <v>0.0</v>
      </c>
      <c r="G1653" s="12" t="str">
        <f t="shared" si="3"/>
        <v>Withdrawal</v>
      </c>
      <c r="H1653" s="12" t="str">
        <f>TEXT(Raw_Data!A1659,"hh:mm:ss")
</f>
        <v>16:21:58</v>
      </c>
      <c r="I1653" s="20">
        <f t="shared" si="4"/>
        <v>2400</v>
      </c>
    </row>
    <row r="1654">
      <c r="A1654" s="12" t="str">
        <f>Raw_Data!A1660</f>
        <v>19 Nov 2025 16:22:03</v>
      </c>
      <c r="B1654" s="12" t="str">
        <f t="shared" si="1"/>
        <v>November</v>
      </c>
      <c r="C1654" s="12">
        <f t="shared" si="2"/>
        <v>11</v>
      </c>
      <c r="D1654" s="12" t="str">
        <f>IFERROR(__xludf.DUMMYFUNCTION("IFERROR(IF(REGEXMATCH(LOWER(Raw_Data!C1660),""fixed deposit|owealth|savings|target""),""Fixed Deposit"",IF(REGEXMATCH(LOWER(Raw_Data!C1660),""airtime""),""Airtime"",IF(REGEXMATCH(LOWER(Raw_Data!C1660),""electronic money transfer levy""),""Electronic Money"&amp;" Transfer Levy"",IF(REGEXMATCH(LOWER(Raw_Data!C1660),""transfer|trf|send""),""Transfer"",""Other"")))),""Other"")"),"Fixed Deposit")</f>
        <v>Fixed Deposit</v>
      </c>
      <c r="E1654" s="20">
        <v>0.0</v>
      </c>
      <c r="F1654" s="20">
        <v>2400.0</v>
      </c>
      <c r="G1654" s="12" t="str">
        <f t="shared" si="3"/>
        <v>Deposit</v>
      </c>
      <c r="H1654" s="12" t="str">
        <f>TEXT(Raw_Data!A1660,"hh:mm:ss")
</f>
        <v>16:22:03</v>
      </c>
      <c r="I1654" s="20">
        <f t="shared" si="4"/>
        <v>2400</v>
      </c>
    </row>
    <row r="1655">
      <c r="A1655" s="12" t="str">
        <f>Raw_Data!A1661</f>
        <v>19 Nov 2025 16:23:02</v>
      </c>
      <c r="B1655" s="12" t="str">
        <f t="shared" si="1"/>
        <v>November</v>
      </c>
      <c r="C1655" s="12">
        <f t="shared" si="2"/>
        <v>11</v>
      </c>
      <c r="D1655" s="12" t="str">
        <f>IFERROR(__xludf.DUMMYFUNCTION("IFERROR(IF(REGEXMATCH(LOWER(Raw_Data!C1661),""fixed deposit|owealth|savings|target""),""Fixed Deposit"",IF(REGEXMATCH(LOWER(Raw_Data!C1661),""airtime""),""Airtime"",IF(REGEXMATCH(LOWER(Raw_Data!C1661),""electronic money transfer levy""),""Electronic Money"&amp;" Transfer Levy"",IF(REGEXMATCH(LOWER(Raw_Data!C1661),""transfer|trf|send""),""Transfer"",""Other"")))),""Other"")"),"Transfer")</f>
        <v>Transfer</v>
      </c>
      <c r="E1655" s="20">
        <v>250.0</v>
      </c>
      <c r="F1655" s="20">
        <v>0.0</v>
      </c>
      <c r="G1655" s="12" t="str">
        <f t="shared" si="3"/>
        <v>Withdrawal</v>
      </c>
      <c r="H1655" s="12" t="str">
        <f>TEXT(Raw_Data!A1661,"hh:mm:ss")
</f>
        <v>16:23:02</v>
      </c>
      <c r="I1655" s="20">
        <f t="shared" si="4"/>
        <v>250</v>
      </c>
    </row>
    <row r="1656">
      <c r="A1656" s="12" t="str">
        <f>Raw_Data!A1662</f>
        <v>19 Nov 2025 16:23:07</v>
      </c>
      <c r="B1656" s="12" t="str">
        <f t="shared" si="1"/>
        <v>November</v>
      </c>
      <c r="C1656" s="12">
        <f t="shared" si="2"/>
        <v>11</v>
      </c>
      <c r="D1656" s="12" t="str">
        <f>IFERROR(__xludf.DUMMYFUNCTION("IFERROR(IF(REGEXMATCH(LOWER(Raw_Data!C1662),""fixed deposit|owealth|savings|target""),""Fixed Deposit"",IF(REGEXMATCH(LOWER(Raw_Data!C1662),""airtime""),""Airtime"",IF(REGEXMATCH(LOWER(Raw_Data!C1662),""electronic money transfer levy""),""Electronic Money"&amp;" Transfer Levy"",IF(REGEXMATCH(LOWER(Raw_Data!C1662),""transfer|trf|send""),""Transfer"",""Other"")))),""Other"")"),"Fixed Deposit")</f>
        <v>Fixed Deposit</v>
      </c>
      <c r="E1656" s="20">
        <v>0.0</v>
      </c>
      <c r="F1656" s="20">
        <v>250.0</v>
      </c>
      <c r="G1656" s="12" t="str">
        <f t="shared" si="3"/>
        <v>Deposit</v>
      </c>
      <c r="H1656" s="12" t="str">
        <f>TEXT(Raw_Data!A1662,"hh:mm:ss")
</f>
        <v>16:23:07</v>
      </c>
      <c r="I1656" s="20">
        <f t="shared" si="4"/>
        <v>250</v>
      </c>
    </row>
    <row r="1657">
      <c r="A1657" s="12" t="str">
        <f>Raw_Data!A1663</f>
        <v>19 Nov 2025 16:45:36</v>
      </c>
      <c r="B1657" s="12" t="str">
        <f t="shared" si="1"/>
        <v>November</v>
      </c>
      <c r="C1657" s="12">
        <f t="shared" si="2"/>
        <v>11</v>
      </c>
      <c r="D1657" s="12" t="str">
        <f>IFERROR(__xludf.DUMMYFUNCTION("IFERROR(IF(REGEXMATCH(LOWER(Raw_Data!C1663),""fixed deposit|owealth|savings|target""),""Fixed Deposit"",IF(REGEXMATCH(LOWER(Raw_Data!C1663),""airtime""),""Airtime"",IF(REGEXMATCH(LOWER(Raw_Data!C1663),""electronic money transfer levy""),""Electronic Money"&amp;" Transfer Levy"",IF(REGEXMATCH(LOWER(Raw_Data!C1663),""transfer|trf|send""),""Transfer"",""Other"")))),""Other"")"),"Transfer")</f>
        <v>Transfer</v>
      </c>
      <c r="E1657" s="20">
        <v>700.0</v>
      </c>
      <c r="F1657" s="20">
        <v>0.0</v>
      </c>
      <c r="G1657" s="12" t="str">
        <f t="shared" si="3"/>
        <v>Withdrawal</v>
      </c>
      <c r="H1657" s="12" t="str">
        <f>TEXT(Raw_Data!A1663,"hh:mm:ss")
</f>
        <v>16:45:36</v>
      </c>
      <c r="I1657" s="20">
        <f t="shared" si="4"/>
        <v>700</v>
      </c>
    </row>
    <row r="1658">
      <c r="A1658" s="12" t="str">
        <f>Raw_Data!A1664</f>
        <v>19 Nov 2025 16:45:40</v>
      </c>
      <c r="B1658" s="12" t="str">
        <f t="shared" si="1"/>
        <v>November</v>
      </c>
      <c r="C1658" s="12">
        <f t="shared" si="2"/>
        <v>11</v>
      </c>
      <c r="D1658" s="12" t="str">
        <f>IFERROR(__xludf.DUMMYFUNCTION("IFERROR(IF(REGEXMATCH(LOWER(Raw_Data!C1664),""fixed deposit|owealth|savings|target""),""Fixed Deposit"",IF(REGEXMATCH(LOWER(Raw_Data!C1664),""airtime""),""Airtime"",IF(REGEXMATCH(LOWER(Raw_Data!C1664),""electronic money transfer levy""),""Electronic Money"&amp;" Transfer Levy"",IF(REGEXMATCH(LOWER(Raw_Data!C1664),""transfer|trf|send""),""Transfer"",""Other"")))),""Other"")"),"Fixed Deposit")</f>
        <v>Fixed Deposit</v>
      </c>
      <c r="E1658" s="20">
        <v>0.0</v>
      </c>
      <c r="F1658" s="20">
        <v>700.0</v>
      </c>
      <c r="G1658" s="12" t="str">
        <f t="shared" si="3"/>
        <v>Deposit</v>
      </c>
      <c r="H1658" s="12" t="str">
        <f>TEXT(Raw_Data!A1664,"hh:mm:ss")
</f>
        <v>16:45:40</v>
      </c>
      <c r="I1658" s="20">
        <f t="shared" si="4"/>
        <v>700</v>
      </c>
    </row>
    <row r="1659">
      <c r="A1659" s="12" t="str">
        <f>Raw_Data!A1665</f>
        <v>19 Nov 2025 16:46:15</v>
      </c>
      <c r="B1659" s="12" t="str">
        <f t="shared" si="1"/>
        <v>November</v>
      </c>
      <c r="C1659" s="12">
        <f t="shared" si="2"/>
        <v>11</v>
      </c>
      <c r="D1659" s="12" t="str">
        <f>IFERROR(__xludf.DUMMYFUNCTION("IFERROR(IF(REGEXMATCH(LOWER(Raw_Data!C1665),""fixed deposit|owealth|savings|target""),""Fixed Deposit"",IF(REGEXMATCH(LOWER(Raw_Data!C1665),""airtime""),""Airtime"",IF(REGEXMATCH(LOWER(Raw_Data!C1665),""electronic money transfer levy""),""Electronic Money"&amp;" Transfer Levy"",IF(REGEXMATCH(LOWER(Raw_Data!C1665),""transfer|trf|send""),""Transfer"",""Other"")))),""Other"")"),"Transfer")</f>
        <v>Transfer</v>
      </c>
      <c r="E1659" s="20">
        <v>250.0</v>
      </c>
      <c r="F1659" s="20">
        <v>0.0</v>
      </c>
      <c r="G1659" s="12" t="str">
        <f t="shared" si="3"/>
        <v>Withdrawal</v>
      </c>
      <c r="H1659" s="12" t="str">
        <f>TEXT(Raw_Data!A1665,"hh:mm:ss")
</f>
        <v>16:46:15</v>
      </c>
      <c r="I1659" s="20">
        <f t="shared" si="4"/>
        <v>250</v>
      </c>
    </row>
    <row r="1660">
      <c r="A1660" s="12" t="str">
        <f>Raw_Data!A1666</f>
        <v>19 Nov 2025 16:46:20</v>
      </c>
      <c r="B1660" s="12" t="str">
        <f t="shared" si="1"/>
        <v>November</v>
      </c>
      <c r="C1660" s="12">
        <f t="shared" si="2"/>
        <v>11</v>
      </c>
      <c r="D1660" s="12" t="str">
        <f>IFERROR(__xludf.DUMMYFUNCTION("IFERROR(IF(REGEXMATCH(LOWER(Raw_Data!C1666),""fixed deposit|owealth|savings|target""),""Fixed Deposit"",IF(REGEXMATCH(LOWER(Raw_Data!C1666),""airtime""),""Airtime"",IF(REGEXMATCH(LOWER(Raw_Data!C1666),""electronic money transfer levy""),""Electronic Money"&amp;" Transfer Levy"",IF(REGEXMATCH(LOWER(Raw_Data!C1666),""transfer|trf|send""),""Transfer"",""Other"")))),""Other"")"),"Fixed Deposit")</f>
        <v>Fixed Deposit</v>
      </c>
      <c r="E1660" s="20">
        <v>0.0</v>
      </c>
      <c r="F1660" s="20">
        <v>250.0</v>
      </c>
      <c r="G1660" s="12" t="str">
        <f t="shared" si="3"/>
        <v>Deposit</v>
      </c>
      <c r="H1660" s="12" t="str">
        <f>TEXT(Raw_Data!A1666,"hh:mm:ss")
</f>
        <v>16:46:20</v>
      </c>
      <c r="I1660" s="20">
        <f t="shared" si="4"/>
        <v>250</v>
      </c>
    </row>
    <row r="1661">
      <c r="A1661" s="12" t="str">
        <f>Raw_Data!A1667</f>
        <v>20 Nov 2025 13:05:53</v>
      </c>
      <c r="B1661" s="12" t="str">
        <f t="shared" si="1"/>
        <v>November</v>
      </c>
      <c r="C1661" s="12">
        <f t="shared" si="2"/>
        <v>11</v>
      </c>
      <c r="D1661" s="12" t="str">
        <f>IFERROR(__xludf.DUMMYFUNCTION("IFERROR(IF(REGEXMATCH(LOWER(Raw_Data!C1667),""fixed deposit|owealth|savings|target""),""Fixed Deposit"",IF(REGEXMATCH(LOWER(Raw_Data!C1667),""airtime""),""Airtime"",IF(REGEXMATCH(LOWER(Raw_Data!C1667),""electronic money transfer levy""),""Electronic Money"&amp;" Transfer Levy"",IF(REGEXMATCH(LOWER(Raw_Data!C1667),""transfer|trf|send""),""Transfer"",""Other"")))),""Other"")"),"Transfer")</f>
        <v>Transfer</v>
      </c>
      <c r="E1661" s="20">
        <v>0.0</v>
      </c>
      <c r="F1661" s="20">
        <v>1000.0</v>
      </c>
      <c r="G1661" s="12" t="str">
        <f t="shared" si="3"/>
        <v>Deposit</v>
      </c>
      <c r="H1661" s="12" t="str">
        <f>TEXT(Raw_Data!A1667,"hh:mm:ss")
</f>
        <v>13:05:53</v>
      </c>
      <c r="I1661" s="20">
        <f t="shared" si="4"/>
        <v>1000</v>
      </c>
    </row>
    <row r="1662">
      <c r="A1662" s="12" t="str">
        <f>Raw_Data!A1668</f>
        <v>20 Nov 2025 14:36:37</v>
      </c>
      <c r="B1662" s="12" t="str">
        <f t="shared" si="1"/>
        <v>November</v>
      </c>
      <c r="C1662" s="12">
        <f t="shared" si="2"/>
        <v>11</v>
      </c>
      <c r="D1662" s="12" t="str">
        <f>IFERROR(__xludf.DUMMYFUNCTION("IFERROR(IF(REGEXMATCH(LOWER(Raw_Data!C1668),""fixed deposit|owealth|savings|target""),""Fixed Deposit"",IF(REGEXMATCH(LOWER(Raw_Data!C1668),""airtime""),""Airtime"",IF(REGEXMATCH(LOWER(Raw_Data!C1668),""electronic money transfer levy""),""Electronic Money"&amp;" Transfer Levy"",IF(REGEXMATCH(LOWER(Raw_Data!C1668),""transfer|trf|send""),""Transfer"",""Other"")))),""Other"")"),"Transfer")</f>
        <v>Transfer</v>
      </c>
      <c r="E1662" s="20">
        <v>800.0</v>
      </c>
      <c r="F1662" s="20">
        <v>0.0</v>
      </c>
      <c r="G1662" s="12" t="str">
        <f t="shared" si="3"/>
        <v>Withdrawal</v>
      </c>
      <c r="H1662" s="12" t="str">
        <f>TEXT(Raw_Data!A1668,"hh:mm:ss")
</f>
        <v>14:36:37</v>
      </c>
      <c r="I1662" s="20">
        <f t="shared" si="4"/>
        <v>800</v>
      </c>
    </row>
    <row r="1663">
      <c r="A1663" s="12" t="str">
        <f>Raw_Data!A1669</f>
        <v>20 Nov 2025 15:18:34</v>
      </c>
      <c r="B1663" s="12" t="str">
        <f t="shared" si="1"/>
        <v>November</v>
      </c>
      <c r="C1663" s="12">
        <f t="shared" si="2"/>
        <v>11</v>
      </c>
      <c r="D1663" s="12" t="str">
        <f>IFERROR(__xludf.DUMMYFUNCTION("IFERROR(IF(REGEXMATCH(LOWER(Raw_Data!C1669),""fixed deposit|owealth|savings|target""),""Fixed Deposit"",IF(REGEXMATCH(LOWER(Raw_Data!C1669),""airtime""),""Airtime"",IF(REGEXMATCH(LOWER(Raw_Data!C1669),""electronic money transfer levy""),""Electronic Money"&amp;" Transfer Levy"",IF(REGEXMATCH(LOWER(Raw_Data!C1669),""transfer|trf|send""),""Transfer"",""Other"")))),""Other"")"),"Transfer")</f>
        <v>Transfer</v>
      </c>
      <c r="E1663" s="20">
        <v>500.0</v>
      </c>
      <c r="F1663" s="20">
        <v>0.0</v>
      </c>
      <c r="G1663" s="12" t="str">
        <f t="shared" si="3"/>
        <v>Withdrawal</v>
      </c>
      <c r="H1663" s="12" t="str">
        <f>TEXT(Raw_Data!A1669,"hh:mm:ss")
</f>
        <v>15:18:34</v>
      </c>
      <c r="I1663" s="20">
        <f t="shared" si="4"/>
        <v>500</v>
      </c>
    </row>
    <row r="1664">
      <c r="A1664" s="12" t="str">
        <f>Raw_Data!A1670</f>
        <v>20 Nov 2025 15:18:38</v>
      </c>
      <c r="B1664" s="12" t="str">
        <f t="shared" si="1"/>
        <v>November</v>
      </c>
      <c r="C1664" s="12">
        <f t="shared" si="2"/>
        <v>11</v>
      </c>
      <c r="D1664" s="12" t="str">
        <f>IFERROR(__xludf.DUMMYFUNCTION("IFERROR(IF(REGEXMATCH(LOWER(Raw_Data!C1670),""fixed deposit|owealth|savings|target""),""Fixed Deposit"",IF(REGEXMATCH(LOWER(Raw_Data!C1670),""airtime""),""Airtime"",IF(REGEXMATCH(LOWER(Raw_Data!C1670),""electronic money transfer levy""),""Electronic Money"&amp;" Transfer Levy"",IF(REGEXMATCH(LOWER(Raw_Data!C1670),""transfer|trf|send""),""Transfer"",""Other"")))),""Other"")"),"Fixed Deposit")</f>
        <v>Fixed Deposit</v>
      </c>
      <c r="E1664" s="20">
        <v>0.0</v>
      </c>
      <c r="F1664" s="20">
        <v>300.0</v>
      </c>
      <c r="G1664" s="12" t="str">
        <f t="shared" si="3"/>
        <v>Deposit</v>
      </c>
      <c r="H1664" s="12" t="str">
        <f>TEXT(Raw_Data!A1670,"hh:mm:ss")
</f>
        <v>15:18:38</v>
      </c>
      <c r="I1664" s="20">
        <f t="shared" si="4"/>
        <v>300</v>
      </c>
    </row>
    <row r="1665">
      <c r="A1665" s="12" t="str">
        <f>Raw_Data!A1671</f>
        <v>20 Nov 2025 18:45:49</v>
      </c>
      <c r="B1665" s="12" t="str">
        <f t="shared" si="1"/>
        <v>November</v>
      </c>
      <c r="C1665" s="12">
        <f t="shared" si="2"/>
        <v>11</v>
      </c>
      <c r="D1665" s="12" t="str">
        <f>IFERROR(__xludf.DUMMYFUNCTION("IFERROR(IF(REGEXMATCH(LOWER(Raw_Data!C1671),""fixed deposit|owealth|savings|target""),""Fixed Deposit"",IF(REGEXMATCH(LOWER(Raw_Data!C1671),""airtime""),""Airtime"",IF(REGEXMATCH(LOWER(Raw_Data!C1671),""electronic money transfer levy""),""Electronic Money"&amp;" Transfer Levy"",IF(REGEXMATCH(LOWER(Raw_Data!C1671),""transfer|trf|send""),""Transfer"",""Other"")))),""Other"")"),"Transfer")</f>
        <v>Transfer</v>
      </c>
      <c r="E1665" s="20">
        <v>0.0</v>
      </c>
      <c r="F1665" s="20">
        <v>1000.0</v>
      </c>
      <c r="G1665" s="12" t="str">
        <f t="shared" si="3"/>
        <v>Deposit</v>
      </c>
      <c r="H1665" s="12" t="str">
        <f>TEXT(Raw_Data!A1671,"hh:mm:ss")
</f>
        <v>18:45:49</v>
      </c>
      <c r="I1665" s="20">
        <f t="shared" si="4"/>
        <v>1000</v>
      </c>
    </row>
    <row r="1666">
      <c r="A1666" s="12" t="str">
        <f>Raw_Data!A1672</f>
        <v>20 Nov 2025 18:46:26</v>
      </c>
      <c r="B1666" s="12" t="str">
        <f t="shared" si="1"/>
        <v>November</v>
      </c>
      <c r="C1666" s="12">
        <f t="shared" si="2"/>
        <v>11</v>
      </c>
      <c r="D1666" s="12" t="str">
        <f>IFERROR(__xludf.DUMMYFUNCTION("IFERROR(IF(REGEXMATCH(LOWER(Raw_Data!C1672),""fixed deposit|owealth|savings|target""),""Fixed Deposit"",IF(REGEXMATCH(LOWER(Raw_Data!C1672),""airtime""),""Airtime"",IF(REGEXMATCH(LOWER(Raw_Data!C1672),""electronic money transfer levy""),""Electronic Money"&amp;" Transfer Levy"",IF(REGEXMATCH(LOWER(Raw_Data!C1672),""transfer|trf|send""),""Transfer"",""Other"")))),""Other"")"),"Transfer")</f>
        <v>Transfer</v>
      </c>
      <c r="E1666" s="20">
        <v>700.0</v>
      </c>
      <c r="F1666" s="20">
        <v>0.0</v>
      </c>
      <c r="G1666" s="12" t="str">
        <f t="shared" si="3"/>
        <v>Withdrawal</v>
      </c>
      <c r="H1666" s="12" t="str">
        <f>TEXT(Raw_Data!A1672,"hh:mm:ss")
</f>
        <v>18:46:26</v>
      </c>
      <c r="I1666" s="20">
        <f t="shared" si="4"/>
        <v>700</v>
      </c>
    </row>
    <row r="1667">
      <c r="A1667" s="12" t="str">
        <f>Raw_Data!A1673</f>
        <v>20 Nov 2025 18:53:32</v>
      </c>
      <c r="B1667" s="12" t="str">
        <f t="shared" si="1"/>
        <v>November</v>
      </c>
      <c r="C1667" s="12">
        <f t="shared" si="2"/>
        <v>11</v>
      </c>
      <c r="D1667" s="12" t="str">
        <f>IFERROR(__xludf.DUMMYFUNCTION("IFERROR(IF(REGEXMATCH(LOWER(Raw_Data!C1673),""fixed deposit|owealth|savings|target""),""Fixed Deposit"",IF(REGEXMATCH(LOWER(Raw_Data!C1673),""airtime""),""Airtime"",IF(REGEXMATCH(LOWER(Raw_Data!C1673),""electronic money transfer levy""),""Electronic Money"&amp;" Transfer Levy"",IF(REGEXMATCH(LOWER(Raw_Data!C1673),""transfer|trf|send""),""Transfer"",""Other"")))),""Other"")"),"Transfer")</f>
        <v>Transfer</v>
      </c>
      <c r="E1667" s="20">
        <v>0.0</v>
      </c>
      <c r="F1667" s="20">
        <v>2000.0</v>
      </c>
      <c r="G1667" s="12" t="str">
        <f t="shared" si="3"/>
        <v>Deposit</v>
      </c>
      <c r="H1667" s="12" t="str">
        <f>TEXT(Raw_Data!A1673,"hh:mm:ss")
</f>
        <v>18:53:32</v>
      </c>
      <c r="I1667" s="20">
        <f t="shared" si="4"/>
        <v>2000</v>
      </c>
    </row>
    <row r="1668">
      <c r="A1668" s="12" t="str">
        <f>Raw_Data!A1674</f>
        <v>20 Nov 2025 19:45:28</v>
      </c>
      <c r="B1668" s="12" t="str">
        <f t="shared" si="1"/>
        <v>November</v>
      </c>
      <c r="C1668" s="12">
        <f t="shared" si="2"/>
        <v>11</v>
      </c>
      <c r="D1668" s="12" t="str">
        <f>IFERROR(__xludf.DUMMYFUNCTION("IFERROR(IF(REGEXMATCH(LOWER(Raw_Data!C1674),""fixed deposit|owealth|savings|target""),""Fixed Deposit"",IF(REGEXMATCH(LOWER(Raw_Data!C1674),""airtime""),""Airtime"",IF(REGEXMATCH(LOWER(Raw_Data!C1674),""electronic money transfer levy""),""Electronic Money"&amp;" Transfer Levy"",IF(REGEXMATCH(LOWER(Raw_Data!C1674),""transfer|trf|send""),""Transfer"",""Other"")))),""Other"")"),"Transfer")</f>
        <v>Transfer</v>
      </c>
      <c r="E1668" s="20">
        <v>2000.0</v>
      </c>
      <c r="F1668" s="20">
        <v>0.0</v>
      </c>
      <c r="G1668" s="12" t="str">
        <f t="shared" si="3"/>
        <v>Withdrawal</v>
      </c>
      <c r="H1668" s="12" t="str">
        <f>TEXT(Raw_Data!A1674,"hh:mm:ss")
</f>
        <v>19:45:28</v>
      </c>
      <c r="I1668" s="20">
        <f t="shared" si="4"/>
        <v>2000</v>
      </c>
    </row>
    <row r="1669">
      <c r="A1669" s="12" t="str">
        <f>Raw_Data!A1675</f>
        <v>21 Nov 2025 12:55:56</v>
      </c>
      <c r="B1669" s="12" t="str">
        <f t="shared" si="1"/>
        <v>November</v>
      </c>
      <c r="C1669" s="12">
        <f t="shared" si="2"/>
        <v>11</v>
      </c>
      <c r="D1669" s="12" t="str">
        <f>IFERROR(__xludf.DUMMYFUNCTION("IFERROR(IF(REGEXMATCH(LOWER(Raw_Data!C1675),""fixed deposit|owealth|savings|target""),""Fixed Deposit"",IF(REGEXMATCH(LOWER(Raw_Data!C1675),""airtime""),""Airtime"",IF(REGEXMATCH(LOWER(Raw_Data!C1675),""electronic money transfer levy""),""Electronic Money"&amp;" Transfer Levy"",IF(REGEXMATCH(LOWER(Raw_Data!C1675),""transfer|trf|send""),""Transfer"",""Other"")))),""Other"")"),"Transfer")</f>
        <v>Transfer</v>
      </c>
      <c r="E1669" s="20">
        <v>1900.0</v>
      </c>
      <c r="F1669" s="20">
        <v>0.0</v>
      </c>
      <c r="G1669" s="12" t="str">
        <f t="shared" si="3"/>
        <v>Withdrawal</v>
      </c>
      <c r="H1669" s="12" t="str">
        <f>TEXT(Raw_Data!A1675,"hh:mm:ss")
</f>
        <v>12:55:56</v>
      </c>
      <c r="I1669" s="20">
        <f t="shared" si="4"/>
        <v>1900</v>
      </c>
    </row>
    <row r="1670">
      <c r="A1670" s="12" t="str">
        <f>Raw_Data!A1676</f>
        <v>21 Nov 2025 12:56:00</v>
      </c>
      <c r="B1670" s="12" t="str">
        <f t="shared" si="1"/>
        <v>November</v>
      </c>
      <c r="C1670" s="12">
        <f t="shared" si="2"/>
        <v>11</v>
      </c>
      <c r="D1670" s="12" t="str">
        <f>IFERROR(__xludf.DUMMYFUNCTION("IFERROR(IF(REGEXMATCH(LOWER(Raw_Data!C1676),""fixed deposit|owealth|savings|target""),""Fixed Deposit"",IF(REGEXMATCH(LOWER(Raw_Data!C1676),""airtime""),""Airtime"",IF(REGEXMATCH(LOWER(Raw_Data!C1676),""electronic money transfer levy""),""Electronic Money"&amp;" Transfer Levy"",IF(REGEXMATCH(LOWER(Raw_Data!C1676),""transfer|trf|send""),""Transfer"",""Other"")))),""Other"")"),"Fixed Deposit")</f>
        <v>Fixed Deposit</v>
      </c>
      <c r="E1670" s="20">
        <v>0.0</v>
      </c>
      <c r="F1670" s="20">
        <v>1600.0</v>
      </c>
      <c r="G1670" s="12" t="str">
        <f t="shared" si="3"/>
        <v>Deposit</v>
      </c>
      <c r="H1670" s="12" t="str">
        <f>TEXT(Raw_Data!A1676,"hh:mm:ss")
</f>
        <v>12:56:00</v>
      </c>
      <c r="I1670" s="20">
        <f t="shared" si="4"/>
        <v>1600</v>
      </c>
    </row>
    <row r="1671">
      <c r="A1671" s="12" t="str">
        <f>Raw_Data!A1677</f>
        <v>21 Nov 2025 12:59:23</v>
      </c>
      <c r="B1671" s="12" t="str">
        <f t="shared" si="1"/>
        <v>November</v>
      </c>
      <c r="C1671" s="12">
        <f t="shared" si="2"/>
        <v>11</v>
      </c>
      <c r="D1671" s="12" t="str">
        <f>IFERROR(__xludf.DUMMYFUNCTION("IFERROR(IF(REGEXMATCH(LOWER(Raw_Data!C1677),""fixed deposit|owealth|savings|target""),""Fixed Deposit"",IF(REGEXMATCH(LOWER(Raw_Data!C1677),""airtime""),""Airtime"",IF(REGEXMATCH(LOWER(Raw_Data!C1677),""electronic money transfer levy""),""Electronic Money"&amp;" Transfer Levy"",IF(REGEXMATCH(LOWER(Raw_Data!C1677),""transfer|trf|send""),""Transfer"",""Other"")))),""Other"")"),"Transfer")</f>
        <v>Transfer</v>
      </c>
      <c r="E1671" s="20">
        <v>0.0</v>
      </c>
      <c r="F1671" s="20">
        <v>5000.0</v>
      </c>
      <c r="G1671" s="12" t="str">
        <f t="shared" si="3"/>
        <v>Deposit</v>
      </c>
      <c r="H1671" s="12" t="str">
        <f>TEXT(Raw_Data!A1677,"hh:mm:ss")
</f>
        <v>12:59:23</v>
      </c>
      <c r="I1671" s="20">
        <f t="shared" si="4"/>
        <v>5000</v>
      </c>
    </row>
    <row r="1672">
      <c r="A1672" s="12" t="str">
        <f>Raw_Data!A1678</f>
        <v>21 Nov 2025 17:12:53</v>
      </c>
      <c r="B1672" s="12" t="str">
        <f t="shared" si="1"/>
        <v>November</v>
      </c>
      <c r="C1672" s="12">
        <f t="shared" si="2"/>
        <v>11</v>
      </c>
      <c r="D1672" s="12" t="str">
        <f>IFERROR(__xludf.DUMMYFUNCTION("IFERROR(IF(REGEXMATCH(LOWER(Raw_Data!C1678),""fixed deposit|owealth|savings|target""),""Fixed Deposit"",IF(REGEXMATCH(LOWER(Raw_Data!C1678),""airtime""),""Airtime"",IF(REGEXMATCH(LOWER(Raw_Data!C1678),""electronic money transfer levy""),""Electronic Money"&amp;" Transfer Levy"",IF(REGEXMATCH(LOWER(Raw_Data!C1678),""transfer|trf|send""),""Transfer"",""Other"")))),""Other"")"),"Transfer")</f>
        <v>Transfer</v>
      </c>
      <c r="E1672" s="20">
        <v>1000.0</v>
      </c>
      <c r="F1672" s="20">
        <v>0.0</v>
      </c>
      <c r="G1672" s="12" t="str">
        <f t="shared" si="3"/>
        <v>Withdrawal</v>
      </c>
      <c r="H1672" s="12" t="str">
        <f>TEXT(Raw_Data!A1678,"hh:mm:ss")
</f>
        <v>17:12:53</v>
      </c>
      <c r="I1672" s="20">
        <f t="shared" si="4"/>
        <v>1000</v>
      </c>
    </row>
    <row r="1673">
      <c r="A1673" s="12" t="str">
        <f>Raw_Data!A1679</f>
        <v>22 Nov 2025 07:38:07</v>
      </c>
      <c r="B1673" s="12" t="str">
        <f t="shared" si="1"/>
        <v>November</v>
      </c>
      <c r="C1673" s="12">
        <f t="shared" si="2"/>
        <v>11</v>
      </c>
      <c r="D1673" s="12" t="str">
        <f>IFERROR(__xludf.DUMMYFUNCTION("IFERROR(IF(REGEXMATCH(LOWER(Raw_Data!C1679),""fixed deposit|owealth|savings|target""),""Fixed Deposit"",IF(REGEXMATCH(LOWER(Raw_Data!C1679),""airtime""),""Airtime"",IF(REGEXMATCH(LOWER(Raw_Data!C1679),""electronic money transfer levy""),""Electronic Money"&amp;" Transfer Levy"",IF(REGEXMATCH(LOWER(Raw_Data!C1679),""transfer|trf|send""),""Transfer"",""Other"")))),""Other"")"),"Transfer")</f>
        <v>Transfer</v>
      </c>
      <c r="E1673" s="20">
        <v>2000.0</v>
      </c>
      <c r="F1673" s="20">
        <v>0.0</v>
      </c>
      <c r="G1673" s="12" t="str">
        <f t="shared" si="3"/>
        <v>Withdrawal</v>
      </c>
      <c r="H1673" s="12" t="str">
        <f>TEXT(Raw_Data!A1679,"hh:mm:ss")
</f>
        <v>07:38:07</v>
      </c>
      <c r="I1673" s="20">
        <f t="shared" si="4"/>
        <v>2000</v>
      </c>
    </row>
    <row r="1674">
      <c r="A1674" s="12" t="str">
        <f>Raw_Data!A1680</f>
        <v>22 Nov 2025 07:38:23</v>
      </c>
      <c r="B1674" s="12" t="str">
        <f t="shared" si="1"/>
        <v>November</v>
      </c>
      <c r="C1674" s="12">
        <f t="shared" si="2"/>
        <v>11</v>
      </c>
      <c r="D1674" s="12" t="str">
        <f>IFERROR(__xludf.DUMMYFUNCTION("IFERROR(IF(REGEXMATCH(LOWER(Raw_Data!C1680),""fixed deposit|owealth|savings|target""),""Fixed Deposit"",IF(REGEXMATCH(LOWER(Raw_Data!C1680),""airtime""),""Airtime"",IF(REGEXMATCH(LOWER(Raw_Data!C1680),""electronic money transfer levy""),""Electronic Money"&amp;" Transfer Levy"",IF(REGEXMATCH(LOWER(Raw_Data!C1680),""transfer|trf|send""),""Transfer"",""Other"")))),""Other"")"),"Airtime")</f>
        <v>Airtime</v>
      </c>
      <c r="E1674" s="20">
        <v>1980.0</v>
      </c>
      <c r="F1674" s="20">
        <v>0.0</v>
      </c>
      <c r="G1674" s="12" t="str">
        <f t="shared" si="3"/>
        <v>Withdrawal</v>
      </c>
      <c r="H1674" s="12" t="str">
        <f>TEXT(Raw_Data!A1680,"hh:mm:ss")
</f>
        <v>07:38:23</v>
      </c>
      <c r="I1674" s="20">
        <f t="shared" si="4"/>
        <v>1980</v>
      </c>
    </row>
    <row r="1675">
      <c r="A1675" s="12" t="str">
        <f>Raw_Data!A1681</f>
        <v>22 Nov 2025 07:39:35</v>
      </c>
      <c r="B1675" s="12" t="str">
        <f t="shared" si="1"/>
        <v>November</v>
      </c>
      <c r="C1675" s="12">
        <f t="shared" si="2"/>
        <v>11</v>
      </c>
      <c r="D1675" s="12" t="str">
        <f>IFERROR(__xludf.DUMMYFUNCTION("IFERROR(IF(REGEXMATCH(LOWER(Raw_Data!C1681),""fixed deposit|owealth|savings|target""),""Fixed Deposit"",IF(REGEXMATCH(LOWER(Raw_Data!C1681),""airtime""),""Airtime"",IF(REGEXMATCH(LOWER(Raw_Data!C1681),""electronic money transfer levy""),""Electronic Money"&amp;" Transfer Levy"",IF(REGEXMATCH(LOWER(Raw_Data!C1681),""transfer|trf|send""),""Transfer"",""Other"")))),""Other"")"),"Fixed Deposit")</f>
        <v>Fixed Deposit</v>
      </c>
      <c r="E1675" s="20">
        <v>0.0</v>
      </c>
      <c r="F1675" s="20">
        <v>2410.15</v>
      </c>
      <c r="G1675" s="12" t="str">
        <f t="shared" si="3"/>
        <v>Deposit</v>
      </c>
      <c r="H1675" s="12" t="str">
        <f>TEXT(Raw_Data!A1681,"hh:mm:ss")
</f>
        <v>07:39:35</v>
      </c>
      <c r="I1675" s="20">
        <f t="shared" si="4"/>
        <v>2410.15</v>
      </c>
    </row>
    <row r="1676">
      <c r="A1676" s="12" t="str">
        <f>Raw_Data!A1682</f>
        <v>22 Nov 2025 09:34:18</v>
      </c>
      <c r="B1676" s="12" t="str">
        <f t="shared" si="1"/>
        <v>November</v>
      </c>
      <c r="C1676" s="12">
        <f t="shared" si="2"/>
        <v>11</v>
      </c>
      <c r="D1676" s="12" t="str">
        <f>IFERROR(__xludf.DUMMYFUNCTION("IFERROR(IF(REGEXMATCH(LOWER(Raw_Data!C1682),""fixed deposit|owealth|savings|target""),""Fixed Deposit"",IF(REGEXMATCH(LOWER(Raw_Data!C1682),""airtime""),""Airtime"",IF(REGEXMATCH(LOWER(Raw_Data!C1682),""electronic money transfer levy""),""Electronic Money"&amp;" Transfer Levy"",IF(REGEXMATCH(LOWER(Raw_Data!C1682),""transfer|trf|send""),""Transfer"",""Other"")))),""Other"")"),"Transfer")</f>
        <v>Transfer</v>
      </c>
      <c r="E1676" s="20">
        <v>800.0</v>
      </c>
      <c r="F1676" s="20">
        <v>0.0</v>
      </c>
      <c r="G1676" s="12" t="str">
        <f t="shared" si="3"/>
        <v>Withdrawal</v>
      </c>
      <c r="H1676" s="12" t="str">
        <f>TEXT(Raw_Data!A1682,"hh:mm:ss")
</f>
        <v>09:34:18</v>
      </c>
      <c r="I1676" s="20">
        <f t="shared" si="4"/>
        <v>800</v>
      </c>
    </row>
    <row r="1677">
      <c r="A1677" s="12" t="str">
        <f>Raw_Data!A1683</f>
        <v>22 Nov 2025 18:16:30</v>
      </c>
      <c r="B1677" s="12" t="str">
        <f t="shared" si="1"/>
        <v>November</v>
      </c>
      <c r="C1677" s="12">
        <f t="shared" si="2"/>
        <v>11</v>
      </c>
      <c r="D1677" s="12" t="str">
        <f>IFERROR(__xludf.DUMMYFUNCTION("IFERROR(IF(REGEXMATCH(LOWER(Raw_Data!C1683),""fixed deposit|owealth|savings|target""),""Fixed Deposit"",IF(REGEXMATCH(LOWER(Raw_Data!C1683),""airtime""),""Airtime"",IF(REGEXMATCH(LOWER(Raw_Data!C1683),""electronic money transfer levy""),""Electronic Money"&amp;" Transfer Levy"",IF(REGEXMATCH(LOWER(Raw_Data!C1683),""transfer|trf|send""),""Transfer"",""Other"")))),""Other"")"),"Transfer")</f>
        <v>Transfer</v>
      </c>
      <c r="E1677" s="20">
        <v>0.0</v>
      </c>
      <c r="F1677" s="20">
        <v>1000.0</v>
      </c>
      <c r="G1677" s="12" t="str">
        <f t="shared" si="3"/>
        <v>Deposit</v>
      </c>
      <c r="H1677" s="12" t="str">
        <f>TEXT(Raw_Data!A1683,"hh:mm:ss")
</f>
        <v>18:16:30</v>
      </c>
      <c r="I1677" s="20">
        <f t="shared" si="4"/>
        <v>1000</v>
      </c>
    </row>
    <row r="1678">
      <c r="A1678" s="12" t="str">
        <f>Raw_Data!A1684</f>
        <v>22 Nov 2025 18:36:32</v>
      </c>
      <c r="B1678" s="12" t="str">
        <f t="shared" si="1"/>
        <v>November</v>
      </c>
      <c r="C1678" s="12">
        <f t="shared" si="2"/>
        <v>11</v>
      </c>
      <c r="D1678" s="12" t="str">
        <f>IFERROR(__xludf.DUMMYFUNCTION("IFERROR(IF(REGEXMATCH(LOWER(Raw_Data!C1684),""fixed deposit|owealth|savings|target""),""Fixed Deposit"",IF(REGEXMATCH(LOWER(Raw_Data!C1684),""airtime""),""Airtime"",IF(REGEXMATCH(LOWER(Raw_Data!C1684),""electronic money transfer levy""),""Electronic Money"&amp;" Transfer Levy"",IF(REGEXMATCH(LOWER(Raw_Data!C1684),""transfer|trf|send""),""Transfer"",""Other"")))),""Other"")"),"Transfer")</f>
        <v>Transfer</v>
      </c>
      <c r="E1678" s="20">
        <v>550.0</v>
      </c>
      <c r="F1678" s="20">
        <v>0.0</v>
      </c>
      <c r="G1678" s="12" t="str">
        <f t="shared" si="3"/>
        <v>Withdrawal</v>
      </c>
      <c r="H1678" s="12" t="str">
        <f>TEXT(Raw_Data!A1684,"hh:mm:ss")
</f>
        <v>18:36:32</v>
      </c>
      <c r="I1678" s="20">
        <f t="shared" si="4"/>
        <v>550</v>
      </c>
    </row>
    <row r="1679">
      <c r="A1679" s="12" t="str">
        <f>Raw_Data!A1685</f>
        <v>22 Nov 2025 20:24:07</v>
      </c>
      <c r="B1679" s="12" t="str">
        <f t="shared" si="1"/>
        <v>November</v>
      </c>
      <c r="C1679" s="12">
        <f t="shared" si="2"/>
        <v>11</v>
      </c>
      <c r="D1679" s="12" t="str">
        <f>IFERROR(__xludf.DUMMYFUNCTION("IFERROR(IF(REGEXMATCH(LOWER(Raw_Data!C1685),""fixed deposit|owealth|savings|target""),""Fixed Deposit"",IF(REGEXMATCH(LOWER(Raw_Data!C1685),""airtime""),""Airtime"",IF(REGEXMATCH(LOWER(Raw_Data!C1685),""electronic money transfer levy""),""Electronic Money"&amp;" Transfer Levy"",IF(REGEXMATCH(LOWER(Raw_Data!C1685),""transfer|trf|send""),""Transfer"",""Other"")))),""Other"")"),"Transfer")</f>
        <v>Transfer</v>
      </c>
      <c r="E1679" s="20">
        <v>150.0</v>
      </c>
      <c r="F1679" s="20">
        <v>0.0</v>
      </c>
      <c r="G1679" s="12" t="str">
        <f t="shared" si="3"/>
        <v>Withdrawal</v>
      </c>
      <c r="H1679" s="12" t="str">
        <f>TEXT(Raw_Data!A1685,"hh:mm:ss")
</f>
        <v>20:24:07</v>
      </c>
      <c r="I1679" s="20">
        <f t="shared" si="4"/>
        <v>150</v>
      </c>
    </row>
    <row r="1680">
      <c r="A1680" s="12" t="str">
        <f>Raw_Data!A1686</f>
        <v>23 Nov 2025 08:31:55</v>
      </c>
      <c r="B1680" s="12" t="str">
        <f t="shared" si="1"/>
        <v>November</v>
      </c>
      <c r="C1680" s="12">
        <f t="shared" si="2"/>
        <v>11</v>
      </c>
      <c r="D1680" s="12" t="str">
        <f>IFERROR(__xludf.DUMMYFUNCTION("IFERROR(IF(REGEXMATCH(LOWER(Raw_Data!C1686),""fixed deposit|owealth|savings|target""),""Fixed Deposit"",IF(REGEXMATCH(LOWER(Raw_Data!C1686),""airtime""),""Airtime"",IF(REGEXMATCH(LOWER(Raw_Data!C1686),""electronic money transfer levy""),""Electronic Money"&amp;" Transfer Levy"",IF(REGEXMATCH(LOWER(Raw_Data!C1686),""transfer|trf|send""),""Transfer"",""Other"")))),""Other"")"),"Airtime")</f>
        <v>Airtime</v>
      </c>
      <c r="E1680" s="20">
        <v>500.0</v>
      </c>
      <c r="F1680" s="20">
        <v>0.0</v>
      </c>
      <c r="G1680" s="12" t="str">
        <f t="shared" si="3"/>
        <v>Withdrawal</v>
      </c>
      <c r="H1680" s="12" t="str">
        <f>TEXT(Raw_Data!A1686,"hh:mm:ss")
</f>
        <v>08:31:55</v>
      </c>
      <c r="I1680" s="20">
        <f t="shared" si="4"/>
        <v>500</v>
      </c>
    </row>
    <row r="1681">
      <c r="A1681" s="12" t="str">
        <f>Raw_Data!A1687</f>
        <v>23 Nov 2025 10:39:28</v>
      </c>
      <c r="B1681" s="12" t="str">
        <f t="shared" si="1"/>
        <v>November</v>
      </c>
      <c r="C1681" s="12">
        <f t="shared" si="2"/>
        <v>11</v>
      </c>
      <c r="D1681" s="12" t="str">
        <f>IFERROR(__xludf.DUMMYFUNCTION("IFERROR(IF(REGEXMATCH(LOWER(Raw_Data!C1687),""fixed deposit|owealth|savings|target""),""Fixed Deposit"",IF(REGEXMATCH(LOWER(Raw_Data!C1687),""airtime""),""Airtime"",IF(REGEXMATCH(LOWER(Raw_Data!C1687),""electronic money transfer levy""),""Electronic Money"&amp;" Transfer Levy"",IF(REGEXMATCH(LOWER(Raw_Data!C1687),""transfer|trf|send""),""Transfer"",""Other"")))),""Other"")"),"Transfer")</f>
        <v>Transfer</v>
      </c>
      <c r="E1681" s="20">
        <v>0.0</v>
      </c>
      <c r="F1681" s="20">
        <v>2000.0</v>
      </c>
      <c r="G1681" s="12" t="str">
        <f t="shared" si="3"/>
        <v>Deposit</v>
      </c>
      <c r="H1681" s="12" t="str">
        <f>TEXT(Raw_Data!A1687,"hh:mm:ss")
</f>
        <v>10:39:28</v>
      </c>
      <c r="I1681" s="20">
        <f t="shared" si="4"/>
        <v>2000</v>
      </c>
    </row>
    <row r="1682">
      <c r="A1682" s="12" t="str">
        <f>Raw_Data!A1688</f>
        <v>23 Nov 2025 10:52:28</v>
      </c>
      <c r="B1682" s="12" t="str">
        <f t="shared" si="1"/>
        <v>November</v>
      </c>
      <c r="C1682" s="12">
        <f t="shared" si="2"/>
        <v>11</v>
      </c>
      <c r="D1682" s="12" t="str">
        <f>IFERROR(__xludf.DUMMYFUNCTION("IFERROR(IF(REGEXMATCH(LOWER(Raw_Data!C1688),""fixed deposit|owealth|savings|target""),""Fixed Deposit"",IF(REGEXMATCH(LOWER(Raw_Data!C1688),""airtime""),""Airtime"",IF(REGEXMATCH(LOWER(Raw_Data!C1688),""electronic money transfer levy""),""Electronic Money"&amp;" Transfer Levy"",IF(REGEXMATCH(LOWER(Raw_Data!C1688),""transfer|trf|send""),""Transfer"",""Other"")))),""Other"")"),"Transfer")</f>
        <v>Transfer</v>
      </c>
      <c r="E1682" s="20">
        <v>300.0</v>
      </c>
      <c r="F1682" s="20">
        <v>0.0</v>
      </c>
      <c r="G1682" s="12" t="str">
        <f t="shared" si="3"/>
        <v>Withdrawal</v>
      </c>
      <c r="H1682" s="12" t="str">
        <f>TEXT(Raw_Data!A1688,"hh:mm:ss")
</f>
        <v>10:52:28</v>
      </c>
      <c r="I1682" s="20">
        <f t="shared" si="4"/>
        <v>300</v>
      </c>
    </row>
    <row r="1683">
      <c r="A1683" s="12" t="str">
        <f>Raw_Data!A1689</f>
        <v>23 Nov 2025 15:12:53</v>
      </c>
      <c r="B1683" s="12" t="str">
        <f t="shared" si="1"/>
        <v>November</v>
      </c>
      <c r="C1683" s="12">
        <f t="shared" si="2"/>
        <v>11</v>
      </c>
      <c r="D1683" s="12" t="str">
        <f>IFERROR(__xludf.DUMMYFUNCTION("IFERROR(IF(REGEXMATCH(LOWER(Raw_Data!C1689),""fixed deposit|owealth|savings|target""),""Fixed Deposit"",IF(REGEXMATCH(LOWER(Raw_Data!C1689),""airtime""),""Airtime"",IF(REGEXMATCH(LOWER(Raw_Data!C1689),""electronic money transfer levy""),""Electronic Money"&amp;" Transfer Levy"",IF(REGEXMATCH(LOWER(Raw_Data!C1689),""transfer|trf|send""),""Transfer"",""Other"")))),""Other"")"),"Airtime")</f>
        <v>Airtime</v>
      </c>
      <c r="E1683" s="20">
        <v>980.0</v>
      </c>
      <c r="F1683" s="20">
        <v>0.0</v>
      </c>
      <c r="G1683" s="12" t="str">
        <f t="shared" si="3"/>
        <v>Withdrawal</v>
      </c>
      <c r="H1683" s="12" t="str">
        <f>TEXT(Raw_Data!A1689,"hh:mm:ss")
</f>
        <v>15:12:53</v>
      </c>
      <c r="I1683" s="20">
        <f t="shared" si="4"/>
        <v>980</v>
      </c>
    </row>
    <row r="1684">
      <c r="A1684" s="12" t="str">
        <f>Raw_Data!A1690</f>
        <v>24 Nov 2025 08:49:00</v>
      </c>
      <c r="B1684" s="12" t="str">
        <f t="shared" si="1"/>
        <v>November</v>
      </c>
      <c r="C1684" s="12">
        <f t="shared" si="2"/>
        <v>11</v>
      </c>
      <c r="D1684" s="12" t="str">
        <f>IFERROR(__xludf.DUMMYFUNCTION("IFERROR(IF(REGEXMATCH(LOWER(Raw_Data!C1690),""fixed deposit|owealth|savings|target""),""Fixed Deposit"",IF(REGEXMATCH(LOWER(Raw_Data!C1690),""airtime""),""Airtime"",IF(REGEXMATCH(LOWER(Raw_Data!C1690),""electronic money transfer levy""),""Electronic Money"&amp;" Transfer Levy"",IF(REGEXMATCH(LOWER(Raw_Data!C1690),""transfer|trf|send""),""Transfer"",""Other"")))),""Other"")"),"Transfer")</f>
        <v>Transfer</v>
      </c>
      <c r="E1684" s="20">
        <v>0.0</v>
      </c>
      <c r="F1684" s="20">
        <v>2000.0</v>
      </c>
      <c r="G1684" s="12" t="str">
        <f t="shared" si="3"/>
        <v>Deposit</v>
      </c>
      <c r="H1684" s="12" t="str">
        <f>TEXT(Raw_Data!A1690,"hh:mm:ss")
</f>
        <v>08:49:00</v>
      </c>
      <c r="I1684" s="20">
        <f t="shared" si="4"/>
        <v>2000</v>
      </c>
    </row>
    <row r="1685">
      <c r="A1685" s="12" t="str">
        <f>Raw_Data!A1691</f>
        <v>24 Nov 2025 09:20:31</v>
      </c>
      <c r="B1685" s="12" t="str">
        <f t="shared" si="1"/>
        <v>November</v>
      </c>
      <c r="C1685" s="12">
        <f t="shared" si="2"/>
        <v>11</v>
      </c>
      <c r="D1685" s="12" t="str">
        <f>IFERROR(__xludf.DUMMYFUNCTION("IFERROR(IF(REGEXMATCH(LOWER(Raw_Data!C1691),""fixed deposit|owealth|savings|target""),""Fixed Deposit"",IF(REGEXMATCH(LOWER(Raw_Data!C1691),""airtime""),""Airtime"",IF(REGEXMATCH(LOWER(Raw_Data!C1691),""electronic money transfer levy""),""Electronic Money"&amp;" Transfer Levy"",IF(REGEXMATCH(LOWER(Raw_Data!C1691),""transfer|trf|send""),""Transfer"",""Other"")))),""Other"")"),"Transfer")</f>
        <v>Transfer</v>
      </c>
      <c r="E1685" s="20">
        <v>2050.0</v>
      </c>
      <c r="F1685" s="20">
        <v>0.0</v>
      </c>
      <c r="G1685" s="12" t="str">
        <f t="shared" si="3"/>
        <v>Withdrawal</v>
      </c>
      <c r="H1685" s="12" t="str">
        <f>TEXT(Raw_Data!A1691,"hh:mm:ss")
</f>
        <v>09:20:31</v>
      </c>
      <c r="I1685" s="20">
        <f t="shared" si="4"/>
        <v>2050</v>
      </c>
    </row>
    <row r="1686">
      <c r="A1686" s="12" t="str">
        <f>Raw_Data!A1692</f>
        <v>24 Nov 2025 09:29:21</v>
      </c>
      <c r="B1686" s="12" t="str">
        <f t="shared" si="1"/>
        <v>November</v>
      </c>
      <c r="C1686" s="12">
        <f t="shared" si="2"/>
        <v>11</v>
      </c>
      <c r="D1686" s="12" t="str">
        <f>IFERROR(__xludf.DUMMYFUNCTION("IFERROR(IF(REGEXMATCH(LOWER(Raw_Data!C1692),""fixed deposit|owealth|savings|target""),""Fixed Deposit"",IF(REGEXMATCH(LOWER(Raw_Data!C1692),""airtime""),""Airtime"",IF(REGEXMATCH(LOWER(Raw_Data!C1692),""electronic money transfer levy""),""Electronic Money"&amp;" Transfer Levy"",IF(REGEXMATCH(LOWER(Raw_Data!C1692),""transfer|trf|send""),""Transfer"",""Other"")))),""Other"")"),"Transfer")</f>
        <v>Transfer</v>
      </c>
      <c r="E1686" s="20">
        <v>800.0</v>
      </c>
      <c r="F1686" s="20">
        <v>0.0</v>
      </c>
      <c r="G1686" s="12" t="str">
        <f t="shared" si="3"/>
        <v>Withdrawal</v>
      </c>
      <c r="H1686" s="12" t="str">
        <f>TEXT(Raw_Data!A1692,"hh:mm:ss")
</f>
        <v>09:29:21</v>
      </c>
      <c r="I1686" s="20">
        <f t="shared" si="4"/>
        <v>800</v>
      </c>
    </row>
    <row r="1687">
      <c r="A1687" s="12" t="str">
        <f>Raw_Data!A1693</f>
        <v>24 Nov 2025 09:48:59</v>
      </c>
      <c r="B1687" s="12" t="str">
        <f t="shared" si="1"/>
        <v>November</v>
      </c>
      <c r="C1687" s="12">
        <f t="shared" si="2"/>
        <v>11</v>
      </c>
      <c r="D1687" s="12" t="str">
        <f>IFERROR(__xludf.DUMMYFUNCTION("IFERROR(IF(REGEXMATCH(LOWER(Raw_Data!C1693),""fixed deposit|owealth|savings|target""),""Fixed Deposit"",IF(REGEXMATCH(LOWER(Raw_Data!C1693),""airtime""),""Airtime"",IF(REGEXMATCH(LOWER(Raw_Data!C1693),""electronic money transfer levy""),""Electronic Money"&amp;" Transfer Levy"",IF(REGEXMATCH(LOWER(Raw_Data!C1693),""transfer|trf|send""),""Transfer"",""Other"")))),""Other"")"),"Transfer")</f>
        <v>Transfer</v>
      </c>
      <c r="E1687" s="20">
        <v>0.0</v>
      </c>
      <c r="F1687" s="20">
        <v>5000.0</v>
      </c>
      <c r="G1687" s="12" t="str">
        <f t="shared" si="3"/>
        <v>Deposit</v>
      </c>
      <c r="H1687" s="12" t="str">
        <f>TEXT(Raw_Data!A1693,"hh:mm:ss")
</f>
        <v>09:48:59</v>
      </c>
      <c r="I1687" s="20">
        <f t="shared" si="4"/>
        <v>5000</v>
      </c>
    </row>
    <row r="1688">
      <c r="A1688" s="12" t="str">
        <f>Raw_Data!A1694</f>
        <v>24 Nov 2025 12:58:30</v>
      </c>
      <c r="B1688" s="12" t="str">
        <f t="shared" si="1"/>
        <v>November</v>
      </c>
      <c r="C1688" s="12">
        <f t="shared" si="2"/>
        <v>11</v>
      </c>
      <c r="D1688" s="12" t="str">
        <f>IFERROR(__xludf.DUMMYFUNCTION("IFERROR(IF(REGEXMATCH(LOWER(Raw_Data!C1694),""fixed deposit|owealth|savings|target""),""Fixed Deposit"",IF(REGEXMATCH(LOWER(Raw_Data!C1694),""airtime""),""Airtime"",IF(REGEXMATCH(LOWER(Raw_Data!C1694),""electronic money transfer levy""),""Electronic Money"&amp;" Transfer Levy"",IF(REGEXMATCH(LOWER(Raw_Data!C1694),""transfer|trf|send""),""Transfer"",""Other"")))),""Other"")"),"Transfer")</f>
        <v>Transfer</v>
      </c>
      <c r="E1688" s="20">
        <v>0.0</v>
      </c>
      <c r="F1688" s="20">
        <v>10000.0</v>
      </c>
      <c r="G1688" s="12" t="str">
        <f t="shared" si="3"/>
        <v>Deposit</v>
      </c>
      <c r="H1688" s="12" t="str">
        <f>TEXT(Raw_Data!A1694,"hh:mm:ss")
</f>
        <v>12:58:30</v>
      </c>
      <c r="I1688" s="20">
        <f t="shared" si="4"/>
        <v>10000</v>
      </c>
    </row>
    <row r="1689">
      <c r="A1689" s="12" t="str">
        <f>Raw_Data!A1695</f>
        <v>24 Nov 2025 12:58:35</v>
      </c>
      <c r="B1689" s="12" t="str">
        <f t="shared" si="1"/>
        <v>November</v>
      </c>
      <c r="C1689" s="12">
        <f t="shared" si="2"/>
        <v>11</v>
      </c>
      <c r="D1689" s="12" t="str">
        <f>IFERROR(__xludf.DUMMYFUNCTION("IFERROR(IF(REGEXMATCH(LOWER(Raw_Data!C1695),""fixed deposit|owealth|savings|target""),""Fixed Deposit"",IF(REGEXMATCH(LOWER(Raw_Data!C1695),""airtime""),""Airtime"",IF(REGEXMATCH(LOWER(Raw_Data!C1695),""electronic money transfer levy""),""Electronic Money"&amp;" Transfer Levy"",IF(REGEXMATCH(LOWER(Raw_Data!C1695),""transfer|trf|send""),""Transfer"",""Other"")))),""Other"")"),"Electronic Money Transfer Levy")</f>
        <v>Electronic Money Transfer Levy</v>
      </c>
      <c r="E1689" s="20">
        <v>50.0</v>
      </c>
      <c r="F1689" s="20">
        <v>0.0</v>
      </c>
      <c r="G1689" s="12" t="str">
        <f t="shared" si="3"/>
        <v>Withdrawal</v>
      </c>
      <c r="H1689" s="12" t="str">
        <f>TEXT(Raw_Data!A1695,"hh:mm:ss")
</f>
        <v>12:58:35</v>
      </c>
      <c r="I1689" s="20">
        <f t="shared" si="4"/>
        <v>50</v>
      </c>
    </row>
    <row r="1690">
      <c r="A1690" s="12" t="str">
        <f>Raw_Data!A1696</f>
        <v>24 Nov 2025 13:05:59</v>
      </c>
      <c r="B1690" s="12" t="str">
        <f t="shared" si="1"/>
        <v>November</v>
      </c>
      <c r="C1690" s="12">
        <f t="shared" si="2"/>
        <v>11</v>
      </c>
      <c r="D1690" s="12" t="str">
        <f>IFERROR(__xludf.DUMMYFUNCTION("IFERROR(IF(REGEXMATCH(LOWER(Raw_Data!C1696),""fixed deposit|owealth|savings|target""),""Fixed Deposit"",IF(REGEXMATCH(LOWER(Raw_Data!C1696),""airtime""),""Airtime"",IF(REGEXMATCH(LOWER(Raw_Data!C1696),""electronic money transfer levy""),""Electronic Money"&amp;" Transfer Levy"",IF(REGEXMATCH(LOWER(Raw_Data!C1696),""transfer|trf|send""),""Transfer"",""Other"")))),""Other"")"),"Transfer")</f>
        <v>Transfer</v>
      </c>
      <c r="E1690" s="20">
        <v>0.0</v>
      </c>
      <c r="F1690" s="20">
        <v>10000.0</v>
      </c>
      <c r="G1690" s="12" t="str">
        <f t="shared" si="3"/>
        <v>Deposit</v>
      </c>
      <c r="H1690" s="12" t="str">
        <f>TEXT(Raw_Data!A1696,"hh:mm:ss")
</f>
        <v>13:05:59</v>
      </c>
      <c r="I1690" s="20">
        <f t="shared" si="4"/>
        <v>10000</v>
      </c>
    </row>
    <row r="1691">
      <c r="A1691" s="12" t="str">
        <f>Raw_Data!A1697</f>
        <v>24 Nov 2025 13:06:01</v>
      </c>
      <c r="B1691" s="12" t="str">
        <f t="shared" si="1"/>
        <v>November</v>
      </c>
      <c r="C1691" s="12">
        <f t="shared" si="2"/>
        <v>11</v>
      </c>
      <c r="D1691" s="12" t="str">
        <f>IFERROR(__xludf.DUMMYFUNCTION("IFERROR(IF(REGEXMATCH(LOWER(Raw_Data!C1697),""fixed deposit|owealth|savings|target""),""Fixed Deposit"",IF(REGEXMATCH(LOWER(Raw_Data!C1697),""airtime""),""Airtime"",IF(REGEXMATCH(LOWER(Raw_Data!C1697),""electronic money transfer levy""),""Electronic Money"&amp;" Transfer Levy"",IF(REGEXMATCH(LOWER(Raw_Data!C1697),""transfer|trf|send""),""Transfer"",""Other"")))),""Other"")"),"Electronic Money Transfer Levy")</f>
        <v>Electronic Money Transfer Levy</v>
      </c>
      <c r="E1691" s="20">
        <v>50.0</v>
      </c>
      <c r="F1691" s="20">
        <v>0.0</v>
      </c>
      <c r="G1691" s="12" t="str">
        <f t="shared" si="3"/>
        <v>Withdrawal</v>
      </c>
      <c r="H1691" s="12" t="str">
        <f>TEXT(Raw_Data!A1697,"hh:mm:ss")
</f>
        <v>13:06:01</v>
      </c>
      <c r="I1691" s="20">
        <f t="shared" si="4"/>
        <v>50</v>
      </c>
    </row>
    <row r="1692">
      <c r="A1692" s="12" t="str">
        <f>Raw_Data!A1698</f>
        <v>24 Nov 2025 13:09:57</v>
      </c>
      <c r="B1692" s="12" t="str">
        <f t="shared" si="1"/>
        <v>November</v>
      </c>
      <c r="C1692" s="12">
        <f t="shared" si="2"/>
        <v>11</v>
      </c>
      <c r="D1692" s="12" t="str">
        <f>IFERROR(__xludf.DUMMYFUNCTION("IFERROR(IF(REGEXMATCH(LOWER(Raw_Data!C1698),""fixed deposit|owealth|savings|target""),""Fixed Deposit"",IF(REGEXMATCH(LOWER(Raw_Data!C1698),""airtime""),""Airtime"",IF(REGEXMATCH(LOWER(Raw_Data!C1698),""electronic money transfer levy""),""Electronic Money"&amp;" Transfer Levy"",IF(REGEXMATCH(LOWER(Raw_Data!C1698),""transfer|trf|send""),""Transfer"",""Other"")))),""Other"")"),"Transfer")</f>
        <v>Transfer</v>
      </c>
      <c r="E1692" s="20">
        <v>0.0</v>
      </c>
      <c r="F1692" s="20">
        <v>5000.0</v>
      </c>
      <c r="G1692" s="12" t="str">
        <f t="shared" si="3"/>
        <v>Deposit</v>
      </c>
      <c r="H1692" s="12" t="str">
        <f>TEXT(Raw_Data!A1698,"hh:mm:ss")
</f>
        <v>13:09:57</v>
      </c>
      <c r="I1692" s="20">
        <f t="shared" si="4"/>
        <v>5000</v>
      </c>
    </row>
    <row r="1693">
      <c r="A1693" s="12" t="str">
        <f>Raw_Data!A1699</f>
        <v>25 Nov 2025 16:12:26</v>
      </c>
      <c r="B1693" s="12" t="str">
        <f t="shared" si="1"/>
        <v>November</v>
      </c>
      <c r="C1693" s="12">
        <f t="shared" si="2"/>
        <v>11</v>
      </c>
      <c r="D1693" s="12" t="str">
        <f>IFERROR(__xludf.DUMMYFUNCTION("IFERROR(IF(REGEXMATCH(LOWER(Raw_Data!C1699),""fixed deposit|owealth|savings|target""),""Fixed Deposit"",IF(REGEXMATCH(LOWER(Raw_Data!C1699),""airtime""),""Airtime"",IF(REGEXMATCH(LOWER(Raw_Data!C1699),""electronic money transfer levy""),""Electronic Money"&amp;" Transfer Levy"",IF(REGEXMATCH(LOWER(Raw_Data!C1699),""transfer|trf|send""),""Transfer"",""Other"")))),""Other"")"),"Transfer")</f>
        <v>Transfer</v>
      </c>
      <c r="E1693" s="20">
        <v>2000.0</v>
      </c>
      <c r="F1693" s="20">
        <v>0.0</v>
      </c>
      <c r="G1693" s="12" t="str">
        <f t="shared" si="3"/>
        <v>Withdrawal</v>
      </c>
      <c r="H1693" s="12" t="str">
        <f>TEXT(Raw_Data!A1699,"hh:mm:ss")
</f>
        <v>16:12:26</v>
      </c>
      <c r="I1693" s="20">
        <f t="shared" si="4"/>
        <v>2000</v>
      </c>
    </row>
    <row r="1694">
      <c r="A1694" s="12" t="str">
        <f>Raw_Data!A1700</f>
        <v>25 Nov 2025 16:53:50</v>
      </c>
      <c r="B1694" s="12" t="str">
        <f t="shared" si="1"/>
        <v>November</v>
      </c>
      <c r="C1694" s="12">
        <f t="shared" si="2"/>
        <v>11</v>
      </c>
      <c r="D1694" s="12" t="str">
        <f>IFERROR(__xludf.DUMMYFUNCTION("IFERROR(IF(REGEXMATCH(LOWER(Raw_Data!C1700),""fixed deposit|owealth|savings|target""),""Fixed Deposit"",IF(REGEXMATCH(LOWER(Raw_Data!C1700),""airtime""),""Airtime"",IF(REGEXMATCH(LOWER(Raw_Data!C1700),""electronic money transfer levy""),""Electronic Money"&amp;" Transfer Levy"",IF(REGEXMATCH(LOWER(Raw_Data!C1700),""transfer|trf|send""),""Transfer"",""Other"")))),""Other"")"),"Transfer")</f>
        <v>Transfer</v>
      </c>
      <c r="E1694" s="20">
        <v>1500.0</v>
      </c>
      <c r="F1694" s="20">
        <v>0.0</v>
      </c>
      <c r="G1694" s="12" t="str">
        <f t="shared" si="3"/>
        <v>Withdrawal</v>
      </c>
      <c r="H1694" s="12" t="str">
        <f>TEXT(Raw_Data!A1700,"hh:mm:ss")
</f>
        <v>16:53:50</v>
      </c>
      <c r="I1694" s="20">
        <f t="shared" si="4"/>
        <v>1500</v>
      </c>
    </row>
    <row r="1695">
      <c r="A1695" s="12" t="str">
        <f>Raw_Data!A1701</f>
        <v>25 Nov 2025 16:58:12</v>
      </c>
      <c r="B1695" s="12" t="str">
        <f t="shared" si="1"/>
        <v>November</v>
      </c>
      <c r="C1695" s="12">
        <f t="shared" si="2"/>
        <v>11</v>
      </c>
      <c r="D1695" s="12" t="str">
        <f>IFERROR(__xludf.DUMMYFUNCTION("IFERROR(IF(REGEXMATCH(LOWER(Raw_Data!C1701),""fixed deposit|owealth|savings|target""),""Fixed Deposit"",IF(REGEXMATCH(LOWER(Raw_Data!C1701),""airtime""),""Airtime"",IF(REGEXMATCH(LOWER(Raw_Data!C1701),""electronic money transfer levy""),""Electronic Money"&amp;" Transfer Levy"",IF(REGEXMATCH(LOWER(Raw_Data!C1701),""transfer|trf|send""),""Transfer"",""Other"")))),""Other"")"),"Transfer")</f>
        <v>Transfer</v>
      </c>
      <c r="E1695" s="20">
        <v>1000.0</v>
      </c>
      <c r="F1695" s="20">
        <v>0.0</v>
      </c>
      <c r="G1695" s="12" t="str">
        <f t="shared" si="3"/>
        <v>Withdrawal</v>
      </c>
      <c r="H1695" s="12" t="str">
        <f>TEXT(Raw_Data!A1701,"hh:mm:ss")
</f>
        <v>16:58:12</v>
      </c>
      <c r="I1695" s="20">
        <f t="shared" si="4"/>
        <v>1000</v>
      </c>
    </row>
    <row r="1696">
      <c r="A1696" s="12" t="str">
        <f>Raw_Data!A1702</f>
        <v>25 Nov 2025 17:04:31</v>
      </c>
      <c r="B1696" s="12" t="str">
        <f t="shared" si="1"/>
        <v>November</v>
      </c>
      <c r="C1696" s="12">
        <f t="shared" si="2"/>
        <v>11</v>
      </c>
      <c r="D1696" s="12" t="str">
        <f>IFERROR(__xludf.DUMMYFUNCTION("IFERROR(IF(REGEXMATCH(LOWER(Raw_Data!C1702),""fixed deposit|owealth|savings|target""),""Fixed Deposit"",IF(REGEXMATCH(LOWER(Raw_Data!C1702),""airtime""),""Airtime"",IF(REGEXMATCH(LOWER(Raw_Data!C1702),""electronic money transfer levy""),""Electronic Money"&amp;" Transfer Levy"",IF(REGEXMATCH(LOWER(Raw_Data!C1702),""transfer|trf|send""),""Transfer"",""Other"")))),""Other"")"),"Transfer")</f>
        <v>Transfer</v>
      </c>
      <c r="E1696" s="20">
        <v>2100.0</v>
      </c>
      <c r="F1696" s="20">
        <v>0.0</v>
      </c>
      <c r="G1696" s="12" t="str">
        <f t="shared" si="3"/>
        <v>Withdrawal</v>
      </c>
      <c r="H1696" s="12" t="str">
        <f>TEXT(Raw_Data!A1702,"hh:mm:ss")
</f>
        <v>17:04:31</v>
      </c>
      <c r="I1696" s="20">
        <f t="shared" si="4"/>
        <v>2100</v>
      </c>
    </row>
    <row r="1697">
      <c r="A1697" s="12" t="str">
        <f>Raw_Data!A1703</f>
        <v>25 Nov 2025 17:53:53</v>
      </c>
      <c r="B1697" s="12" t="str">
        <f t="shared" si="1"/>
        <v>November</v>
      </c>
      <c r="C1697" s="12">
        <f t="shared" si="2"/>
        <v>11</v>
      </c>
      <c r="D1697" s="12" t="str">
        <f>IFERROR(__xludf.DUMMYFUNCTION("IFERROR(IF(REGEXMATCH(LOWER(Raw_Data!C1703),""fixed deposit|owealth|savings|target""),""Fixed Deposit"",IF(REGEXMATCH(LOWER(Raw_Data!C1703),""airtime""),""Airtime"",IF(REGEXMATCH(LOWER(Raw_Data!C1703),""electronic money transfer levy""),""Electronic Money"&amp;" Transfer Levy"",IF(REGEXMATCH(LOWER(Raw_Data!C1703),""transfer|trf|send""),""Transfer"",""Other"")))),""Other"")"),"Transfer")</f>
        <v>Transfer</v>
      </c>
      <c r="E1697" s="20">
        <v>800.0</v>
      </c>
      <c r="F1697" s="20">
        <v>0.0</v>
      </c>
      <c r="G1697" s="12" t="str">
        <f t="shared" si="3"/>
        <v>Withdrawal</v>
      </c>
      <c r="H1697" s="12" t="str">
        <f>TEXT(Raw_Data!A1703,"hh:mm:ss")
</f>
        <v>17:53:53</v>
      </c>
      <c r="I1697" s="20">
        <f t="shared" si="4"/>
        <v>800</v>
      </c>
    </row>
    <row r="1698">
      <c r="A1698" s="12" t="str">
        <f>Raw_Data!A1704</f>
        <v>25 Nov 2025 17:55:05</v>
      </c>
      <c r="B1698" s="12" t="str">
        <f t="shared" si="1"/>
        <v>November</v>
      </c>
      <c r="C1698" s="12">
        <f t="shared" si="2"/>
        <v>11</v>
      </c>
      <c r="D1698" s="12" t="str">
        <f>IFERROR(__xludf.DUMMYFUNCTION("IFERROR(IF(REGEXMATCH(LOWER(Raw_Data!C1704),""fixed deposit|owealth|savings|target""),""Fixed Deposit"",IF(REGEXMATCH(LOWER(Raw_Data!C1704),""airtime""),""Airtime"",IF(REGEXMATCH(LOWER(Raw_Data!C1704),""electronic money transfer levy""),""Electronic Money"&amp;" Transfer Levy"",IF(REGEXMATCH(LOWER(Raw_Data!C1704),""transfer|trf|send""),""Transfer"",""Other"")))),""Other"")"),"Transfer")</f>
        <v>Transfer</v>
      </c>
      <c r="E1698" s="20">
        <v>12000.0</v>
      </c>
      <c r="F1698" s="20">
        <v>0.0</v>
      </c>
      <c r="G1698" s="12" t="str">
        <f t="shared" si="3"/>
        <v>Withdrawal</v>
      </c>
      <c r="H1698" s="12" t="str">
        <f>TEXT(Raw_Data!A1704,"hh:mm:ss")
</f>
        <v>17:55:05</v>
      </c>
      <c r="I1698" s="20">
        <f t="shared" si="4"/>
        <v>12000</v>
      </c>
    </row>
    <row r="1699">
      <c r="A1699" s="12" t="str">
        <f>Raw_Data!A1705</f>
        <v>25 Nov 2025 18:14:44</v>
      </c>
      <c r="B1699" s="12" t="str">
        <f t="shared" si="1"/>
        <v>November</v>
      </c>
      <c r="C1699" s="12">
        <f t="shared" si="2"/>
        <v>11</v>
      </c>
      <c r="D1699" s="12" t="str">
        <f>IFERROR(__xludf.DUMMYFUNCTION("IFERROR(IF(REGEXMATCH(LOWER(Raw_Data!C1705),""fixed deposit|owealth|savings|target""),""Fixed Deposit"",IF(REGEXMATCH(LOWER(Raw_Data!C1705),""airtime""),""Airtime"",IF(REGEXMATCH(LOWER(Raw_Data!C1705),""electronic money transfer levy""),""Electronic Money"&amp;" Transfer Levy"",IF(REGEXMATCH(LOWER(Raw_Data!C1705),""transfer|trf|send""),""Transfer"",""Other"")))),""Other"")"),"Transfer")</f>
        <v>Transfer</v>
      </c>
      <c r="E1699" s="20">
        <v>1200.0</v>
      </c>
      <c r="F1699" s="20">
        <v>0.0</v>
      </c>
      <c r="G1699" s="12" t="str">
        <f t="shared" si="3"/>
        <v>Withdrawal</v>
      </c>
      <c r="H1699" s="12" t="str">
        <f>TEXT(Raw_Data!A1705,"hh:mm:ss")
</f>
        <v>18:14:44</v>
      </c>
      <c r="I1699" s="20">
        <f t="shared" si="4"/>
        <v>1200</v>
      </c>
    </row>
    <row r="1700">
      <c r="A1700" s="12" t="str">
        <f>Raw_Data!A1706</f>
        <v>25 Nov 2025 18:16:34</v>
      </c>
      <c r="B1700" s="12" t="str">
        <f t="shared" si="1"/>
        <v>November</v>
      </c>
      <c r="C1700" s="12">
        <f t="shared" si="2"/>
        <v>11</v>
      </c>
      <c r="D1700" s="12" t="str">
        <f>IFERROR(__xludf.DUMMYFUNCTION("IFERROR(IF(REGEXMATCH(LOWER(Raw_Data!C1706),""fixed deposit|owealth|savings|target""),""Fixed Deposit"",IF(REGEXMATCH(LOWER(Raw_Data!C1706),""airtime""),""Airtime"",IF(REGEXMATCH(LOWER(Raw_Data!C1706),""electronic money transfer levy""),""Electronic Money"&amp;" Transfer Levy"",IF(REGEXMATCH(LOWER(Raw_Data!C1706),""transfer|trf|send""),""Transfer"",""Other"")))),""Other"")"),"Transfer")</f>
        <v>Transfer</v>
      </c>
      <c r="E1700" s="20">
        <v>800.0</v>
      </c>
      <c r="F1700" s="20">
        <v>0.0</v>
      </c>
      <c r="G1700" s="12" t="str">
        <f t="shared" si="3"/>
        <v>Withdrawal</v>
      </c>
      <c r="H1700" s="12" t="str">
        <f>TEXT(Raw_Data!A1706,"hh:mm:ss")
</f>
        <v>18:16:34</v>
      </c>
      <c r="I1700" s="20">
        <f t="shared" si="4"/>
        <v>800</v>
      </c>
    </row>
    <row r="1701">
      <c r="A1701" s="12" t="str">
        <f>Raw_Data!A1707</f>
        <v>25 Nov 2025 18:40:14</v>
      </c>
      <c r="B1701" s="12" t="str">
        <f t="shared" si="1"/>
        <v>November</v>
      </c>
      <c r="C1701" s="12">
        <f t="shared" si="2"/>
        <v>11</v>
      </c>
      <c r="D1701" s="12" t="str">
        <f>IFERROR(__xludf.DUMMYFUNCTION("IFERROR(IF(REGEXMATCH(LOWER(Raw_Data!C1707),""fixed deposit|owealth|savings|target""),""Fixed Deposit"",IF(REGEXMATCH(LOWER(Raw_Data!C1707),""airtime""),""Airtime"",IF(REGEXMATCH(LOWER(Raw_Data!C1707),""electronic money transfer levy""),""Electronic Money"&amp;" Transfer Levy"",IF(REGEXMATCH(LOWER(Raw_Data!C1707),""transfer|trf|send""),""Transfer"",""Other"")))),""Other"")"),"Transfer")</f>
        <v>Transfer</v>
      </c>
      <c r="E1701" s="20">
        <v>500.0</v>
      </c>
      <c r="F1701" s="20">
        <v>0.0</v>
      </c>
      <c r="G1701" s="12" t="str">
        <f t="shared" si="3"/>
        <v>Withdrawal</v>
      </c>
      <c r="H1701" s="12" t="str">
        <f>TEXT(Raw_Data!A1707,"hh:mm:ss")
</f>
        <v>18:40:14</v>
      </c>
      <c r="I1701" s="20">
        <f t="shared" si="4"/>
        <v>500</v>
      </c>
    </row>
    <row r="1702">
      <c r="A1702" s="12" t="str">
        <f>Raw_Data!A1708</f>
        <v>25 Nov 2025 18:59:03</v>
      </c>
      <c r="B1702" s="12" t="str">
        <f t="shared" si="1"/>
        <v>November</v>
      </c>
      <c r="C1702" s="12">
        <f t="shared" si="2"/>
        <v>11</v>
      </c>
      <c r="D1702" s="12" t="str">
        <f>IFERROR(__xludf.DUMMYFUNCTION("IFERROR(IF(REGEXMATCH(LOWER(Raw_Data!C1708),""fixed deposit|owealth|savings|target""),""Fixed Deposit"",IF(REGEXMATCH(LOWER(Raw_Data!C1708),""airtime""),""Airtime"",IF(REGEXMATCH(LOWER(Raw_Data!C1708),""electronic money transfer levy""),""Electronic Money"&amp;" Transfer Levy"",IF(REGEXMATCH(LOWER(Raw_Data!C1708),""transfer|trf|send""),""Transfer"",""Other"")))),""Other"")"),"Transfer")</f>
        <v>Transfer</v>
      </c>
      <c r="E1702" s="20">
        <v>260.0</v>
      </c>
      <c r="F1702" s="20">
        <v>0.0</v>
      </c>
      <c r="G1702" s="12" t="str">
        <f t="shared" si="3"/>
        <v>Withdrawal</v>
      </c>
      <c r="H1702" s="12" t="str">
        <f>TEXT(Raw_Data!A1708,"hh:mm:ss")
</f>
        <v>18:59:03</v>
      </c>
      <c r="I1702" s="20">
        <f t="shared" si="4"/>
        <v>260</v>
      </c>
    </row>
    <row r="1703">
      <c r="A1703" s="12" t="str">
        <f>Raw_Data!A1709</f>
        <v>26 Nov 2025 07:11:15</v>
      </c>
      <c r="B1703" s="12" t="str">
        <f t="shared" si="1"/>
        <v>November</v>
      </c>
      <c r="C1703" s="12">
        <f t="shared" si="2"/>
        <v>11</v>
      </c>
      <c r="D1703" s="12" t="str">
        <f>IFERROR(__xludf.DUMMYFUNCTION("IFERROR(IF(REGEXMATCH(LOWER(Raw_Data!C1709),""fixed deposit|owealth|savings|target""),""Fixed Deposit"",IF(REGEXMATCH(LOWER(Raw_Data!C1709),""airtime""),""Airtime"",IF(REGEXMATCH(LOWER(Raw_Data!C1709),""electronic money transfer levy""),""Electronic Money"&amp;" Transfer Levy"",IF(REGEXMATCH(LOWER(Raw_Data!C1709),""transfer|trf|send""),""Transfer"",""Other"")))),""Other"")"),"Fixed Deposit")</f>
        <v>Fixed Deposit</v>
      </c>
      <c r="E1703" s="20">
        <v>0.0</v>
      </c>
      <c r="F1703" s="20">
        <v>5001.71</v>
      </c>
      <c r="G1703" s="12" t="str">
        <f t="shared" si="3"/>
        <v>Deposit</v>
      </c>
      <c r="H1703" s="12" t="str">
        <f>TEXT(Raw_Data!A1709,"hh:mm:ss")
</f>
        <v>07:11:15</v>
      </c>
      <c r="I1703" s="20">
        <f t="shared" si="4"/>
        <v>5001.71</v>
      </c>
    </row>
    <row r="1704">
      <c r="A1704" s="12" t="str">
        <f>Raw_Data!A1710</f>
        <v>26 Nov 2025 07:11:53</v>
      </c>
      <c r="B1704" s="12" t="str">
        <f t="shared" si="1"/>
        <v>November</v>
      </c>
      <c r="C1704" s="12">
        <f t="shared" si="2"/>
        <v>11</v>
      </c>
      <c r="D1704" s="12" t="str">
        <f>IFERROR(__xludf.DUMMYFUNCTION("IFERROR(IF(REGEXMATCH(LOWER(Raw_Data!C1710),""fixed deposit|owealth|savings|target""),""Fixed Deposit"",IF(REGEXMATCH(LOWER(Raw_Data!C1710),""airtime""),""Airtime"",IF(REGEXMATCH(LOWER(Raw_Data!C1710),""electronic money transfer levy""),""Electronic Money"&amp;" Transfer Levy"",IF(REGEXMATCH(LOWER(Raw_Data!C1710),""transfer|trf|send""),""Transfer"",""Other"")))),""Other"")"),"Transfer")</f>
        <v>Transfer</v>
      </c>
      <c r="E1704" s="20">
        <v>3000.0</v>
      </c>
      <c r="F1704" s="20">
        <v>0.0</v>
      </c>
      <c r="G1704" s="12" t="str">
        <f t="shared" si="3"/>
        <v>Withdrawal</v>
      </c>
      <c r="H1704" s="12" t="str">
        <f>TEXT(Raw_Data!A1710,"hh:mm:ss")
</f>
        <v>07:11:53</v>
      </c>
      <c r="I1704" s="20">
        <f t="shared" si="4"/>
        <v>3000</v>
      </c>
    </row>
    <row r="1705">
      <c r="A1705" s="12" t="str">
        <f>Raw_Data!A1711</f>
        <v>26 Nov 2025 07:13:59</v>
      </c>
      <c r="B1705" s="12" t="str">
        <f t="shared" si="1"/>
        <v>November</v>
      </c>
      <c r="C1705" s="12">
        <f t="shared" si="2"/>
        <v>11</v>
      </c>
      <c r="D1705" s="12" t="str">
        <f>IFERROR(__xludf.DUMMYFUNCTION("IFERROR(IF(REGEXMATCH(LOWER(Raw_Data!C1711),""fixed deposit|owealth|savings|target""),""Fixed Deposit"",IF(REGEXMATCH(LOWER(Raw_Data!C1711),""airtime""),""Airtime"",IF(REGEXMATCH(LOWER(Raw_Data!C1711),""electronic money transfer levy""),""Electronic Money"&amp;" Transfer Levy"",IF(REGEXMATCH(LOWER(Raw_Data!C1711),""transfer|trf|send""),""Transfer"",""Other"")))),""Other"")"),"Airtime")</f>
        <v>Airtime</v>
      </c>
      <c r="E1705" s="20">
        <v>500.0</v>
      </c>
      <c r="F1705" s="20">
        <v>0.0</v>
      </c>
      <c r="G1705" s="12" t="str">
        <f t="shared" si="3"/>
        <v>Withdrawal</v>
      </c>
      <c r="H1705" s="12" t="str">
        <f>TEXT(Raw_Data!A1711,"hh:mm:ss")
</f>
        <v>07:13:59</v>
      </c>
      <c r="I1705" s="20">
        <f t="shared" si="4"/>
        <v>500</v>
      </c>
    </row>
    <row r="1706">
      <c r="A1706" s="12" t="str">
        <f>Raw_Data!A1712</f>
        <v>26 Nov 2025 07:26:33</v>
      </c>
      <c r="B1706" s="12" t="str">
        <f t="shared" si="1"/>
        <v>November</v>
      </c>
      <c r="C1706" s="12">
        <f t="shared" si="2"/>
        <v>11</v>
      </c>
      <c r="D1706" s="12" t="str">
        <f>IFERROR(__xludf.DUMMYFUNCTION("IFERROR(IF(REGEXMATCH(LOWER(Raw_Data!C1712),""fixed deposit|owealth|savings|target""),""Fixed Deposit"",IF(REGEXMATCH(LOWER(Raw_Data!C1712),""airtime""),""Airtime"",IF(REGEXMATCH(LOWER(Raw_Data!C1712),""electronic money transfer levy""),""Electronic Money"&amp;" Transfer Levy"",IF(REGEXMATCH(LOWER(Raw_Data!C1712),""transfer|trf|send""),""Transfer"",""Other"")))),""Other"")"),"Transfer")</f>
        <v>Transfer</v>
      </c>
      <c r="E1706" s="20">
        <v>1700.0</v>
      </c>
      <c r="F1706" s="20">
        <v>0.0</v>
      </c>
      <c r="G1706" s="12" t="str">
        <f t="shared" si="3"/>
        <v>Withdrawal</v>
      </c>
      <c r="H1706" s="12" t="str">
        <f>TEXT(Raw_Data!A1712,"hh:mm:ss")
</f>
        <v>07:26:33</v>
      </c>
      <c r="I1706" s="20">
        <f t="shared" si="4"/>
        <v>1700</v>
      </c>
    </row>
    <row r="1707">
      <c r="A1707" s="12" t="str">
        <f>Raw_Data!A1713</f>
        <v>26 Nov 2025 08:03:24</v>
      </c>
      <c r="B1707" s="12" t="str">
        <f t="shared" si="1"/>
        <v>November</v>
      </c>
      <c r="C1707" s="12">
        <f t="shared" si="2"/>
        <v>11</v>
      </c>
      <c r="D1707" s="12" t="str">
        <f>IFERROR(__xludf.DUMMYFUNCTION("IFERROR(IF(REGEXMATCH(LOWER(Raw_Data!C1713),""fixed deposit|owealth|savings|target""),""Fixed Deposit"",IF(REGEXMATCH(LOWER(Raw_Data!C1713),""airtime""),""Airtime"",IF(REGEXMATCH(LOWER(Raw_Data!C1713),""electronic money transfer levy""),""Electronic Money"&amp;" Transfer Levy"",IF(REGEXMATCH(LOWER(Raw_Data!C1713),""transfer|trf|send""),""Transfer"",""Other"")))),""Other"")"),"Transfer")</f>
        <v>Transfer</v>
      </c>
      <c r="E1707" s="20">
        <v>1000.0</v>
      </c>
      <c r="F1707" s="20">
        <v>0.0</v>
      </c>
      <c r="G1707" s="12" t="str">
        <f t="shared" si="3"/>
        <v>Withdrawal</v>
      </c>
      <c r="H1707" s="12" t="str">
        <f>TEXT(Raw_Data!A1713,"hh:mm:ss")
</f>
        <v>08:03:24</v>
      </c>
      <c r="I1707" s="20">
        <f t="shared" si="4"/>
        <v>1000</v>
      </c>
    </row>
    <row r="1708">
      <c r="A1708" s="12" t="str">
        <f>Raw_Data!A1714</f>
        <v>26 Nov 2025 09:19:01</v>
      </c>
      <c r="B1708" s="12" t="str">
        <f t="shared" si="1"/>
        <v>November</v>
      </c>
      <c r="C1708" s="12">
        <f t="shared" si="2"/>
        <v>11</v>
      </c>
      <c r="D1708" s="12" t="str">
        <f>IFERROR(__xludf.DUMMYFUNCTION("IFERROR(IF(REGEXMATCH(LOWER(Raw_Data!C1714),""fixed deposit|owealth|savings|target""),""Fixed Deposit"",IF(REGEXMATCH(LOWER(Raw_Data!C1714),""airtime""),""Airtime"",IF(REGEXMATCH(LOWER(Raw_Data!C1714),""electronic money transfer levy""),""Electronic Money"&amp;" Transfer Levy"",IF(REGEXMATCH(LOWER(Raw_Data!C1714),""transfer|trf|send""),""Transfer"",""Other"")))),""Other"")"),"Transfer")</f>
        <v>Transfer</v>
      </c>
      <c r="E1708" s="20">
        <v>0.0</v>
      </c>
      <c r="F1708" s="20">
        <v>500.0</v>
      </c>
      <c r="G1708" s="12" t="str">
        <f t="shared" si="3"/>
        <v>Deposit</v>
      </c>
      <c r="H1708" s="12" t="str">
        <f>TEXT(Raw_Data!A1714,"hh:mm:ss")
</f>
        <v>09:19:01</v>
      </c>
      <c r="I1708" s="20">
        <f t="shared" si="4"/>
        <v>500</v>
      </c>
    </row>
    <row r="1709">
      <c r="A1709" s="12" t="str">
        <f>Raw_Data!A1715</f>
        <v>26 Nov 2025 11:14:32</v>
      </c>
      <c r="B1709" s="12" t="str">
        <f t="shared" si="1"/>
        <v>November</v>
      </c>
      <c r="C1709" s="12">
        <f t="shared" si="2"/>
        <v>11</v>
      </c>
      <c r="D1709" s="12" t="str">
        <f>IFERROR(__xludf.DUMMYFUNCTION("IFERROR(IF(REGEXMATCH(LOWER(Raw_Data!C1715),""fixed deposit|owealth|savings|target""),""Fixed Deposit"",IF(REGEXMATCH(LOWER(Raw_Data!C1715),""airtime""),""Airtime"",IF(REGEXMATCH(LOWER(Raw_Data!C1715),""electronic money transfer levy""),""Electronic Money"&amp;" Transfer Levy"",IF(REGEXMATCH(LOWER(Raw_Data!C1715),""transfer|trf|send""),""Transfer"",""Other"")))),""Other"")"),"Transfer")</f>
        <v>Transfer</v>
      </c>
      <c r="E1709" s="20">
        <v>450.0</v>
      </c>
      <c r="F1709" s="20">
        <v>0.0</v>
      </c>
      <c r="G1709" s="12" t="str">
        <f t="shared" si="3"/>
        <v>Withdrawal</v>
      </c>
      <c r="H1709" s="12" t="str">
        <f>TEXT(Raw_Data!A1715,"hh:mm:ss")
</f>
        <v>11:14:32</v>
      </c>
      <c r="I1709" s="20">
        <f t="shared" si="4"/>
        <v>450</v>
      </c>
    </row>
    <row r="1710">
      <c r="A1710" s="12" t="str">
        <f>Raw_Data!A1716</f>
        <v>26 Nov 2025 12:33:04</v>
      </c>
      <c r="B1710" s="12" t="str">
        <f t="shared" si="1"/>
        <v>November</v>
      </c>
      <c r="C1710" s="12">
        <f t="shared" si="2"/>
        <v>11</v>
      </c>
      <c r="D1710" s="12" t="str">
        <f>IFERROR(__xludf.DUMMYFUNCTION("IFERROR(IF(REGEXMATCH(LOWER(Raw_Data!C1716),""fixed deposit|owealth|savings|target""),""Fixed Deposit"",IF(REGEXMATCH(LOWER(Raw_Data!C1716),""airtime""),""Airtime"",IF(REGEXMATCH(LOWER(Raw_Data!C1716),""electronic money transfer levy""),""Electronic Money"&amp;" Transfer Levy"",IF(REGEXMATCH(LOWER(Raw_Data!C1716),""transfer|trf|send""),""Transfer"",""Other"")))),""Other"")"),"Airtime")</f>
        <v>Airtime</v>
      </c>
      <c r="E1710" s="20">
        <v>500.0</v>
      </c>
      <c r="F1710" s="20">
        <v>0.0</v>
      </c>
      <c r="G1710" s="12" t="str">
        <f t="shared" si="3"/>
        <v>Withdrawal</v>
      </c>
      <c r="H1710" s="12" t="str">
        <f>TEXT(Raw_Data!A1716,"hh:mm:ss")
</f>
        <v>12:33:04</v>
      </c>
      <c r="I1710" s="20">
        <f t="shared" si="4"/>
        <v>500</v>
      </c>
    </row>
    <row r="1711">
      <c r="A1711" s="12" t="str">
        <f>Raw_Data!A1717</f>
        <v>26 Nov 2025 13:12:01</v>
      </c>
      <c r="B1711" s="12" t="str">
        <f t="shared" si="1"/>
        <v>November</v>
      </c>
      <c r="C1711" s="12">
        <f t="shared" si="2"/>
        <v>11</v>
      </c>
      <c r="D1711" s="12" t="str">
        <f>IFERROR(__xludf.DUMMYFUNCTION("IFERROR(IF(REGEXMATCH(LOWER(Raw_Data!C1717),""fixed deposit|owealth|savings|target""),""Fixed Deposit"",IF(REGEXMATCH(LOWER(Raw_Data!C1717),""airtime""),""Airtime"",IF(REGEXMATCH(LOWER(Raw_Data!C1717),""electronic money transfer levy""),""Electronic Money"&amp;" Transfer Levy"",IF(REGEXMATCH(LOWER(Raw_Data!C1717),""transfer|trf|send""),""Transfer"",""Other"")))),""Other"")"),"Airtime")</f>
        <v>Airtime</v>
      </c>
      <c r="E1711" s="20">
        <v>500.0</v>
      </c>
      <c r="F1711" s="20">
        <v>0.0</v>
      </c>
      <c r="G1711" s="12" t="str">
        <f t="shared" si="3"/>
        <v>Withdrawal</v>
      </c>
      <c r="H1711" s="12" t="str">
        <f>TEXT(Raw_Data!A1717,"hh:mm:ss")
</f>
        <v>13:12:01</v>
      </c>
      <c r="I1711" s="20">
        <f t="shared" si="4"/>
        <v>500</v>
      </c>
    </row>
    <row r="1712">
      <c r="A1712" s="12" t="str">
        <f>Raw_Data!A1718</f>
        <v>26 Nov 2025 16:45:23</v>
      </c>
      <c r="B1712" s="12" t="str">
        <f t="shared" si="1"/>
        <v>November</v>
      </c>
      <c r="C1712" s="12">
        <f t="shared" si="2"/>
        <v>11</v>
      </c>
      <c r="D1712" s="12" t="str">
        <f>IFERROR(__xludf.DUMMYFUNCTION("IFERROR(IF(REGEXMATCH(LOWER(Raw_Data!C1718),""fixed deposit|owealth|savings|target""),""Fixed Deposit"",IF(REGEXMATCH(LOWER(Raw_Data!C1718),""airtime""),""Airtime"",IF(REGEXMATCH(LOWER(Raw_Data!C1718),""electronic money transfer levy""),""Electronic Money"&amp;" Transfer Levy"",IF(REGEXMATCH(LOWER(Raw_Data!C1718),""transfer|trf|send""),""Transfer"",""Other"")))),""Other"")"),"Transfer")</f>
        <v>Transfer</v>
      </c>
      <c r="E1712" s="20">
        <v>300.0</v>
      </c>
      <c r="F1712" s="20">
        <v>0.0</v>
      </c>
      <c r="G1712" s="12" t="str">
        <f t="shared" si="3"/>
        <v>Withdrawal</v>
      </c>
      <c r="H1712" s="12" t="str">
        <f>TEXT(Raw_Data!A1718,"hh:mm:ss")
</f>
        <v>16:45:23</v>
      </c>
      <c r="I1712" s="20">
        <f t="shared" si="4"/>
        <v>300</v>
      </c>
    </row>
    <row r="1713">
      <c r="A1713" s="12" t="str">
        <f>Raw_Data!A1719</f>
        <v>26 Nov 2025 16:45:41</v>
      </c>
      <c r="B1713" s="12" t="str">
        <f t="shared" si="1"/>
        <v>November</v>
      </c>
      <c r="C1713" s="12">
        <f t="shared" si="2"/>
        <v>11</v>
      </c>
      <c r="D1713" s="12" t="str">
        <f>IFERROR(__xludf.DUMMYFUNCTION("IFERROR(IF(REGEXMATCH(LOWER(Raw_Data!C1719),""fixed deposit|owealth|savings|target""),""Fixed Deposit"",IF(REGEXMATCH(LOWER(Raw_Data!C1719),""airtime""),""Airtime"",IF(REGEXMATCH(LOWER(Raw_Data!C1719),""electronic money transfer levy""),""Electronic Money"&amp;" Transfer Levy"",IF(REGEXMATCH(LOWER(Raw_Data!C1719),""transfer|trf|send""),""Transfer"",""Other"")))),""Other"")"),"Transfer")</f>
        <v>Transfer</v>
      </c>
      <c r="E1713" s="20">
        <v>250.0</v>
      </c>
      <c r="F1713" s="20">
        <v>0.0</v>
      </c>
      <c r="G1713" s="12" t="str">
        <f t="shared" si="3"/>
        <v>Withdrawal</v>
      </c>
      <c r="H1713" s="12" t="str">
        <f>TEXT(Raw_Data!A1719,"hh:mm:ss")
</f>
        <v>16:45:41</v>
      </c>
      <c r="I1713" s="20">
        <f t="shared" si="4"/>
        <v>250</v>
      </c>
    </row>
    <row r="1714">
      <c r="A1714" s="12" t="str">
        <f>Raw_Data!A1720</f>
        <v>27 Nov 2025 08:59:52</v>
      </c>
      <c r="B1714" s="12" t="str">
        <f t="shared" si="1"/>
        <v>November</v>
      </c>
      <c r="C1714" s="12">
        <f t="shared" si="2"/>
        <v>11</v>
      </c>
      <c r="D1714" s="12" t="str">
        <f>IFERROR(__xludf.DUMMYFUNCTION("IFERROR(IF(REGEXMATCH(LOWER(Raw_Data!C1720),""fixed deposit|owealth|savings|target""),""Fixed Deposit"",IF(REGEXMATCH(LOWER(Raw_Data!C1720),""airtime""),""Airtime"",IF(REGEXMATCH(LOWER(Raw_Data!C1720),""electronic money transfer levy""),""Electronic Money"&amp;" Transfer Levy"",IF(REGEXMATCH(LOWER(Raw_Data!C1720),""transfer|trf|send""),""Transfer"",""Other"")))),""Other"")"),"Transfer")</f>
        <v>Transfer</v>
      </c>
      <c r="E1714" s="20">
        <v>3000.0</v>
      </c>
      <c r="F1714" s="20">
        <v>0.0</v>
      </c>
      <c r="G1714" s="12" t="str">
        <f t="shared" si="3"/>
        <v>Withdrawal</v>
      </c>
      <c r="H1714" s="12" t="str">
        <f>TEXT(Raw_Data!A1720,"hh:mm:ss")
</f>
        <v>08:59:52</v>
      </c>
      <c r="I1714" s="20">
        <f t="shared" si="4"/>
        <v>3000</v>
      </c>
    </row>
    <row r="1715">
      <c r="A1715" s="12" t="str">
        <f>Raw_Data!A1721</f>
        <v>27 Nov 2025 18:10:20</v>
      </c>
      <c r="B1715" s="12" t="str">
        <f t="shared" si="1"/>
        <v>November</v>
      </c>
      <c r="C1715" s="12">
        <f t="shared" si="2"/>
        <v>11</v>
      </c>
      <c r="D1715" s="12" t="str">
        <f>IFERROR(__xludf.DUMMYFUNCTION("IFERROR(IF(REGEXMATCH(LOWER(Raw_Data!C1721),""fixed deposit|owealth|savings|target""),""Fixed Deposit"",IF(REGEXMATCH(LOWER(Raw_Data!C1721),""airtime""),""Airtime"",IF(REGEXMATCH(LOWER(Raw_Data!C1721),""electronic money transfer levy""),""Electronic Money"&amp;" Transfer Levy"",IF(REGEXMATCH(LOWER(Raw_Data!C1721),""transfer|trf|send""),""Transfer"",""Other"")))),""Other"")"),"Transfer")</f>
        <v>Transfer</v>
      </c>
      <c r="E1715" s="20">
        <v>0.0</v>
      </c>
      <c r="F1715" s="20">
        <v>62000.0</v>
      </c>
      <c r="G1715" s="12" t="str">
        <f t="shared" si="3"/>
        <v>Deposit</v>
      </c>
      <c r="H1715" s="12" t="str">
        <f>TEXT(Raw_Data!A1721,"hh:mm:ss")
</f>
        <v>18:10:20</v>
      </c>
      <c r="I1715" s="20">
        <f t="shared" si="4"/>
        <v>62000</v>
      </c>
    </row>
    <row r="1716">
      <c r="A1716" s="12" t="str">
        <f>Raw_Data!A1722</f>
        <v>27 Nov 2025 18:11:52</v>
      </c>
      <c r="B1716" s="12" t="str">
        <f t="shared" si="1"/>
        <v>November</v>
      </c>
      <c r="C1716" s="12">
        <f t="shared" si="2"/>
        <v>11</v>
      </c>
      <c r="D1716" s="12" t="str">
        <f>IFERROR(__xludf.DUMMYFUNCTION("IFERROR(IF(REGEXMATCH(LOWER(Raw_Data!C1722),""fixed deposit|owealth|savings|target""),""Fixed Deposit"",IF(REGEXMATCH(LOWER(Raw_Data!C1722),""airtime""),""Airtime"",IF(REGEXMATCH(LOWER(Raw_Data!C1722),""electronic money transfer levy""),""Electronic Money"&amp;" Transfer Levy"",IF(REGEXMATCH(LOWER(Raw_Data!C1722),""transfer|trf|send""),""Transfer"",""Other"")))),""Other"")"),"Electronic Money Transfer Levy")</f>
        <v>Electronic Money Transfer Levy</v>
      </c>
      <c r="E1716" s="20">
        <v>50.0</v>
      </c>
      <c r="F1716" s="20">
        <v>0.0</v>
      </c>
      <c r="G1716" s="12" t="str">
        <f t="shared" si="3"/>
        <v>Withdrawal</v>
      </c>
      <c r="H1716" s="12" t="str">
        <f>TEXT(Raw_Data!A1722,"hh:mm:ss")
</f>
        <v>18:11:52</v>
      </c>
      <c r="I1716" s="20">
        <f t="shared" si="4"/>
        <v>50</v>
      </c>
    </row>
    <row r="1717">
      <c r="A1717" s="12" t="str">
        <f>Raw_Data!A1723</f>
        <v>27 Nov 2025 19:05:37</v>
      </c>
      <c r="B1717" s="12" t="str">
        <f t="shared" si="1"/>
        <v>November</v>
      </c>
      <c r="C1717" s="12">
        <f t="shared" si="2"/>
        <v>11</v>
      </c>
      <c r="D1717" s="12" t="str">
        <f>IFERROR(__xludf.DUMMYFUNCTION("IFERROR(IF(REGEXMATCH(LOWER(Raw_Data!C1723),""fixed deposit|owealth|savings|target""),""Fixed Deposit"",IF(REGEXMATCH(LOWER(Raw_Data!C1723),""airtime""),""Airtime"",IF(REGEXMATCH(LOWER(Raw_Data!C1723),""electronic money transfer levy""),""Electronic Money"&amp;" Transfer Levy"",IF(REGEXMATCH(LOWER(Raw_Data!C1723),""transfer|trf|send""),""Transfer"",""Other"")))),""Other"")"),"Other")</f>
        <v>Other</v>
      </c>
      <c r="E1717" s="20">
        <v>12478.0</v>
      </c>
      <c r="F1717" s="20">
        <v>0.0</v>
      </c>
      <c r="G1717" s="12" t="str">
        <f t="shared" si="3"/>
        <v>Withdrawal</v>
      </c>
      <c r="H1717" s="12" t="str">
        <f>TEXT(Raw_Data!A1723,"hh:mm:ss")
</f>
        <v>19:05:37</v>
      </c>
      <c r="I1717" s="20">
        <f t="shared" si="4"/>
        <v>12478</v>
      </c>
    </row>
    <row r="1718">
      <c r="A1718" s="12" t="str">
        <f>Raw_Data!A1724</f>
        <v>27 Nov 2025 19:05:54</v>
      </c>
      <c r="B1718" s="12" t="str">
        <f t="shared" si="1"/>
        <v>November</v>
      </c>
      <c r="C1718" s="12">
        <f t="shared" si="2"/>
        <v>11</v>
      </c>
      <c r="D1718" s="12" t="str">
        <f>IFERROR(__xludf.DUMMYFUNCTION("IFERROR(IF(REGEXMATCH(LOWER(Raw_Data!C1724),""fixed deposit|owealth|savings|target""),""Fixed Deposit"",IF(REGEXMATCH(LOWER(Raw_Data!C1724),""airtime""),""Airtime"",IF(REGEXMATCH(LOWER(Raw_Data!C1724),""electronic money transfer levy""),""Electronic Money"&amp;" Transfer Levy"",IF(REGEXMATCH(LOWER(Raw_Data!C1724),""transfer|trf|send""),""Transfer"",""Other"")))),""Other"")"),"Other")</f>
        <v>Other</v>
      </c>
      <c r="E1718" s="20">
        <v>2496.0</v>
      </c>
      <c r="F1718" s="20">
        <v>0.0</v>
      </c>
      <c r="G1718" s="12" t="str">
        <f t="shared" si="3"/>
        <v>Withdrawal</v>
      </c>
      <c r="H1718" s="12" t="str">
        <f>TEXT(Raw_Data!A1724,"hh:mm:ss")
</f>
        <v>19:05:54</v>
      </c>
      <c r="I1718" s="20">
        <f t="shared" si="4"/>
        <v>2496</v>
      </c>
    </row>
    <row r="1719">
      <c r="A1719" s="12" t="str">
        <f>Raw_Data!A1725</f>
        <v>27 Nov 2025 19:06:30</v>
      </c>
      <c r="B1719" s="12" t="str">
        <f t="shared" si="1"/>
        <v>November</v>
      </c>
      <c r="C1719" s="12">
        <f t="shared" si="2"/>
        <v>11</v>
      </c>
      <c r="D1719" s="12" t="str">
        <f>IFERROR(__xludf.DUMMYFUNCTION("IFERROR(IF(REGEXMATCH(LOWER(Raw_Data!C1725),""fixed deposit|owealth|savings|target""),""Fixed Deposit"",IF(REGEXMATCH(LOWER(Raw_Data!C1725),""airtime""),""Airtime"",IF(REGEXMATCH(LOWER(Raw_Data!C1725),""electronic money transfer levy""),""Electronic Money"&amp;" Transfer Levy"",IF(REGEXMATCH(LOWER(Raw_Data!C1725),""transfer|trf|send""),""Transfer"",""Other"")))),""Other"")"),"Transfer")</f>
        <v>Transfer</v>
      </c>
      <c r="E1719" s="20">
        <v>5000.0</v>
      </c>
      <c r="F1719" s="20">
        <v>0.0</v>
      </c>
      <c r="G1719" s="12" t="str">
        <f t="shared" si="3"/>
        <v>Withdrawal</v>
      </c>
      <c r="H1719" s="12" t="str">
        <f>TEXT(Raw_Data!A1725,"hh:mm:ss")
</f>
        <v>19:06:30</v>
      </c>
      <c r="I1719" s="20">
        <f t="shared" si="4"/>
        <v>5000</v>
      </c>
    </row>
    <row r="1720">
      <c r="A1720" s="12" t="str">
        <f>Raw_Data!A1726</f>
        <v>27 Nov 2025 20:06:57</v>
      </c>
      <c r="B1720" s="12" t="str">
        <f t="shared" si="1"/>
        <v>November</v>
      </c>
      <c r="C1720" s="12">
        <f t="shared" si="2"/>
        <v>11</v>
      </c>
      <c r="D1720" s="12" t="str">
        <f>IFERROR(__xludf.DUMMYFUNCTION("IFERROR(IF(REGEXMATCH(LOWER(Raw_Data!C1726),""fixed deposit|owealth|savings|target""),""Fixed Deposit"",IF(REGEXMATCH(LOWER(Raw_Data!C1726),""airtime""),""Airtime"",IF(REGEXMATCH(LOWER(Raw_Data!C1726),""electronic money transfer levy""),""Electronic Money"&amp;" Transfer Levy"",IF(REGEXMATCH(LOWER(Raw_Data!C1726),""transfer|trf|send""),""Transfer"",""Other"")))),""Other"")"),"Transfer")</f>
        <v>Transfer</v>
      </c>
      <c r="E1720" s="20">
        <v>22000.0</v>
      </c>
      <c r="F1720" s="20">
        <v>0.0</v>
      </c>
      <c r="G1720" s="12" t="str">
        <f t="shared" si="3"/>
        <v>Withdrawal</v>
      </c>
      <c r="H1720" s="12" t="str">
        <f>TEXT(Raw_Data!A1726,"hh:mm:ss")
</f>
        <v>20:06:57</v>
      </c>
      <c r="I1720" s="20">
        <f t="shared" si="4"/>
        <v>22000</v>
      </c>
    </row>
    <row r="1721">
      <c r="A1721" s="12" t="str">
        <f>Raw_Data!A1727</f>
        <v>27 Nov 2025 21:13:31</v>
      </c>
      <c r="B1721" s="12" t="str">
        <f t="shared" si="1"/>
        <v>November</v>
      </c>
      <c r="C1721" s="12">
        <f t="shared" si="2"/>
        <v>11</v>
      </c>
      <c r="D1721" s="12" t="str">
        <f>IFERROR(__xludf.DUMMYFUNCTION("IFERROR(IF(REGEXMATCH(LOWER(Raw_Data!C1727),""fixed deposit|owealth|savings|target""),""Fixed Deposit"",IF(REGEXMATCH(LOWER(Raw_Data!C1727),""airtime""),""Airtime"",IF(REGEXMATCH(LOWER(Raw_Data!C1727),""electronic money transfer levy""),""Electronic Money"&amp;" Transfer Levy"",IF(REGEXMATCH(LOWER(Raw_Data!C1727),""transfer|trf|send""),""Transfer"",""Other"")))),""Other"")"),"Transfer")</f>
        <v>Transfer</v>
      </c>
      <c r="E1721" s="20">
        <v>500.0</v>
      </c>
      <c r="F1721" s="20">
        <v>0.0</v>
      </c>
      <c r="G1721" s="12" t="str">
        <f t="shared" si="3"/>
        <v>Withdrawal</v>
      </c>
      <c r="H1721" s="12" t="str">
        <f>TEXT(Raw_Data!A1727,"hh:mm:ss")
</f>
        <v>21:13:31</v>
      </c>
      <c r="I1721" s="20">
        <f t="shared" si="4"/>
        <v>500</v>
      </c>
    </row>
    <row r="1722">
      <c r="A1722" s="12" t="str">
        <f>Raw_Data!A1728</f>
        <v>27 Nov 2025 21:14:14</v>
      </c>
      <c r="B1722" s="12" t="str">
        <f t="shared" si="1"/>
        <v>November</v>
      </c>
      <c r="C1722" s="12">
        <f t="shared" si="2"/>
        <v>11</v>
      </c>
      <c r="D1722" s="12" t="str">
        <f>IFERROR(__xludf.DUMMYFUNCTION("IFERROR(IF(REGEXMATCH(LOWER(Raw_Data!C1728),""fixed deposit|owealth|savings|target""),""Fixed Deposit"",IF(REGEXMATCH(LOWER(Raw_Data!C1728),""airtime""),""Airtime"",IF(REGEXMATCH(LOWER(Raw_Data!C1728),""electronic money transfer levy""),""Electronic Money"&amp;" Transfer Levy"",IF(REGEXMATCH(LOWER(Raw_Data!C1728),""transfer|trf|send""),""Transfer"",""Other"")))),""Other"")"),"Transfer")</f>
        <v>Transfer</v>
      </c>
      <c r="E1722" s="20">
        <v>5000.0</v>
      </c>
      <c r="F1722" s="20">
        <v>0.0</v>
      </c>
      <c r="G1722" s="12" t="str">
        <f t="shared" si="3"/>
        <v>Withdrawal</v>
      </c>
      <c r="H1722" s="12" t="str">
        <f>TEXT(Raw_Data!A1728,"hh:mm:ss")
</f>
        <v>21:14:14</v>
      </c>
      <c r="I1722" s="20">
        <f t="shared" si="4"/>
        <v>5000</v>
      </c>
    </row>
    <row r="1723">
      <c r="A1723" s="12" t="str">
        <f>Raw_Data!A1729</f>
        <v>27 Nov 2025 21:38:13</v>
      </c>
      <c r="B1723" s="12" t="str">
        <f t="shared" si="1"/>
        <v>November</v>
      </c>
      <c r="C1723" s="12">
        <f t="shared" si="2"/>
        <v>11</v>
      </c>
      <c r="D1723" s="12" t="str">
        <f>IFERROR(__xludf.DUMMYFUNCTION("IFERROR(IF(REGEXMATCH(LOWER(Raw_Data!C1729),""fixed deposit|owealth|savings|target""),""Fixed Deposit"",IF(REGEXMATCH(LOWER(Raw_Data!C1729),""airtime""),""Airtime"",IF(REGEXMATCH(LOWER(Raw_Data!C1729),""electronic money transfer levy""),""Electronic Money"&amp;" Transfer Levy"",IF(REGEXMATCH(LOWER(Raw_Data!C1729),""transfer|trf|send""),""Transfer"",""Other"")))),""Other"")"),"Airtime")</f>
        <v>Airtime</v>
      </c>
      <c r="E1723" s="20">
        <v>11000.0</v>
      </c>
      <c r="F1723" s="20">
        <v>0.0</v>
      </c>
      <c r="G1723" s="12" t="str">
        <f t="shared" si="3"/>
        <v>Withdrawal</v>
      </c>
      <c r="H1723" s="12" t="str">
        <f>TEXT(Raw_Data!A1729,"hh:mm:ss")
</f>
        <v>21:38:13</v>
      </c>
      <c r="I1723" s="20">
        <f t="shared" si="4"/>
        <v>11000</v>
      </c>
    </row>
    <row r="1724">
      <c r="A1724" s="12" t="str">
        <f>Raw_Data!A1730</f>
        <v>28 Nov 2025 12:59:19</v>
      </c>
      <c r="B1724" s="12" t="str">
        <f t="shared" si="1"/>
        <v>November</v>
      </c>
      <c r="C1724" s="12">
        <f t="shared" si="2"/>
        <v>11</v>
      </c>
      <c r="D1724" s="12" t="str">
        <f>IFERROR(__xludf.DUMMYFUNCTION("IFERROR(IF(REGEXMATCH(LOWER(Raw_Data!C1730),""fixed deposit|owealth|savings|target""),""Fixed Deposit"",IF(REGEXMATCH(LOWER(Raw_Data!C1730),""airtime""),""Airtime"",IF(REGEXMATCH(LOWER(Raw_Data!C1730),""electronic money transfer levy""),""Electronic Money"&amp;" Transfer Levy"",IF(REGEXMATCH(LOWER(Raw_Data!C1730),""transfer|trf|send""),""Transfer"",""Other"")))),""Other"")"),"Transfer")</f>
        <v>Transfer</v>
      </c>
      <c r="E1724" s="20">
        <v>1000.0</v>
      </c>
      <c r="F1724" s="20">
        <v>0.0</v>
      </c>
      <c r="G1724" s="12" t="str">
        <f t="shared" si="3"/>
        <v>Withdrawal</v>
      </c>
      <c r="H1724" s="12" t="str">
        <f>TEXT(Raw_Data!A1730,"hh:mm:ss")
</f>
        <v>12:59:19</v>
      </c>
      <c r="I1724" s="20">
        <f t="shared" si="4"/>
        <v>1000</v>
      </c>
    </row>
    <row r="1725">
      <c r="A1725" s="12" t="str">
        <f>Raw_Data!A1731</f>
        <v>28 Nov 2025 13:01:22</v>
      </c>
      <c r="B1725" s="12" t="str">
        <f t="shared" si="1"/>
        <v>November</v>
      </c>
      <c r="C1725" s="12">
        <f t="shared" si="2"/>
        <v>11</v>
      </c>
      <c r="D1725" s="12" t="str">
        <f>IFERROR(__xludf.DUMMYFUNCTION("IFERROR(IF(REGEXMATCH(LOWER(Raw_Data!C1731),""fixed deposit|owealth|savings|target""),""Fixed Deposit"",IF(REGEXMATCH(LOWER(Raw_Data!C1731),""airtime""),""Airtime"",IF(REGEXMATCH(LOWER(Raw_Data!C1731),""electronic money transfer levy""),""Electronic Money"&amp;" Transfer Levy"",IF(REGEXMATCH(LOWER(Raw_Data!C1731),""transfer|trf|send""),""Transfer"",""Other"")))),""Other"")"),"Transfer")</f>
        <v>Transfer</v>
      </c>
      <c r="E1725" s="20">
        <v>0.0</v>
      </c>
      <c r="F1725" s="20">
        <v>2000.0</v>
      </c>
      <c r="G1725" s="12" t="str">
        <f t="shared" si="3"/>
        <v>Deposit</v>
      </c>
      <c r="H1725" s="12" t="str">
        <f>TEXT(Raw_Data!A1731,"hh:mm:ss")
</f>
        <v>13:01:22</v>
      </c>
      <c r="I1725" s="20">
        <f t="shared" si="4"/>
        <v>2000</v>
      </c>
    </row>
    <row r="1726">
      <c r="A1726" s="12" t="str">
        <f>Raw_Data!A1732</f>
        <v>28 Nov 2025 13:01:34</v>
      </c>
      <c r="B1726" s="12" t="str">
        <f t="shared" si="1"/>
        <v>November</v>
      </c>
      <c r="C1726" s="12">
        <f t="shared" si="2"/>
        <v>11</v>
      </c>
      <c r="D1726" s="12" t="str">
        <f>IFERROR(__xludf.DUMMYFUNCTION("IFERROR(IF(REGEXMATCH(LOWER(Raw_Data!C1732),""fixed deposit|owealth|savings|target""),""Fixed Deposit"",IF(REGEXMATCH(LOWER(Raw_Data!C1732),""airtime""),""Airtime"",IF(REGEXMATCH(LOWER(Raw_Data!C1732),""electronic money transfer levy""),""Electronic Money"&amp;" Transfer Levy"",IF(REGEXMATCH(LOWER(Raw_Data!C1732),""transfer|trf|send""),""Transfer"",""Other"")))),""Other"")"),"Transfer")</f>
        <v>Transfer</v>
      </c>
      <c r="E1726" s="20">
        <v>500.0</v>
      </c>
      <c r="F1726" s="20">
        <v>0.0</v>
      </c>
      <c r="G1726" s="12" t="str">
        <f t="shared" si="3"/>
        <v>Withdrawal</v>
      </c>
      <c r="H1726" s="12" t="str">
        <f>TEXT(Raw_Data!A1732,"hh:mm:ss")
</f>
        <v>13:01:34</v>
      </c>
      <c r="I1726" s="20">
        <f t="shared" si="4"/>
        <v>500</v>
      </c>
    </row>
    <row r="1727">
      <c r="A1727" s="12" t="str">
        <f>Raw_Data!A1733</f>
        <v>28 Nov 2025 13:07:45</v>
      </c>
      <c r="B1727" s="12" t="str">
        <f t="shared" si="1"/>
        <v>November</v>
      </c>
      <c r="C1727" s="12">
        <f t="shared" si="2"/>
        <v>11</v>
      </c>
      <c r="D1727" s="12" t="str">
        <f>IFERROR(__xludf.DUMMYFUNCTION("IFERROR(IF(REGEXMATCH(LOWER(Raw_Data!C1733),""fixed deposit|owealth|savings|target""),""Fixed Deposit"",IF(REGEXMATCH(LOWER(Raw_Data!C1733),""airtime""),""Airtime"",IF(REGEXMATCH(LOWER(Raw_Data!C1733),""electronic money transfer levy""),""Electronic Money"&amp;" Transfer Levy"",IF(REGEXMATCH(LOWER(Raw_Data!C1733),""transfer|trf|send""),""Transfer"",""Other"")))),""Other"")"),"Transfer")</f>
        <v>Transfer</v>
      </c>
      <c r="E1727" s="20">
        <v>50.0</v>
      </c>
      <c r="F1727" s="20">
        <v>0.0</v>
      </c>
      <c r="G1727" s="12" t="str">
        <f t="shared" si="3"/>
        <v>Withdrawal</v>
      </c>
      <c r="H1727" s="12" t="str">
        <f>TEXT(Raw_Data!A1733,"hh:mm:ss")
</f>
        <v>13:07:45</v>
      </c>
      <c r="I1727" s="20">
        <f t="shared" si="4"/>
        <v>50</v>
      </c>
    </row>
    <row r="1728">
      <c r="A1728" s="12" t="str">
        <f>Raw_Data!A1734</f>
        <v>28 Nov 2025 13:12:33</v>
      </c>
      <c r="B1728" s="12" t="str">
        <f t="shared" si="1"/>
        <v>November</v>
      </c>
      <c r="C1728" s="12">
        <f t="shared" si="2"/>
        <v>11</v>
      </c>
      <c r="D1728" s="12" t="str">
        <f>IFERROR(__xludf.DUMMYFUNCTION("IFERROR(IF(REGEXMATCH(LOWER(Raw_Data!C1734),""fixed deposit|owealth|savings|target""),""Fixed Deposit"",IF(REGEXMATCH(LOWER(Raw_Data!C1734),""airtime""),""Airtime"",IF(REGEXMATCH(LOWER(Raw_Data!C1734),""electronic money transfer levy""),""Electronic Money"&amp;" Transfer Levy"",IF(REGEXMATCH(LOWER(Raw_Data!C1734),""transfer|trf|send""),""Transfer"",""Other"")))),""Other"")"),"Transfer")</f>
        <v>Transfer</v>
      </c>
      <c r="E1728" s="20">
        <v>500.0</v>
      </c>
      <c r="F1728" s="20">
        <v>0.0</v>
      </c>
      <c r="G1728" s="12" t="str">
        <f t="shared" si="3"/>
        <v>Withdrawal</v>
      </c>
      <c r="H1728" s="12" t="str">
        <f>TEXT(Raw_Data!A1734,"hh:mm:ss")
</f>
        <v>13:12:33</v>
      </c>
      <c r="I1728" s="20">
        <f t="shared" si="4"/>
        <v>500</v>
      </c>
    </row>
    <row r="1729">
      <c r="A1729" s="12" t="str">
        <f>Raw_Data!A1735</f>
        <v>28 Nov 2025 13:42:01</v>
      </c>
      <c r="B1729" s="12" t="str">
        <f t="shared" si="1"/>
        <v>November</v>
      </c>
      <c r="C1729" s="12">
        <f t="shared" si="2"/>
        <v>11</v>
      </c>
      <c r="D1729" s="12" t="str">
        <f>IFERROR(__xludf.DUMMYFUNCTION("IFERROR(IF(REGEXMATCH(LOWER(Raw_Data!C1735),""fixed deposit|owealth|savings|target""),""Fixed Deposit"",IF(REGEXMATCH(LOWER(Raw_Data!C1735),""airtime""),""Airtime"",IF(REGEXMATCH(LOWER(Raw_Data!C1735),""electronic money transfer levy""),""Electronic Money"&amp;" Transfer Levy"",IF(REGEXMATCH(LOWER(Raw_Data!C1735),""transfer|trf|send""),""Transfer"",""Other"")))),""Other"")"),"Transfer")</f>
        <v>Transfer</v>
      </c>
      <c r="E1729" s="20">
        <v>200.0</v>
      </c>
      <c r="F1729" s="20">
        <v>0.0</v>
      </c>
      <c r="G1729" s="12" t="str">
        <f t="shared" si="3"/>
        <v>Withdrawal</v>
      </c>
      <c r="H1729" s="12" t="str">
        <f>TEXT(Raw_Data!A1735,"hh:mm:ss")
</f>
        <v>13:42:01</v>
      </c>
      <c r="I1729" s="20">
        <f t="shared" si="4"/>
        <v>200</v>
      </c>
    </row>
    <row r="1730">
      <c r="A1730" s="12" t="str">
        <f>Raw_Data!A1736</f>
        <v>28 Nov 2025 17:26:24</v>
      </c>
      <c r="B1730" s="12" t="str">
        <f t="shared" si="1"/>
        <v>November</v>
      </c>
      <c r="C1730" s="12">
        <f t="shared" si="2"/>
        <v>11</v>
      </c>
      <c r="D1730" s="12" t="str">
        <f>IFERROR(__xludf.DUMMYFUNCTION("IFERROR(IF(REGEXMATCH(LOWER(Raw_Data!C1736),""fixed deposit|owealth|savings|target""),""Fixed Deposit"",IF(REGEXMATCH(LOWER(Raw_Data!C1736),""airtime""),""Airtime"",IF(REGEXMATCH(LOWER(Raw_Data!C1736),""electronic money transfer levy""),""Electronic Money"&amp;" Transfer Levy"",IF(REGEXMATCH(LOWER(Raw_Data!C1736),""transfer|trf|send""),""Transfer"",""Other"")))),""Other"")"),"Transfer")</f>
        <v>Transfer</v>
      </c>
      <c r="E1730" s="20">
        <v>100.0</v>
      </c>
      <c r="F1730" s="20">
        <v>0.0</v>
      </c>
      <c r="G1730" s="12" t="str">
        <f t="shared" si="3"/>
        <v>Withdrawal</v>
      </c>
      <c r="H1730" s="12" t="str">
        <f>TEXT(Raw_Data!A1736,"hh:mm:ss")
</f>
        <v>17:26:24</v>
      </c>
      <c r="I1730" s="20">
        <f t="shared" si="4"/>
        <v>100</v>
      </c>
    </row>
    <row r="1731">
      <c r="A1731" s="12" t="str">
        <f>Raw_Data!A1737</f>
        <v>28 Nov 2025 21:03:05</v>
      </c>
      <c r="B1731" s="12" t="str">
        <f t="shared" si="1"/>
        <v>November</v>
      </c>
      <c r="C1731" s="12">
        <f t="shared" si="2"/>
        <v>11</v>
      </c>
      <c r="D1731" s="12" t="str">
        <f>IFERROR(__xludf.DUMMYFUNCTION("IFERROR(IF(REGEXMATCH(LOWER(Raw_Data!C1737),""fixed deposit|owealth|savings|target""),""Fixed Deposit"",IF(REGEXMATCH(LOWER(Raw_Data!C1737),""airtime""),""Airtime"",IF(REGEXMATCH(LOWER(Raw_Data!C1737),""electronic money transfer levy""),""Electronic Money"&amp;" Transfer Levy"",IF(REGEXMATCH(LOWER(Raw_Data!C1737),""transfer|trf|send""),""Transfer"",""Other"")))),""Other"")"),"Transfer")</f>
        <v>Transfer</v>
      </c>
      <c r="E1731" s="20">
        <v>500.0</v>
      </c>
      <c r="F1731" s="20">
        <v>0.0</v>
      </c>
      <c r="G1731" s="12" t="str">
        <f t="shared" si="3"/>
        <v>Withdrawal</v>
      </c>
      <c r="H1731" s="12" t="str">
        <f>TEXT(Raw_Data!A1737,"hh:mm:ss")
</f>
        <v>21:03:05</v>
      </c>
      <c r="I1731" s="20">
        <f t="shared" si="4"/>
        <v>500</v>
      </c>
    </row>
    <row r="1732">
      <c r="A1732" s="12" t="str">
        <f>Raw_Data!A1738</f>
        <v>29 Nov 2025 06:28:40</v>
      </c>
      <c r="B1732" s="12" t="str">
        <f t="shared" si="1"/>
        <v>November</v>
      </c>
      <c r="C1732" s="12">
        <f t="shared" si="2"/>
        <v>11</v>
      </c>
      <c r="D1732" s="12" t="str">
        <f>IFERROR(__xludf.DUMMYFUNCTION("IFERROR(IF(REGEXMATCH(LOWER(Raw_Data!C1738),""fixed deposit|owealth|savings|target""),""Fixed Deposit"",IF(REGEXMATCH(LOWER(Raw_Data!C1738),""airtime""),""Airtime"",IF(REGEXMATCH(LOWER(Raw_Data!C1738),""electronic money transfer levy""),""Electronic Money"&amp;" Transfer Levy"",IF(REGEXMATCH(LOWER(Raw_Data!C1738),""transfer|trf|send""),""Transfer"",""Other"")))),""Other"")"),"Transfer")</f>
        <v>Transfer</v>
      </c>
      <c r="E1732" s="20">
        <v>300.0</v>
      </c>
      <c r="F1732" s="20">
        <v>0.0</v>
      </c>
      <c r="G1732" s="12" t="str">
        <f t="shared" si="3"/>
        <v>Withdrawal</v>
      </c>
      <c r="H1732" s="12" t="str">
        <f>TEXT(Raw_Data!A1738,"hh:mm:ss")
</f>
        <v>06:28:40</v>
      </c>
      <c r="I1732" s="20">
        <f t="shared" si="4"/>
        <v>300</v>
      </c>
    </row>
    <row r="1733">
      <c r="A1733" s="12" t="str">
        <f>Raw_Data!A1739</f>
        <v>29 Nov 2025 08:14:31</v>
      </c>
      <c r="B1733" s="12" t="str">
        <f t="shared" si="1"/>
        <v>November</v>
      </c>
      <c r="C1733" s="12">
        <f t="shared" si="2"/>
        <v>11</v>
      </c>
      <c r="D1733" s="12" t="str">
        <f>IFERROR(__xludf.DUMMYFUNCTION("IFERROR(IF(REGEXMATCH(LOWER(Raw_Data!C1739),""fixed deposit|owealth|savings|target""),""Fixed Deposit"",IF(REGEXMATCH(LOWER(Raw_Data!C1739),""airtime""),""Airtime"",IF(REGEXMATCH(LOWER(Raw_Data!C1739),""electronic money transfer levy""),""Electronic Money"&amp;" Transfer Levy"",IF(REGEXMATCH(LOWER(Raw_Data!C1739),""transfer|trf|send""),""Transfer"",""Other"")))),""Other"")"),"Transfer")</f>
        <v>Transfer</v>
      </c>
      <c r="E1733" s="20">
        <v>260.0</v>
      </c>
      <c r="F1733" s="20">
        <v>0.0</v>
      </c>
      <c r="G1733" s="12" t="str">
        <f t="shared" si="3"/>
        <v>Withdrawal</v>
      </c>
      <c r="H1733" s="12" t="str">
        <f>TEXT(Raw_Data!A1739,"hh:mm:ss")
</f>
        <v>08:14:31</v>
      </c>
      <c r="I1733" s="20">
        <f t="shared" si="4"/>
        <v>260</v>
      </c>
    </row>
    <row r="1734">
      <c r="A1734" s="12" t="str">
        <f>Raw_Data!A1740</f>
        <v>29 Nov 2025 08:23:27</v>
      </c>
      <c r="B1734" s="12" t="str">
        <f t="shared" si="1"/>
        <v>November</v>
      </c>
      <c r="C1734" s="12">
        <f t="shared" si="2"/>
        <v>11</v>
      </c>
      <c r="D1734" s="12" t="str">
        <f>IFERROR(__xludf.DUMMYFUNCTION("IFERROR(IF(REGEXMATCH(LOWER(Raw_Data!C1740),""fixed deposit|owealth|savings|target""),""Fixed Deposit"",IF(REGEXMATCH(LOWER(Raw_Data!C1740),""airtime""),""Airtime"",IF(REGEXMATCH(LOWER(Raw_Data!C1740),""electronic money transfer levy""),""Electronic Money"&amp;" Transfer Levy"",IF(REGEXMATCH(LOWER(Raw_Data!C1740),""transfer|trf|send""),""Transfer"",""Other"")))),""Other"")"),"Transfer")</f>
        <v>Transfer</v>
      </c>
      <c r="E1734" s="20">
        <v>300.0</v>
      </c>
      <c r="F1734" s="20">
        <v>0.0</v>
      </c>
      <c r="G1734" s="12" t="str">
        <f t="shared" si="3"/>
        <v>Withdrawal</v>
      </c>
      <c r="H1734" s="12" t="str">
        <f>TEXT(Raw_Data!A1740,"hh:mm:ss")
</f>
        <v>08:23:27</v>
      </c>
      <c r="I1734" s="20">
        <f t="shared" si="4"/>
        <v>300</v>
      </c>
    </row>
    <row r="1735">
      <c r="A1735" s="12" t="str">
        <f>Raw_Data!A1741</f>
        <v>29 Nov 2025 08:29:24</v>
      </c>
      <c r="B1735" s="12" t="str">
        <f t="shared" si="1"/>
        <v>November</v>
      </c>
      <c r="C1735" s="12">
        <f t="shared" si="2"/>
        <v>11</v>
      </c>
      <c r="D1735" s="12" t="str">
        <f>IFERROR(__xludf.DUMMYFUNCTION("IFERROR(IF(REGEXMATCH(LOWER(Raw_Data!C1741),""fixed deposit|owealth|savings|target""),""Fixed Deposit"",IF(REGEXMATCH(LOWER(Raw_Data!C1741),""airtime""),""Airtime"",IF(REGEXMATCH(LOWER(Raw_Data!C1741),""electronic money transfer levy""),""Electronic Money"&amp;" Transfer Levy"",IF(REGEXMATCH(LOWER(Raw_Data!C1741),""transfer|trf|send""),""Transfer"",""Other"")))),""Other"")"),"Transfer")</f>
        <v>Transfer</v>
      </c>
      <c r="E1735" s="20">
        <v>610.0</v>
      </c>
      <c r="F1735" s="20">
        <v>0.0</v>
      </c>
      <c r="G1735" s="12" t="str">
        <f t="shared" si="3"/>
        <v>Withdrawal</v>
      </c>
      <c r="H1735" s="12" t="str">
        <f>TEXT(Raw_Data!A1741,"hh:mm:ss")
</f>
        <v>08:29:24</v>
      </c>
      <c r="I1735" s="20">
        <f t="shared" si="4"/>
        <v>610</v>
      </c>
    </row>
    <row r="1736">
      <c r="A1736" s="12" t="str">
        <f>Raw_Data!A1742</f>
        <v>29 Nov 2025 09:28:56</v>
      </c>
      <c r="B1736" s="12" t="str">
        <f t="shared" si="1"/>
        <v>November</v>
      </c>
      <c r="C1736" s="12">
        <f t="shared" si="2"/>
        <v>11</v>
      </c>
      <c r="D1736" s="12" t="str">
        <f>IFERROR(__xludf.DUMMYFUNCTION("IFERROR(IF(REGEXMATCH(LOWER(Raw_Data!C1742),""fixed deposit|owealth|savings|target""),""Fixed Deposit"",IF(REGEXMATCH(LOWER(Raw_Data!C1742),""airtime""),""Airtime"",IF(REGEXMATCH(LOWER(Raw_Data!C1742),""electronic money transfer levy""),""Electronic Money"&amp;" Transfer Levy"",IF(REGEXMATCH(LOWER(Raw_Data!C1742),""transfer|trf|send""),""Transfer"",""Other"")))),""Other"")"),"Transfer")</f>
        <v>Transfer</v>
      </c>
      <c r="E1736" s="20">
        <v>1000.0</v>
      </c>
      <c r="F1736" s="20">
        <v>0.0</v>
      </c>
      <c r="G1736" s="12" t="str">
        <f t="shared" si="3"/>
        <v>Withdrawal</v>
      </c>
      <c r="H1736" s="12" t="str">
        <f>TEXT(Raw_Data!A1742,"hh:mm:ss")
</f>
        <v>09:28:56</v>
      </c>
      <c r="I1736" s="20">
        <f t="shared" si="4"/>
        <v>1000</v>
      </c>
    </row>
    <row r="1737">
      <c r="A1737" s="12" t="str">
        <f>Raw_Data!A1743</f>
        <v>29 Nov 2025 10:20:55</v>
      </c>
      <c r="B1737" s="12" t="str">
        <f t="shared" si="1"/>
        <v>November</v>
      </c>
      <c r="C1737" s="12">
        <f t="shared" si="2"/>
        <v>11</v>
      </c>
      <c r="D1737" s="12" t="str">
        <f>IFERROR(__xludf.DUMMYFUNCTION("IFERROR(IF(REGEXMATCH(LOWER(Raw_Data!C1743),""fixed deposit|owealth|savings|target""),""Fixed Deposit"",IF(REGEXMATCH(LOWER(Raw_Data!C1743),""airtime""),""Airtime"",IF(REGEXMATCH(LOWER(Raw_Data!C1743),""electronic money transfer levy""),""Electronic Money"&amp;" Transfer Levy"",IF(REGEXMATCH(LOWER(Raw_Data!C1743),""transfer|trf|send""),""Transfer"",""Other"")))),""Other"")"),"Transfer")</f>
        <v>Transfer</v>
      </c>
      <c r="E1737" s="20">
        <v>510.0</v>
      </c>
      <c r="F1737" s="20">
        <v>0.0</v>
      </c>
      <c r="G1737" s="12" t="str">
        <f t="shared" si="3"/>
        <v>Withdrawal</v>
      </c>
      <c r="H1737" s="12" t="str">
        <f>TEXT(Raw_Data!A1743,"hh:mm:ss")
</f>
        <v>10:20:55</v>
      </c>
      <c r="I1737" s="20">
        <f t="shared" si="4"/>
        <v>510</v>
      </c>
    </row>
    <row r="1738">
      <c r="A1738" s="12" t="str">
        <f>Raw_Data!A1744</f>
        <v>30 Nov 2025 09:14:08</v>
      </c>
      <c r="B1738" s="12" t="str">
        <f t="shared" si="1"/>
        <v>November</v>
      </c>
      <c r="C1738" s="12">
        <f t="shared" si="2"/>
        <v>11</v>
      </c>
      <c r="D1738" s="12" t="str">
        <f>IFERROR(__xludf.DUMMYFUNCTION("IFERROR(IF(REGEXMATCH(LOWER(Raw_Data!C1744),""fixed deposit|owealth|savings|target""),""Fixed Deposit"",IF(REGEXMATCH(LOWER(Raw_Data!C1744),""airtime""),""Airtime"",IF(REGEXMATCH(LOWER(Raw_Data!C1744),""electronic money transfer levy""),""Electronic Money"&amp;" Transfer Levy"",IF(REGEXMATCH(LOWER(Raw_Data!C1744),""transfer|trf|send""),""Transfer"",""Other"")))),""Other"")"),"Airtime")</f>
        <v>Airtime</v>
      </c>
      <c r="E1738" s="20">
        <v>1200.0</v>
      </c>
      <c r="F1738" s="20">
        <v>0.0</v>
      </c>
      <c r="G1738" s="12" t="str">
        <f t="shared" si="3"/>
        <v>Withdrawal</v>
      </c>
      <c r="H1738" s="12" t="str">
        <f>TEXT(Raw_Data!A1744,"hh:mm:ss")
</f>
        <v>09:14:08</v>
      </c>
      <c r="I1738" s="20">
        <f t="shared" si="4"/>
        <v>1200</v>
      </c>
    </row>
    <row r="1739">
      <c r="A1739" s="12" t="str">
        <f>Raw_Data!A1745</f>
        <v>30 Nov 2025 09:21:27</v>
      </c>
      <c r="B1739" s="12" t="str">
        <f t="shared" si="1"/>
        <v>November</v>
      </c>
      <c r="C1739" s="12">
        <f t="shared" si="2"/>
        <v>11</v>
      </c>
      <c r="D1739" s="12" t="str">
        <f>IFERROR(__xludf.DUMMYFUNCTION("IFERROR(IF(REGEXMATCH(LOWER(Raw_Data!C1745),""fixed deposit|owealth|savings|target""),""Fixed Deposit"",IF(REGEXMATCH(LOWER(Raw_Data!C1745),""airtime""),""Airtime"",IF(REGEXMATCH(LOWER(Raw_Data!C1745),""electronic money transfer levy""),""Electronic Money"&amp;" Transfer Levy"",IF(REGEXMATCH(LOWER(Raw_Data!C1745),""transfer|trf|send""),""Transfer"",""Other"")))),""Other"")"),"Transfer")</f>
        <v>Transfer</v>
      </c>
      <c r="E1739" s="20">
        <v>500.0</v>
      </c>
      <c r="F1739" s="20">
        <v>0.0</v>
      </c>
      <c r="G1739" s="12" t="str">
        <f t="shared" si="3"/>
        <v>Withdrawal</v>
      </c>
      <c r="H1739" s="12" t="str">
        <f>TEXT(Raw_Data!A1745,"hh:mm:ss")
</f>
        <v>09:21:27</v>
      </c>
      <c r="I1739" s="20">
        <f t="shared" si="4"/>
        <v>500</v>
      </c>
    </row>
    <row r="1740">
      <c r="A1740" s="12" t="str">
        <f>Raw_Data!A1746</f>
        <v>30 Nov 2025 14:02:34</v>
      </c>
      <c r="B1740" s="12" t="str">
        <f t="shared" si="1"/>
        <v>November</v>
      </c>
      <c r="C1740" s="12">
        <f t="shared" si="2"/>
        <v>11</v>
      </c>
      <c r="D1740" s="12" t="str">
        <f>IFERROR(__xludf.DUMMYFUNCTION("IFERROR(IF(REGEXMATCH(LOWER(Raw_Data!C1746),""fixed deposit|owealth|savings|target""),""Fixed Deposit"",IF(REGEXMATCH(LOWER(Raw_Data!C1746),""airtime""),""Airtime"",IF(REGEXMATCH(LOWER(Raw_Data!C1746),""electronic money transfer levy""),""Electronic Money"&amp;" Transfer Levy"",IF(REGEXMATCH(LOWER(Raw_Data!C1746),""transfer|trf|send""),""Transfer"",""Other"")))),""Other"")"),"Transfer")</f>
        <v>Transfer</v>
      </c>
      <c r="E1740" s="20">
        <v>1000.0</v>
      </c>
      <c r="F1740" s="20">
        <v>0.0</v>
      </c>
      <c r="G1740" s="12" t="str">
        <f t="shared" si="3"/>
        <v>Withdrawal</v>
      </c>
      <c r="H1740" s="12" t="str">
        <f>TEXT(Raw_Data!A1746,"hh:mm:ss")
</f>
        <v>14:02:34</v>
      </c>
      <c r="I1740" s="20">
        <f t="shared" si="4"/>
        <v>1000</v>
      </c>
    </row>
    <row r="1741">
      <c r="A1741" s="12" t="str">
        <f>Raw_Data!A1747</f>
        <v>30 Nov 2025 14:16:44</v>
      </c>
      <c r="B1741" s="12" t="str">
        <f t="shared" si="1"/>
        <v>November</v>
      </c>
      <c r="C1741" s="12">
        <f t="shared" si="2"/>
        <v>11</v>
      </c>
      <c r="D1741" s="12" t="str">
        <f>IFERROR(__xludf.DUMMYFUNCTION("IFERROR(IF(REGEXMATCH(LOWER(Raw_Data!C1747),""fixed deposit|owealth|savings|target""),""Fixed Deposit"",IF(REGEXMATCH(LOWER(Raw_Data!C1747),""airtime""),""Airtime"",IF(REGEXMATCH(LOWER(Raw_Data!C1747),""electronic money transfer levy""),""Electronic Money"&amp;" Transfer Levy"",IF(REGEXMATCH(LOWER(Raw_Data!C1747),""transfer|trf|send""),""Transfer"",""Other"")))),""Other"")"),"Transfer")</f>
        <v>Transfer</v>
      </c>
      <c r="E1741" s="20">
        <v>250.0</v>
      </c>
      <c r="F1741" s="20">
        <v>0.0</v>
      </c>
      <c r="G1741" s="12" t="str">
        <f t="shared" si="3"/>
        <v>Withdrawal</v>
      </c>
      <c r="H1741" s="12" t="str">
        <f>TEXT(Raw_Data!A1747,"hh:mm:ss")
</f>
        <v>14:16:44</v>
      </c>
      <c r="I1741" s="20">
        <f t="shared" si="4"/>
        <v>250</v>
      </c>
    </row>
    <row r="1742">
      <c r="A1742" s="12" t="str">
        <f>Raw_Data!A1748</f>
        <v>01 Dec 2025 13:34:18</v>
      </c>
      <c r="B1742" s="12" t="str">
        <f t="shared" si="1"/>
        <v>December</v>
      </c>
      <c r="C1742" s="12">
        <f t="shared" si="2"/>
        <v>12</v>
      </c>
      <c r="D1742" s="12" t="str">
        <f>IFERROR(__xludf.DUMMYFUNCTION("IFERROR(IF(REGEXMATCH(LOWER(Raw_Data!C1748),""fixed deposit|owealth|savings|target""),""Fixed Deposit"",IF(REGEXMATCH(LOWER(Raw_Data!C1748),""airtime""),""Airtime"",IF(REGEXMATCH(LOWER(Raw_Data!C1748),""electronic money transfer levy""),""Electronic Money"&amp;" Transfer Levy"",IF(REGEXMATCH(LOWER(Raw_Data!C1748),""transfer|trf|send""),""Transfer"",""Other"")))),""Other"")"),"Transfer")</f>
        <v>Transfer</v>
      </c>
      <c r="E1742" s="20">
        <v>0.0</v>
      </c>
      <c r="F1742" s="20">
        <v>4000.0</v>
      </c>
      <c r="G1742" s="12" t="str">
        <f t="shared" si="3"/>
        <v>Deposit</v>
      </c>
      <c r="H1742" s="12" t="str">
        <f>TEXT(Raw_Data!A1748,"hh:mm:ss")
</f>
        <v>13:34:18</v>
      </c>
      <c r="I1742" s="20">
        <f t="shared" si="4"/>
        <v>4000</v>
      </c>
    </row>
    <row r="1743">
      <c r="A1743" s="12" t="str">
        <f>Raw_Data!A1749</f>
        <v>01 Dec 2025 13:36:23</v>
      </c>
      <c r="B1743" s="12" t="str">
        <f t="shared" si="1"/>
        <v>December</v>
      </c>
      <c r="C1743" s="12">
        <f t="shared" si="2"/>
        <v>12</v>
      </c>
      <c r="D1743" s="12" t="str">
        <f>IFERROR(__xludf.DUMMYFUNCTION("IFERROR(IF(REGEXMATCH(LOWER(Raw_Data!C1749),""fixed deposit|owealth|savings|target""),""Fixed Deposit"",IF(REGEXMATCH(LOWER(Raw_Data!C1749),""airtime""),""Airtime"",IF(REGEXMATCH(LOWER(Raw_Data!C1749),""electronic money transfer levy""),""Electronic Money"&amp;" Transfer Levy"",IF(REGEXMATCH(LOWER(Raw_Data!C1749),""transfer|trf|send""),""Transfer"",""Other"")))),""Other"")"),"Transfer")</f>
        <v>Transfer</v>
      </c>
      <c r="E1743" s="20">
        <v>2100.0</v>
      </c>
      <c r="F1743" s="20">
        <v>0.0</v>
      </c>
      <c r="G1743" s="12" t="str">
        <f t="shared" si="3"/>
        <v>Withdrawal</v>
      </c>
      <c r="H1743" s="12" t="str">
        <f>TEXT(Raw_Data!A1749,"hh:mm:ss")
</f>
        <v>13:36:23</v>
      </c>
      <c r="I1743" s="20">
        <f t="shared" si="4"/>
        <v>2100</v>
      </c>
    </row>
    <row r="1744">
      <c r="A1744" s="12" t="str">
        <f>Raw_Data!A1750</f>
        <v>01 Dec 2025 17:54:06</v>
      </c>
      <c r="B1744" s="12" t="str">
        <f t="shared" si="1"/>
        <v>December</v>
      </c>
      <c r="C1744" s="12">
        <f t="shared" si="2"/>
        <v>12</v>
      </c>
      <c r="D1744" s="12" t="str">
        <f>IFERROR(__xludf.DUMMYFUNCTION("IFERROR(IF(REGEXMATCH(LOWER(Raw_Data!C1750),""fixed deposit|owealth|savings|target""),""Fixed Deposit"",IF(REGEXMATCH(LOWER(Raw_Data!C1750),""airtime""),""Airtime"",IF(REGEXMATCH(LOWER(Raw_Data!C1750),""electronic money transfer levy""),""Electronic Money"&amp;" Transfer Levy"",IF(REGEXMATCH(LOWER(Raw_Data!C1750),""transfer|trf|send""),""Transfer"",""Other"")))),""Other"")"),"Transfer")</f>
        <v>Transfer</v>
      </c>
      <c r="E1744" s="20">
        <v>0.0</v>
      </c>
      <c r="F1744" s="20">
        <v>20000.0</v>
      </c>
      <c r="G1744" s="12" t="str">
        <f t="shared" si="3"/>
        <v>Deposit</v>
      </c>
      <c r="H1744" s="12" t="str">
        <f>TEXT(Raw_Data!A1750,"hh:mm:ss")
</f>
        <v>17:54:06</v>
      </c>
      <c r="I1744" s="20">
        <f t="shared" si="4"/>
        <v>20000</v>
      </c>
    </row>
    <row r="1745">
      <c r="A1745" s="12" t="str">
        <f>Raw_Data!A1751</f>
        <v>01 Dec 2025 17:54:11</v>
      </c>
      <c r="B1745" s="12" t="str">
        <f t="shared" si="1"/>
        <v>December</v>
      </c>
      <c r="C1745" s="12">
        <f t="shared" si="2"/>
        <v>12</v>
      </c>
      <c r="D1745" s="12" t="str">
        <f>IFERROR(__xludf.DUMMYFUNCTION("IFERROR(IF(REGEXMATCH(LOWER(Raw_Data!C1751),""fixed deposit|owealth|savings|target""),""Fixed Deposit"",IF(REGEXMATCH(LOWER(Raw_Data!C1751),""airtime""),""Airtime"",IF(REGEXMATCH(LOWER(Raw_Data!C1751),""electronic money transfer levy""),""Electronic Money"&amp;" Transfer Levy"",IF(REGEXMATCH(LOWER(Raw_Data!C1751),""transfer|trf|send""),""Transfer"",""Other"")))),""Other"")"),"Electronic Money Transfer Levy")</f>
        <v>Electronic Money Transfer Levy</v>
      </c>
      <c r="E1745" s="20">
        <v>50.0</v>
      </c>
      <c r="F1745" s="20">
        <v>0.0</v>
      </c>
      <c r="G1745" s="12" t="str">
        <f t="shared" si="3"/>
        <v>Withdrawal</v>
      </c>
      <c r="H1745" s="12" t="str">
        <f>TEXT(Raw_Data!A1751,"hh:mm:ss")
</f>
        <v>17:54:11</v>
      </c>
      <c r="I1745" s="20">
        <f t="shared" si="4"/>
        <v>50</v>
      </c>
    </row>
    <row r="1746">
      <c r="A1746" s="12" t="str">
        <f>Raw_Data!A1752</f>
        <v>01 Dec 2025 17:55:02</v>
      </c>
      <c r="B1746" s="12" t="str">
        <f t="shared" si="1"/>
        <v>December</v>
      </c>
      <c r="C1746" s="12">
        <f t="shared" si="2"/>
        <v>12</v>
      </c>
      <c r="D1746" s="12" t="str">
        <f>IFERROR(__xludf.DUMMYFUNCTION("IFERROR(IF(REGEXMATCH(LOWER(Raw_Data!C1752),""fixed deposit|owealth|savings|target""),""Fixed Deposit"",IF(REGEXMATCH(LOWER(Raw_Data!C1752),""airtime""),""Airtime"",IF(REGEXMATCH(LOWER(Raw_Data!C1752),""electronic money transfer levy""),""Electronic Money"&amp;" Transfer Levy"",IF(REGEXMATCH(LOWER(Raw_Data!C1752),""transfer|trf|send""),""Transfer"",""Other"")))),""Other"")"),"Transfer")</f>
        <v>Transfer</v>
      </c>
      <c r="E1746" s="20">
        <v>5000.0</v>
      </c>
      <c r="F1746" s="20">
        <v>0.0</v>
      </c>
      <c r="G1746" s="12" t="str">
        <f t="shared" si="3"/>
        <v>Withdrawal</v>
      </c>
      <c r="H1746" s="12" t="str">
        <f>TEXT(Raw_Data!A1752,"hh:mm:ss")
</f>
        <v>17:55:02</v>
      </c>
      <c r="I1746" s="20">
        <f t="shared" si="4"/>
        <v>5000</v>
      </c>
    </row>
    <row r="1747">
      <c r="A1747" s="12" t="str">
        <f>Raw_Data!A1753</f>
        <v>01 Dec 2025 17:55:25</v>
      </c>
      <c r="B1747" s="12" t="str">
        <f t="shared" si="1"/>
        <v>December</v>
      </c>
      <c r="C1747" s="12">
        <f t="shared" si="2"/>
        <v>12</v>
      </c>
      <c r="D1747" s="12" t="str">
        <f>IFERROR(__xludf.DUMMYFUNCTION("IFERROR(IF(REGEXMATCH(LOWER(Raw_Data!C1753),""fixed deposit|owealth|savings|target""),""Fixed Deposit"",IF(REGEXMATCH(LOWER(Raw_Data!C1753),""airtime""),""Airtime"",IF(REGEXMATCH(LOWER(Raw_Data!C1753),""electronic money transfer levy""),""Electronic Money"&amp;" Transfer Levy"",IF(REGEXMATCH(LOWER(Raw_Data!C1753),""transfer|trf|send""),""Transfer"",""Other"")))),""Other"")"),"Transfer")</f>
        <v>Transfer</v>
      </c>
      <c r="E1747" s="20">
        <v>15000.0</v>
      </c>
      <c r="F1747" s="20">
        <v>0.0</v>
      </c>
      <c r="G1747" s="12" t="str">
        <f t="shared" si="3"/>
        <v>Withdrawal</v>
      </c>
      <c r="H1747" s="12" t="str">
        <f>TEXT(Raw_Data!A1753,"hh:mm:ss")
</f>
        <v>17:55:25</v>
      </c>
      <c r="I1747" s="20">
        <f t="shared" si="4"/>
        <v>15000</v>
      </c>
    </row>
    <row r="1748">
      <c r="A1748" s="12" t="str">
        <f>Raw_Data!A1754</f>
        <v>01 Dec 2025 18:21:40</v>
      </c>
      <c r="B1748" s="12" t="str">
        <f t="shared" si="1"/>
        <v>December</v>
      </c>
      <c r="C1748" s="12">
        <f t="shared" si="2"/>
        <v>12</v>
      </c>
      <c r="D1748" s="12" t="str">
        <f>IFERROR(__xludf.DUMMYFUNCTION("IFERROR(IF(REGEXMATCH(LOWER(Raw_Data!C1754),""fixed deposit|owealth|savings|target""),""Fixed Deposit"",IF(REGEXMATCH(LOWER(Raw_Data!C1754),""airtime""),""Airtime"",IF(REGEXMATCH(LOWER(Raw_Data!C1754),""electronic money transfer levy""),""Electronic Money"&amp;" Transfer Levy"",IF(REGEXMATCH(LOWER(Raw_Data!C1754),""transfer|trf|send""),""Transfer"",""Other"")))),""Other"")"),"Airtime")</f>
        <v>Airtime</v>
      </c>
      <c r="E1748" s="20">
        <v>200.0</v>
      </c>
      <c r="F1748" s="20">
        <v>0.0</v>
      </c>
      <c r="G1748" s="12" t="str">
        <f t="shared" si="3"/>
        <v>Withdrawal</v>
      </c>
      <c r="H1748" s="12" t="str">
        <f>TEXT(Raw_Data!A1754,"hh:mm:ss")
</f>
        <v>18:21:40</v>
      </c>
      <c r="I1748" s="20">
        <f t="shared" si="4"/>
        <v>200</v>
      </c>
    </row>
    <row r="1749">
      <c r="A1749" s="12" t="str">
        <f>Raw_Data!A1755</f>
        <v>02 Dec 2025 08:08:48</v>
      </c>
      <c r="B1749" s="12" t="str">
        <f t="shared" si="1"/>
        <v>December</v>
      </c>
      <c r="C1749" s="12">
        <f t="shared" si="2"/>
        <v>12</v>
      </c>
      <c r="D1749" s="12" t="str">
        <f>IFERROR(__xludf.DUMMYFUNCTION("IFERROR(IF(REGEXMATCH(LOWER(Raw_Data!C1755),""fixed deposit|owealth|savings|target""),""Fixed Deposit"",IF(REGEXMATCH(LOWER(Raw_Data!C1755),""airtime""),""Airtime"",IF(REGEXMATCH(LOWER(Raw_Data!C1755),""electronic money transfer levy""),""Electronic Money"&amp;" Transfer Levy"",IF(REGEXMATCH(LOWER(Raw_Data!C1755),""transfer|trf|send""),""Transfer"",""Other"")))),""Other"")"),"Transfer")</f>
        <v>Transfer</v>
      </c>
      <c r="E1749" s="20">
        <v>250.0</v>
      </c>
      <c r="F1749" s="20">
        <v>0.0</v>
      </c>
      <c r="G1749" s="12" t="str">
        <f t="shared" si="3"/>
        <v>Withdrawal</v>
      </c>
      <c r="H1749" s="12" t="str">
        <f>TEXT(Raw_Data!A1755,"hh:mm:ss")
</f>
        <v>08:08:48</v>
      </c>
      <c r="I1749" s="20">
        <f t="shared" si="4"/>
        <v>250</v>
      </c>
    </row>
    <row r="1750">
      <c r="A1750" s="12" t="str">
        <f>Raw_Data!A1756</f>
        <v>02 Dec 2025 10:39:58</v>
      </c>
      <c r="B1750" s="12" t="str">
        <f t="shared" si="1"/>
        <v>December</v>
      </c>
      <c r="C1750" s="12">
        <f t="shared" si="2"/>
        <v>12</v>
      </c>
      <c r="D1750" s="12" t="str">
        <f>IFERROR(__xludf.DUMMYFUNCTION("IFERROR(IF(REGEXMATCH(LOWER(Raw_Data!C1756),""fixed deposit|owealth|savings|target""),""Fixed Deposit"",IF(REGEXMATCH(LOWER(Raw_Data!C1756),""airtime""),""Airtime"",IF(REGEXMATCH(LOWER(Raw_Data!C1756),""electronic money transfer levy""),""Electronic Money"&amp;" Transfer Levy"",IF(REGEXMATCH(LOWER(Raw_Data!C1756),""transfer|trf|send""),""Transfer"",""Other"")))),""Other"")"),"Transfer")</f>
        <v>Transfer</v>
      </c>
      <c r="E1750" s="20">
        <v>800.0</v>
      </c>
      <c r="F1750" s="20">
        <v>0.0</v>
      </c>
      <c r="G1750" s="12" t="str">
        <f t="shared" si="3"/>
        <v>Withdrawal</v>
      </c>
      <c r="H1750" s="12" t="str">
        <f>TEXT(Raw_Data!A1756,"hh:mm:ss")
</f>
        <v>10:39:58</v>
      </c>
      <c r="I1750" s="20">
        <f t="shared" si="4"/>
        <v>800</v>
      </c>
    </row>
    <row r="1751">
      <c r="A1751" s="12" t="str">
        <f>Raw_Data!A1757</f>
        <v>02 Dec 2025 12:21:02</v>
      </c>
      <c r="B1751" s="12" t="str">
        <f t="shared" si="1"/>
        <v>December</v>
      </c>
      <c r="C1751" s="12">
        <f t="shared" si="2"/>
        <v>12</v>
      </c>
      <c r="D1751" s="12" t="str">
        <f>IFERROR(__xludf.DUMMYFUNCTION("IFERROR(IF(REGEXMATCH(LOWER(Raw_Data!C1757),""fixed deposit|owealth|savings|target""),""Fixed Deposit"",IF(REGEXMATCH(LOWER(Raw_Data!C1757),""airtime""),""Airtime"",IF(REGEXMATCH(LOWER(Raw_Data!C1757),""electronic money transfer levy""),""Electronic Money"&amp;" Transfer Levy"",IF(REGEXMATCH(LOWER(Raw_Data!C1757),""transfer|trf|send""),""Transfer"",""Other"")))),""Other"")"),"Transfer")</f>
        <v>Transfer</v>
      </c>
      <c r="E1751" s="20">
        <v>0.0</v>
      </c>
      <c r="F1751" s="20">
        <v>2000.0</v>
      </c>
      <c r="G1751" s="12" t="str">
        <f t="shared" si="3"/>
        <v>Deposit</v>
      </c>
      <c r="H1751" s="12" t="str">
        <f>TEXT(Raw_Data!A1757,"hh:mm:ss")
</f>
        <v>12:21:02</v>
      </c>
      <c r="I1751" s="20">
        <f t="shared" si="4"/>
        <v>2000</v>
      </c>
    </row>
    <row r="1752">
      <c r="A1752" s="12" t="str">
        <f>Raw_Data!A1758</f>
        <v>02 Dec 2025 12:26:06</v>
      </c>
      <c r="B1752" s="12" t="str">
        <f t="shared" si="1"/>
        <v>December</v>
      </c>
      <c r="C1752" s="12">
        <f t="shared" si="2"/>
        <v>12</v>
      </c>
      <c r="D1752" s="12" t="str">
        <f>IFERROR(__xludf.DUMMYFUNCTION("IFERROR(IF(REGEXMATCH(LOWER(Raw_Data!C1758),""fixed deposit|owealth|savings|target""),""Fixed Deposit"",IF(REGEXMATCH(LOWER(Raw_Data!C1758),""airtime""),""Airtime"",IF(REGEXMATCH(LOWER(Raw_Data!C1758),""electronic money transfer levy""),""Electronic Money"&amp;" Transfer Levy"",IF(REGEXMATCH(LOWER(Raw_Data!C1758),""transfer|trf|send""),""Transfer"",""Other"")))),""Other"")"),"Transfer")</f>
        <v>Transfer</v>
      </c>
      <c r="E1752" s="20">
        <v>1750.0</v>
      </c>
      <c r="F1752" s="20">
        <v>0.0</v>
      </c>
      <c r="G1752" s="12" t="str">
        <f t="shared" si="3"/>
        <v>Withdrawal</v>
      </c>
      <c r="H1752" s="12" t="str">
        <f>TEXT(Raw_Data!A1758,"hh:mm:ss")
</f>
        <v>12:26:06</v>
      </c>
      <c r="I1752" s="20">
        <f t="shared" si="4"/>
        <v>1750</v>
      </c>
    </row>
    <row r="1753">
      <c r="A1753" s="12" t="str">
        <f>Raw_Data!A1759</f>
        <v>02 Dec 2025 21:17:47</v>
      </c>
      <c r="B1753" s="12" t="str">
        <f t="shared" si="1"/>
        <v>December</v>
      </c>
      <c r="C1753" s="12">
        <f t="shared" si="2"/>
        <v>12</v>
      </c>
      <c r="D1753" s="12" t="str">
        <f>IFERROR(__xludf.DUMMYFUNCTION("IFERROR(IF(REGEXMATCH(LOWER(Raw_Data!C1759),""fixed deposit|owealth|savings|target""),""Fixed Deposit"",IF(REGEXMATCH(LOWER(Raw_Data!C1759),""airtime""),""Airtime"",IF(REGEXMATCH(LOWER(Raw_Data!C1759),""electronic money transfer levy""),""Electronic Money"&amp;" Transfer Levy"",IF(REGEXMATCH(LOWER(Raw_Data!C1759),""transfer|trf|send""),""Transfer"",""Other"")))),""Other"")"),"Transfer")</f>
        <v>Transfer</v>
      </c>
      <c r="E1753" s="20">
        <v>510.0</v>
      </c>
      <c r="F1753" s="20">
        <v>0.0</v>
      </c>
      <c r="G1753" s="12" t="str">
        <f t="shared" si="3"/>
        <v>Withdrawal</v>
      </c>
      <c r="H1753" s="12" t="str">
        <f>TEXT(Raw_Data!A1759,"hh:mm:ss")
</f>
        <v>21:17:47</v>
      </c>
      <c r="I1753" s="20">
        <f t="shared" si="4"/>
        <v>510</v>
      </c>
    </row>
    <row r="1754">
      <c r="A1754" s="12" t="str">
        <f>Raw_Data!A1760</f>
        <v>03 Dec 2025 08:34:46</v>
      </c>
      <c r="B1754" s="12" t="str">
        <f t="shared" si="1"/>
        <v>December</v>
      </c>
      <c r="C1754" s="12">
        <f t="shared" si="2"/>
        <v>12</v>
      </c>
      <c r="D1754" s="12" t="str">
        <f>IFERROR(__xludf.DUMMYFUNCTION("IFERROR(IF(REGEXMATCH(LOWER(Raw_Data!C1760),""fixed deposit|owealth|savings|target""),""Fixed Deposit"",IF(REGEXMATCH(LOWER(Raw_Data!C1760),""airtime""),""Airtime"",IF(REGEXMATCH(LOWER(Raw_Data!C1760),""electronic money transfer levy""),""Electronic Money"&amp;" Transfer Levy"",IF(REGEXMATCH(LOWER(Raw_Data!C1760),""transfer|trf|send""),""Transfer"",""Other"")))),""Other"")"),"Transfer")</f>
        <v>Transfer</v>
      </c>
      <c r="E1754" s="20">
        <v>200.0</v>
      </c>
      <c r="F1754" s="20">
        <v>0.0</v>
      </c>
      <c r="G1754" s="12" t="str">
        <f t="shared" si="3"/>
        <v>Withdrawal</v>
      </c>
      <c r="H1754" s="12" t="str">
        <f>TEXT(Raw_Data!A1760,"hh:mm:ss")
</f>
        <v>08:34:46</v>
      </c>
      <c r="I1754" s="20">
        <f t="shared" si="4"/>
        <v>200</v>
      </c>
    </row>
    <row r="1755">
      <c r="A1755" s="12" t="str">
        <f>Raw_Data!A1761</f>
        <v>04 Dec 2025 16:58:43</v>
      </c>
      <c r="B1755" s="12" t="str">
        <f t="shared" si="1"/>
        <v>December</v>
      </c>
      <c r="C1755" s="12">
        <f t="shared" si="2"/>
        <v>12</v>
      </c>
      <c r="D1755" s="12" t="str">
        <f>IFERROR(__xludf.DUMMYFUNCTION("IFERROR(IF(REGEXMATCH(LOWER(Raw_Data!C1761),""fixed deposit|owealth|savings|target""),""Fixed Deposit"",IF(REGEXMATCH(LOWER(Raw_Data!C1761),""airtime""),""Airtime"",IF(REGEXMATCH(LOWER(Raw_Data!C1761),""electronic money transfer levy""),""Electronic Money"&amp;" Transfer Levy"",IF(REGEXMATCH(LOWER(Raw_Data!C1761),""transfer|trf|send""),""Transfer"",""Other"")))),""Other"")"),"Transfer")</f>
        <v>Transfer</v>
      </c>
      <c r="E1755" s="20">
        <v>0.0</v>
      </c>
      <c r="F1755" s="20">
        <v>5000.0</v>
      </c>
      <c r="G1755" s="12" t="str">
        <f t="shared" si="3"/>
        <v>Deposit</v>
      </c>
      <c r="H1755" s="12" t="str">
        <f>TEXT(Raw_Data!A1761,"hh:mm:ss")
</f>
        <v>16:58:43</v>
      </c>
      <c r="I1755" s="20">
        <f t="shared" si="4"/>
        <v>5000</v>
      </c>
    </row>
    <row r="1756">
      <c r="A1756" s="12" t="str">
        <f>Raw_Data!A1762</f>
        <v>04 Dec 2025 18:33:48</v>
      </c>
      <c r="B1756" s="12" t="str">
        <f t="shared" si="1"/>
        <v>December</v>
      </c>
      <c r="C1756" s="12">
        <f t="shared" si="2"/>
        <v>12</v>
      </c>
      <c r="D1756" s="12" t="str">
        <f>IFERROR(__xludf.DUMMYFUNCTION("IFERROR(IF(REGEXMATCH(LOWER(Raw_Data!C1762),""fixed deposit|owealth|savings|target""),""Fixed Deposit"",IF(REGEXMATCH(LOWER(Raw_Data!C1762),""airtime""),""Airtime"",IF(REGEXMATCH(LOWER(Raw_Data!C1762),""electronic money transfer levy""),""Electronic Money"&amp;" Transfer Levy"",IF(REGEXMATCH(LOWER(Raw_Data!C1762),""transfer|trf|send""),""Transfer"",""Other"")))),""Other"")"),"Transfer")</f>
        <v>Transfer</v>
      </c>
      <c r="E1756" s="20">
        <v>2000.0</v>
      </c>
      <c r="F1756" s="20">
        <v>0.0</v>
      </c>
      <c r="G1756" s="12" t="str">
        <f t="shared" si="3"/>
        <v>Withdrawal</v>
      </c>
      <c r="H1756" s="12" t="str">
        <f>TEXT(Raw_Data!A1762,"hh:mm:ss")
</f>
        <v>18:33:48</v>
      </c>
      <c r="I1756" s="20">
        <f t="shared" si="4"/>
        <v>2000</v>
      </c>
    </row>
    <row r="1757">
      <c r="A1757" s="12" t="str">
        <f>Raw_Data!A1763</f>
        <v>04 Dec 2025 18:34:32</v>
      </c>
      <c r="B1757" s="12" t="str">
        <f t="shared" si="1"/>
        <v>December</v>
      </c>
      <c r="C1757" s="12">
        <f t="shared" si="2"/>
        <v>12</v>
      </c>
      <c r="D1757" s="12" t="str">
        <f>IFERROR(__xludf.DUMMYFUNCTION("IFERROR(IF(REGEXMATCH(LOWER(Raw_Data!C1763),""fixed deposit|owealth|savings|target""),""Fixed Deposit"",IF(REGEXMATCH(LOWER(Raw_Data!C1763),""airtime""),""Airtime"",IF(REGEXMATCH(LOWER(Raw_Data!C1763),""electronic money transfer levy""),""Electronic Money"&amp;" Transfer Levy"",IF(REGEXMATCH(LOWER(Raw_Data!C1763),""transfer|trf|send""),""Transfer"",""Other"")))),""Other"")"),"Transfer")</f>
        <v>Transfer</v>
      </c>
      <c r="E1757" s="20">
        <v>1000.0</v>
      </c>
      <c r="F1757" s="20">
        <v>0.0</v>
      </c>
      <c r="G1757" s="12" t="str">
        <f t="shared" si="3"/>
        <v>Withdrawal</v>
      </c>
      <c r="H1757" s="12" t="str">
        <f>TEXT(Raw_Data!A1763,"hh:mm:ss")
</f>
        <v>18:34:32</v>
      </c>
      <c r="I1757" s="20">
        <f t="shared" si="4"/>
        <v>1000</v>
      </c>
    </row>
    <row r="1758">
      <c r="A1758" s="12" t="str">
        <f>Raw_Data!A1764</f>
        <v>05 Dec 2025 12:04:10</v>
      </c>
      <c r="B1758" s="12" t="str">
        <f t="shared" si="1"/>
        <v>December</v>
      </c>
      <c r="C1758" s="12">
        <f t="shared" si="2"/>
        <v>12</v>
      </c>
      <c r="D1758" s="12" t="str">
        <f>IFERROR(__xludf.DUMMYFUNCTION("IFERROR(IF(REGEXMATCH(LOWER(Raw_Data!C1764),""fixed deposit|owealth|savings|target""),""Fixed Deposit"",IF(REGEXMATCH(LOWER(Raw_Data!C1764),""airtime""),""Airtime"",IF(REGEXMATCH(LOWER(Raw_Data!C1764),""electronic money transfer levy""),""Electronic Money"&amp;" Transfer Levy"",IF(REGEXMATCH(LOWER(Raw_Data!C1764),""transfer|trf|send""),""Transfer"",""Other"")))),""Other"")"),"Transfer")</f>
        <v>Transfer</v>
      </c>
      <c r="E1758" s="20">
        <v>0.0</v>
      </c>
      <c r="F1758" s="20">
        <v>850.0</v>
      </c>
      <c r="G1758" s="12" t="str">
        <f t="shared" si="3"/>
        <v>Deposit</v>
      </c>
      <c r="H1758" s="12" t="str">
        <f>TEXT(Raw_Data!A1764,"hh:mm:ss")
</f>
        <v>12:04:10</v>
      </c>
      <c r="I1758" s="20">
        <f t="shared" si="4"/>
        <v>850</v>
      </c>
    </row>
    <row r="1759">
      <c r="A1759" s="12" t="str">
        <f>Raw_Data!A1765</f>
        <v>05 Dec 2025 13:29:03</v>
      </c>
      <c r="B1759" s="12" t="str">
        <f t="shared" si="1"/>
        <v>December</v>
      </c>
      <c r="C1759" s="12">
        <f t="shared" si="2"/>
        <v>12</v>
      </c>
      <c r="D1759" s="12" t="str">
        <f>IFERROR(__xludf.DUMMYFUNCTION("IFERROR(IF(REGEXMATCH(LOWER(Raw_Data!C1765),""fixed deposit|owealth|savings|target""),""Fixed Deposit"",IF(REGEXMATCH(LOWER(Raw_Data!C1765),""airtime""),""Airtime"",IF(REGEXMATCH(LOWER(Raw_Data!C1765),""electronic money transfer levy""),""Electronic Money"&amp;" Transfer Levy"",IF(REGEXMATCH(LOWER(Raw_Data!C1765),""transfer|trf|send""),""Transfer"",""Other"")))),""Other"")"),"Transfer")</f>
        <v>Transfer</v>
      </c>
      <c r="E1759" s="20">
        <v>1000.0</v>
      </c>
      <c r="F1759" s="20">
        <v>0.0</v>
      </c>
      <c r="G1759" s="12" t="str">
        <f t="shared" si="3"/>
        <v>Withdrawal</v>
      </c>
      <c r="H1759" s="12" t="str">
        <f>TEXT(Raw_Data!A1765,"hh:mm:ss")
</f>
        <v>13:29:03</v>
      </c>
      <c r="I1759" s="20">
        <f t="shared" si="4"/>
        <v>1000</v>
      </c>
    </row>
    <row r="1760">
      <c r="A1760" s="12" t="str">
        <f>Raw_Data!A1766</f>
        <v>05 Dec 2025 14:14:05</v>
      </c>
      <c r="B1760" s="12" t="str">
        <f t="shared" si="1"/>
        <v>December</v>
      </c>
      <c r="C1760" s="12">
        <f t="shared" si="2"/>
        <v>12</v>
      </c>
      <c r="D1760" s="12" t="str">
        <f>IFERROR(__xludf.DUMMYFUNCTION("IFERROR(IF(REGEXMATCH(LOWER(Raw_Data!C1766),""fixed deposit|owealth|savings|target""),""Fixed Deposit"",IF(REGEXMATCH(LOWER(Raw_Data!C1766),""airtime""),""Airtime"",IF(REGEXMATCH(LOWER(Raw_Data!C1766),""electronic money transfer levy""),""Electronic Money"&amp;" Transfer Levy"",IF(REGEXMATCH(LOWER(Raw_Data!C1766),""transfer|trf|send""),""Transfer"",""Other"")))),""Other"")"),"Transfer")</f>
        <v>Transfer</v>
      </c>
      <c r="E1760" s="20">
        <v>200.0</v>
      </c>
      <c r="F1760" s="20">
        <v>0.0</v>
      </c>
      <c r="G1760" s="12" t="str">
        <f t="shared" si="3"/>
        <v>Withdrawal</v>
      </c>
      <c r="H1760" s="12" t="str">
        <f>TEXT(Raw_Data!A1766,"hh:mm:ss")
</f>
        <v>14:14:05</v>
      </c>
      <c r="I1760" s="20">
        <f t="shared" si="4"/>
        <v>200</v>
      </c>
    </row>
    <row r="1761">
      <c r="A1761" s="12" t="str">
        <f>Raw_Data!A1767</f>
        <v>06 Dec 2025 10:19:19</v>
      </c>
      <c r="B1761" s="12" t="str">
        <f t="shared" si="1"/>
        <v>December</v>
      </c>
      <c r="C1761" s="12">
        <f t="shared" si="2"/>
        <v>12</v>
      </c>
      <c r="D1761" s="12" t="str">
        <f>IFERROR(__xludf.DUMMYFUNCTION("IFERROR(IF(REGEXMATCH(LOWER(Raw_Data!C1767),""fixed deposit|owealth|savings|target""),""Fixed Deposit"",IF(REGEXMATCH(LOWER(Raw_Data!C1767),""airtime""),""Airtime"",IF(REGEXMATCH(LOWER(Raw_Data!C1767),""electronic money transfer levy""),""Electronic Money"&amp;" Transfer Levy"",IF(REGEXMATCH(LOWER(Raw_Data!C1767),""transfer|trf|send""),""Transfer"",""Other"")))),""Other"")"),"Transfer")</f>
        <v>Transfer</v>
      </c>
      <c r="E1761" s="20">
        <v>500.0</v>
      </c>
      <c r="F1761" s="20">
        <v>0.0</v>
      </c>
      <c r="G1761" s="12" t="str">
        <f t="shared" si="3"/>
        <v>Withdrawal</v>
      </c>
      <c r="H1761" s="12" t="str">
        <f>TEXT(Raw_Data!A1767,"hh:mm:ss")
</f>
        <v>10:19:19</v>
      </c>
      <c r="I1761" s="20">
        <f t="shared" si="4"/>
        <v>500</v>
      </c>
    </row>
    <row r="1762">
      <c r="A1762" s="12" t="str">
        <f>Raw_Data!A1768</f>
        <v>06 Dec 2025 10:23:52</v>
      </c>
      <c r="B1762" s="12" t="str">
        <f t="shared" si="1"/>
        <v>December</v>
      </c>
      <c r="C1762" s="12">
        <f t="shared" si="2"/>
        <v>12</v>
      </c>
      <c r="D1762" s="12" t="str">
        <f>IFERROR(__xludf.DUMMYFUNCTION("IFERROR(IF(REGEXMATCH(LOWER(Raw_Data!C1768),""fixed deposit|owealth|savings|target""),""Fixed Deposit"",IF(REGEXMATCH(LOWER(Raw_Data!C1768),""airtime""),""Airtime"",IF(REGEXMATCH(LOWER(Raw_Data!C1768),""electronic money transfer levy""),""Electronic Money"&amp;" Transfer Levy"",IF(REGEXMATCH(LOWER(Raw_Data!C1768),""transfer|trf|send""),""Transfer"",""Other"")))),""Other"")"),"Transfer")</f>
        <v>Transfer</v>
      </c>
      <c r="E1762" s="20">
        <v>800.0</v>
      </c>
      <c r="F1762" s="20">
        <v>0.0</v>
      </c>
      <c r="G1762" s="12" t="str">
        <f t="shared" si="3"/>
        <v>Withdrawal</v>
      </c>
      <c r="H1762" s="12" t="str">
        <f>TEXT(Raw_Data!A1768,"hh:mm:ss")
</f>
        <v>10:23:52</v>
      </c>
      <c r="I1762" s="20">
        <f t="shared" si="4"/>
        <v>800</v>
      </c>
    </row>
    <row r="1763">
      <c r="A1763" s="12" t="str">
        <f>Raw_Data!A1769</f>
        <v>07 Dec 2025 16:30:04</v>
      </c>
      <c r="B1763" s="12" t="str">
        <f t="shared" si="1"/>
        <v>December</v>
      </c>
      <c r="C1763" s="12">
        <f t="shared" si="2"/>
        <v>12</v>
      </c>
      <c r="D1763" s="12" t="str">
        <f>IFERROR(__xludf.DUMMYFUNCTION("IFERROR(IF(REGEXMATCH(LOWER(Raw_Data!C1769),""fixed deposit|owealth|savings|target""),""Fixed Deposit"",IF(REGEXMATCH(LOWER(Raw_Data!C1769),""airtime""),""Airtime"",IF(REGEXMATCH(LOWER(Raw_Data!C1769),""electronic money transfer levy""),""Electronic Money"&amp;" Transfer Levy"",IF(REGEXMATCH(LOWER(Raw_Data!C1769),""transfer|trf|send""),""Transfer"",""Other"")))),""Other"")"),"Transfer")</f>
        <v>Transfer</v>
      </c>
      <c r="E1763" s="20">
        <v>0.0</v>
      </c>
      <c r="F1763" s="20">
        <v>10000.0</v>
      </c>
      <c r="G1763" s="12" t="str">
        <f t="shared" si="3"/>
        <v>Deposit</v>
      </c>
      <c r="H1763" s="12" t="str">
        <f>TEXT(Raw_Data!A1769,"hh:mm:ss")
</f>
        <v>16:30:04</v>
      </c>
      <c r="I1763" s="20">
        <f t="shared" si="4"/>
        <v>10000</v>
      </c>
    </row>
    <row r="1764">
      <c r="A1764" s="12" t="str">
        <f>Raw_Data!A1770</f>
        <v>07 Dec 2025 16:30:11</v>
      </c>
      <c r="B1764" s="12" t="str">
        <f t="shared" si="1"/>
        <v>December</v>
      </c>
      <c r="C1764" s="12">
        <f t="shared" si="2"/>
        <v>12</v>
      </c>
      <c r="D1764" s="12" t="str">
        <f>IFERROR(__xludf.DUMMYFUNCTION("IFERROR(IF(REGEXMATCH(LOWER(Raw_Data!C1770),""fixed deposit|owealth|savings|target""),""Fixed Deposit"",IF(REGEXMATCH(LOWER(Raw_Data!C1770),""airtime""),""Airtime"",IF(REGEXMATCH(LOWER(Raw_Data!C1770),""electronic money transfer levy""),""Electronic Money"&amp;" Transfer Levy"",IF(REGEXMATCH(LOWER(Raw_Data!C1770),""transfer|trf|send""),""Transfer"",""Other"")))),""Other"")"),"Electronic Money Transfer Levy")</f>
        <v>Electronic Money Transfer Levy</v>
      </c>
      <c r="E1764" s="20">
        <v>50.0</v>
      </c>
      <c r="F1764" s="20">
        <v>0.0</v>
      </c>
      <c r="G1764" s="12" t="str">
        <f t="shared" si="3"/>
        <v>Withdrawal</v>
      </c>
      <c r="H1764" s="12" t="str">
        <f>TEXT(Raw_Data!A1770,"hh:mm:ss")
</f>
        <v>16:30:11</v>
      </c>
      <c r="I1764" s="20">
        <f t="shared" si="4"/>
        <v>50</v>
      </c>
    </row>
    <row r="1765">
      <c r="A1765" s="12" t="str">
        <f>Raw_Data!A1771</f>
        <v>07 Dec 2025 17:42:15</v>
      </c>
      <c r="B1765" s="12" t="str">
        <f t="shared" si="1"/>
        <v>December</v>
      </c>
      <c r="C1765" s="12">
        <f t="shared" si="2"/>
        <v>12</v>
      </c>
      <c r="D1765" s="12" t="str">
        <f>IFERROR(__xludf.DUMMYFUNCTION("IFERROR(IF(REGEXMATCH(LOWER(Raw_Data!C1771),""fixed deposit|owealth|savings|target""),""Fixed Deposit"",IF(REGEXMATCH(LOWER(Raw_Data!C1771),""airtime""),""Airtime"",IF(REGEXMATCH(LOWER(Raw_Data!C1771),""electronic money transfer levy""),""Electronic Money"&amp;" Transfer Levy"",IF(REGEXMATCH(LOWER(Raw_Data!C1771),""transfer|trf|send""),""Transfer"",""Other"")))),""Other"")"),"Transfer")</f>
        <v>Transfer</v>
      </c>
      <c r="E1765" s="20">
        <v>0.0</v>
      </c>
      <c r="F1765" s="20">
        <v>5000.0</v>
      </c>
      <c r="G1765" s="12" t="str">
        <f t="shared" si="3"/>
        <v>Deposit</v>
      </c>
      <c r="H1765" s="12" t="str">
        <f>TEXT(Raw_Data!A1771,"hh:mm:ss")
</f>
        <v>17:42:15</v>
      </c>
      <c r="I1765" s="20">
        <f t="shared" si="4"/>
        <v>5000</v>
      </c>
    </row>
    <row r="1766">
      <c r="A1766" s="12" t="str">
        <f>Raw_Data!A1772</f>
        <v>07 Dec 2025 18:00:50</v>
      </c>
      <c r="B1766" s="12" t="str">
        <f t="shared" si="1"/>
        <v>December</v>
      </c>
      <c r="C1766" s="12">
        <f t="shared" si="2"/>
        <v>12</v>
      </c>
      <c r="D1766" s="12" t="str">
        <f>IFERROR(__xludf.DUMMYFUNCTION("IFERROR(IF(REGEXMATCH(LOWER(Raw_Data!C1772),""fixed deposit|owealth|savings|target""),""Fixed Deposit"",IF(REGEXMATCH(LOWER(Raw_Data!C1772),""airtime""),""Airtime"",IF(REGEXMATCH(LOWER(Raw_Data!C1772),""electronic money transfer levy""),""Electronic Money"&amp;" Transfer Levy"",IF(REGEXMATCH(LOWER(Raw_Data!C1772),""transfer|trf|send""),""Transfer"",""Other"")))),""Other"")"),"Transfer")</f>
        <v>Transfer</v>
      </c>
      <c r="E1766" s="20">
        <v>0.0</v>
      </c>
      <c r="F1766" s="20">
        <v>20000.0</v>
      </c>
      <c r="G1766" s="12" t="str">
        <f t="shared" si="3"/>
        <v>Deposit</v>
      </c>
      <c r="H1766" s="12" t="str">
        <f>TEXT(Raw_Data!A1772,"hh:mm:ss")
</f>
        <v>18:00:50</v>
      </c>
      <c r="I1766" s="20">
        <f t="shared" si="4"/>
        <v>20000</v>
      </c>
    </row>
    <row r="1767">
      <c r="A1767" s="12" t="str">
        <f>Raw_Data!A1773</f>
        <v>07 Dec 2025 18:00:52</v>
      </c>
      <c r="B1767" s="12" t="str">
        <f t="shared" si="1"/>
        <v>December</v>
      </c>
      <c r="C1767" s="12">
        <f t="shared" si="2"/>
        <v>12</v>
      </c>
      <c r="D1767" s="12" t="str">
        <f>IFERROR(__xludf.DUMMYFUNCTION("IFERROR(IF(REGEXMATCH(LOWER(Raw_Data!C1773),""fixed deposit|owealth|savings|target""),""Fixed Deposit"",IF(REGEXMATCH(LOWER(Raw_Data!C1773),""airtime""),""Airtime"",IF(REGEXMATCH(LOWER(Raw_Data!C1773),""electronic money transfer levy""),""Electronic Money"&amp;" Transfer Levy"",IF(REGEXMATCH(LOWER(Raw_Data!C1773),""transfer|trf|send""),""Transfer"",""Other"")))),""Other"")"),"Electronic Money Transfer Levy")</f>
        <v>Electronic Money Transfer Levy</v>
      </c>
      <c r="E1767" s="20">
        <v>50.0</v>
      </c>
      <c r="F1767" s="20">
        <v>0.0</v>
      </c>
      <c r="G1767" s="12" t="str">
        <f t="shared" si="3"/>
        <v>Withdrawal</v>
      </c>
      <c r="H1767" s="12" t="str">
        <f>TEXT(Raw_Data!A1773,"hh:mm:ss")
</f>
        <v>18:00:52</v>
      </c>
      <c r="I1767" s="20">
        <f t="shared" si="4"/>
        <v>50</v>
      </c>
    </row>
    <row r="1768">
      <c r="A1768" s="12" t="str">
        <f>Raw_Data!A1774</f>
        <v>08 Dec 2025 01:00:07</v>
      </c>
      <c r="B1768" s="12" t="str">
        <f t="shared" si="1"/>
        <v>December</v>
      </c>
      <c r="C1768" s="12">
        <f t="shared" si="2"/>
        <v>12</v>
      </c>
      <c r="D1768" s="12" t="str">
        <f>IFERROR(__xludf.DUMMYFUNCTION("IFERROR(IF(REGEXMATCH(LOWER(Raw_Data!C1774),""fixed deposit|owealth|savings|target""),""Fixed Deposit"",IF(REGEXMATCH(LOWER(Raw_Data!C1774),""airtime""),""Airtime"",IF(REGEXMATCH(LOWER(Raw_Data!C1774),""electronic money transfer levy""),""Electronic Money"&amp;" Transfer Levy"",IF(REGEXMATCH(LOWER(Raw_Data!C1774),""transfer|trf|send""),""Transfer"",""Other"")))),""Other"")"),"Airtime")</f>
        <v>Airtime</v>
      </c>
      <c r="E1768" s="20">
        <v>1000.0</v>
      </c>
      <c r="F1768" s="20">
        <v>0.0</v>
      </c>
      <c r="G1768" s="12" t="str">
        <f t="shared" si="3"/>
        <v>Withdrawal</v>
      </c>
      <c r="H1768" s="12" t="str">
        <f>TEXT(Raw_Data!A1774,"hh:mm:ss")
</f>
        <v>01:00:07</v>
      </c>
      <c r="I1768" s="20">
        <f t="shared" si="4"/>
        <v>1000</v>
      </c>
    </row>
    <row r="1769">
      <c r="A1769" s="12" t="str">
        <f>Raw_Data!A1775</f>
        <v>08 Dec 2025 06:45:13</v>
      </c>
      <c r="B1769" s="12" t="str">
        <f t="shared" si="1"/>
        <v>December</v>
      </c>
      <c r="C1769" s="12">
        <f t="shared" si="2"/>
        <v>12</v>
      </c>
      <c r="D1769" s="12" t="str">
        <f>IFERROR(__xludf.DUMMYFUNCTION("IFERROR(IF(REGEXMATCH(LOWER(Raw_Data!C1775),""fixed deposit|owealth|savings|target""),""Fixed Deposit"",IF(REGEXMATCH(LOWER(Raw_Data!C1775),""airtime""),""Airtime"",IF(REGEXMATCH(LOWER(Raw_Data!C1775),""electronic money transfer levy""),""Electronic Money"&amp;" Transfer Levy"",IF(REGEXMATCH(LOWER(Raw_Data!C1775),""transfer|trf|send""),""Transfer"",""Other"")))),""Other"")"),"Transfer")</f>
        <v>Transfer</v>
      </c>
      <c r="E1769" s="20">
        <v>0.0</v>
      </c>
      <c r="F1769" s="20">
        <v>3000.0</v>
      </c>
      <c r="G1769" s="12" t="str">
        <f t="shared" si="3"/>
        <v>Deposit</v>
      </c>
      <c r="H1769" s="12" t="str">
        <f>TEXT(Raw_Data!A1775,"hh:mm:ss")
</f>
        <v>06:45:13</v>
      </c>
      <c r="I1769" s="20">
        <f t="shared" si="4"/>
        <v>3000</v>
      </c>
    </row>
    <row r="1770">
      <c r="A1770" s="12" t="str">
        <f>Raw_Data!A1776</f>
        <v>08 Dec 2025 07:14:23</v>
      </c>
      <c r="B1770" s="12" t="str">
        <f t="shared" si="1"/>
        <v>December</v>
      </c>
      <c r="C1770" s="12">
        <f t="shared" si="2"/>
        <v>12</v>
      </c>
      <c r="D1770" s="12" t="str">
        <f>IFERROR(__xludf.DUMMYFUNCTION("IFERROR(IF(REGEXMATCH(LOWER(Raw_Data!C1776),""fixed deposit|owealth|savings|target""),""Fixed Deposit"",IF(REGEXMATCH(LOWER(Raw_Data!C1776),""airtime""),""Airtime"",IF(REGEXMATCH(LOWER(Raw_Data!C1776),""electronic money transfer levy""),""Electronic Money"&amp;" Transfer Levy"",IF(REGEXMATCH(LOWER(Raw_Data!C1776),""transfer|trf|send""),""Transfer"",""Other"")))),""Other"")"),"Transfer")</f>
        <v>Transfer</v>
      </c>
      <c r="E1770" s="20">
        <v>200.0</v>
      </c>
      <c r="F1770" s="20">
        <v>0.0</v>
      </c>
      <c r="G1770" s="12" t="str">
        <f t="shared" si="3"/>
        <v>Withdrawal</v>
      </c>
      <c r="H1770" s="12" t="str">
        <f>TEXT(Raw_Data!A1776,"hh:mm:ss")
</f>
        <v>07:14:23</v>
      </c>
      <c r="I1770" s="20">
        <f t="shared" si="4"/>
        <v>200</v>
      </c>
    </row>
    <row r="1771">
      <c r="A1771" s="12" t="str">
        <f>Raw_Data!A1777</f>
        <v>08 Dec 2025 11:25:18</v>
      </c>
      <c r="B1771" s="12" t="str">
        <f t="shared" si="1"/>
        <v>December</v>
      </c>
      <c r="C1771" s="12">
        <f t="shared" si="2"/>
        <v>12</v>
      </c>
      <c r="D1771" s="12" t="str">
        <f>IFERROR(__xludf.DUMMYFUNCTION("IFERROR(IF(REGEXMATCH(LOWER(Raw_Data!C1777),""fixed deposit|owealth|savings|target""),""Fixed Deposit"",IF(REGEXMATCH(LOWER(Raw_Data!C1777),""airtime""),""Airtime"",IF(REGEXMATCH(LOWER(Raw_Data!C1777),""electronic money transfer levy""),""Electronic Money"&amp;" Transfer Levy"",IF(REGEXMATCH(LOWER(Raw_Data!C1777),""transfer|trf|send""),""Transfer"",""Other"")))),""Other"")"),"Transfer")</f>
        <v>Transfer</v>
      </c>
      <c r="E1771" s="20">
        <v>3100.0</v>
      </c>
      <c r="F1771" s="20">
        <v>0.0</v>
      </c>
      <c r="G1771" s="12" t="str">
        <f t="shared" si="3"/>
        <v>Withdrawal</v>
      </c>
      <c r="H1771" s="12" t="str">
        <f>TEXT(Raw_Data!A1777,"hh:mm:ss")
</f>
        <v>11:25:18</v>
      </c>
      <c r="I1771" s="20">
        <f t="shared" si="4"/>
        <v>3100</v>
      </c>
    </row>
    <row r="1772">
      <c r="A1772" s="12" t="str">
        <f>Raw_Data!A1778</f>
        <v>08 Dec 2025 12:35:59</v>
      </c>
      <c r="B1772" s="12" t="str">
        <f t="shared" si="1"/>
        <v>December</v>
      </c>
      <c r="C1772" s="12">
        <f t="shared" si="2"/>
        <v>12</v>
      </c>
      <c r="D1772" s="12" t="str">
        <f>IFERROR(__xludf.DUMMYFUNCTION("IFERROR(IF(REGEXMATCH(LOWER(Raw_Data!C1778),""fixed deposit|owealth|savings|target""),""Fixed Deposit"",IF(REGEXMATCH(LOWER(Raw_Data!C1778),""airtime""),""Airtime"",IF(REGEXMATCH(LOWER(Raw_Data!C1778),""electronic money transfer levy""),""Electronic Money"&amp;" Transfer Levy"",IF(REGEXMATCH(LOWER(Raw_Data!C1778),""transfer|trf|send""),""Transfer"",""Other"")))),""Other"")"),"Transfer")</f>
        <v>Transfer</v>
      </c>
      <c r="E1772" s="20">
        <v>20000.0</v>
      </c>
      <c r="F1772" s="20">
        <v>0.0</v>
      </c>
      <c r="G1772" s="12" t="str">
        <f t="shared" si="3"/>
        <v>Withdrawal</v>
      </c>
      <c r="H1772" s="12" t="str">
        <f>TEXT(Raw_Data!A1778,"hh:mm:ss")
</f>
        <v>12:35:59</v>
      </c>
      <c r="I1772" s="20">
        <f t="shared" si="4"/>
        <v>20000</v>
      </c>
    </row>
    <row r="1773">
      <c r="A1773" s="12" t="str">
        <f>Raw_Data!A1779</f>
        <v>08 Dec 2025 13:03:56</v>
      </c>
      <c r="B1773" s="12" t="str">
        <f t="shared" si="1"/>
        <v>December</v>
      </c>
      <c r="C1773" s="12">
        <f t="shared" si="2"/>
        <v>12</v>
      </c>
      <c r="D1773" s="12" t="str">
        <f>IFERROR(__xludf.DUMMYFUNCTION("IFERROR(IF(REGEXMATCH(LOWER(Raw_Data!C1779),""fixed deposit|owealth|savings|target""),""Fixed Deposit"",IF(REGEXMATCH(LOWER(Raw_Data!C1779),""airtime""),""Airtime"",IF(REGEXMATCH(LOWER(Raw_Data!C1779),""electronic money transfer levy""),""Electronic Money"&amp;" Transfer Levy"",IF(REGEXMATCH(LOWER(Raw_Data!C1779),""transfer|trf|send""),""Transfer"",""Other"")))),""Other"")"),"Transfer")</f>
        <v>Transfer</v>
      </c>
      <c r="E1773" s="20">
        <v>1500.0</v>
      </c>
      <c r="F1773" s="20">
        <v>0.0</v>
      </c>
      <c r="G1773" s="12" t="str">
        <f t="shared" si="3"/>
        <v>Withdrawal</v>
      </c>
      <c r="H1773" s="12" t="str">
        <f>TEXT(Raw_Data!A1779,"hh:mm:ss")
</f>
        <v>13:03:56</v>
      </c>
      <c r="I1773" s="20">
        <f t="shared" si="4"/>
        <v>1500</v>
      </c>
    </row>
    <row r="1774">
      <c r="A1774" s="12" t="str">
        <f>Raw_Data!A1780</f>
        <v>08 Dec 2025 13:20:49</v>
      </c>
      <c r="B1774" s="12" t="str">
        <f t="shared" si="1"/>
        <v>December</v>
      </c>
      <c r="C1774" s="12">
        <f t="shared" si="2"/>
        <v>12</v>
      </c>
      <c r="D1774" s="12" t="str">
        <f>IFERROR(__xludf.DUMMYFUNCTION("IFERROR(IF(REGEXMATCH(LOWER(Raw_Data!C1780),""fixed deposit|owealth|savings|target""),""Fixed Deposit"",IF(REGEXMATCH(LOWER(Raw_Data!C1780),""airtime""),""Airtime"",IF(REGEXMATCH(LOWER(Raw_Data!C1780),""electronic money transfer levy""),""Electronic Money"&amp;" Transfer Levy"",IF(REGEXMATCH(LOWER(Raw_Data!C1780),""transfer|trf|send""),""Transfer"",""Other"")))),""Other"")"),"Transfer")</f>
        <v>Transfer</v>
      </c>
      <c r="E1774" s="20">
        <v>600.0</v>
      </c>
      <c r="F1774" s="20">
        <v>0.0</v>
      </c>
      <c r="G1774" s="12" t="str">
        <f t="shared" si="3"/>
        <v>Withdrawal</v>
      </c>
      <c r="H1774" s="12" t="str">
        <f>TEXT(Raw_Data!A1780,"hh:mm:ss")
</f>
        <v>13:20:49</v>
      </c>
      <c r="I1774" s="20">
        <f t="shared" si="4"/>
        <v>600</v>
      </c>
    </row>
    <row r="1775">
      <c r="A1775" s="12" t="str">
        <f>Raw_Data!A1781</f>
        <v>08 Dec 2025 15:01:41</v>
      </c>
      <c r="B1775" s="12" t="str">
        <f t="shared" si="1"/>
        <v>December</v>
      </c>
      <c r="C1775" s="12">
        <f t="shared" si="2"/>
        <v>12</v>
      </c>
      <c r="D1775" s="12" t="str">
        <f>IFERROR(__xludf.DUMMYFUNCTION("IFERROR(IF(REGEXMATCH(LOWER(Raw_Data!C1781),""fixed deposit|owealth|savings|target""),""Fixed Deposit"",IF(REGEXMATCH(LOWER(Raw_Data!C1781),""airtime""),""Airtime"",IF(REGEXMATCH(LOWER(Raw_Data!C1781),""electronic money transfer levy""),""Electronic Money"&amp;" Transfer Levy"",IF(REGEXMATCH(LOWER(Raw_Data!C1781),""transfer|trf|send""),""Transfer"",""Other"")))),""Other"")"),"Transfer")</f>
        <v>Transfer</v>
      </c>
      <c r="E1775" s="20">
        <v>2500.0</v>
      </c>
      <c r="F1775" s="20">
        <v>0.0</v>
      </c>
      <c r="G1775" s="12" t="str">
        <f t="shared" si="3"/>
        <v>Withdrawal</v>
      </c>
      <c r="H1775" s="12" t="str">
        <f>TEXT(Raw_Data!A1781,"hh:mm:ss")
</f>
        <v>15:01:41</v>
      </c>
      <c r="I1775" s="20">
        <f t="shared" si="4"/>
        <v>2500</v>
      </c>
    </row>
    <row r="1776">
      <c r="A1776" s="12" t="str">
        <f>Raw_Data!A1782</f>
        <v>08 Dec 2025 18:00:15</v>
      </c>
      <c r="B1776" s="12" t="str">
        <f t="shared" si="1"/>
        <v>December</v>
      </c>
      <c r="C1776" s="12">
        <f t="shared" si="2"/>
        <v>12</v>
      </c>
      <c r="D1776" s="12" t="str">
        <f>IFERROR(__xludf.DUMMYFUNCTION("IFERROR(IF(REGEXMATCH(LOWER(Raw_Data!C1782),""fixed deposit|owealth|savings|target""),""Fixed Deposit"",IF(REGEXMATCH(LOWER(Raw_Data!C1782),""airtime""),""Airtime"",IF(REGEXMATCH(LOWER(Raw_Data!C1782),""electronic money transfer levy""),""Electronic Money"&amp;" Transfer Levy"",IF(REGEXMATCH(LOWER(Raw_Data!C1782),""transfer|trf|send""),""Transfer"",""Other"")))),""Other"")"),"Transfer")</f>
        <v>Transfer</v>
      </c>
      <c r="E1776" s="20">
        <v>4210.0</v>
      </c>
      <c r="F1776" s="20">
        <v>0.0</v>
      </c>
      <c r="G1776" s="12" t="str">
        <f t="shared" si="3"/>
        <v>Withdrawal</v>
      </c>
      <c r="H1776" s="12" t="str">
        <f>TEXT(Raw_Data!A1782,"hh:mm:ss")
</f>
        <v>18:00:15</v>
      </c>
      <c r="I1776" s="20">
        <f t="shared" si="4"/>
        <v>4210</v>
      </c>
    </row>
    <row r="1777">
      <c r="A1777" s="12" t="str">
        <f>Raw_Data!A1783</f>
        <v>09 Dec 2025 09:36:35</v>
      </c>
      <c r="B1777" s="12" t="str">
        <f t="shared" si="1"/>
        <v>December</v>
      </c>
      <c r="C1777" s="12">
        <f t="shared" si="2"/>
        <v>12</v>
      </c>
      <c r="D1777" s="12" t="str">
        <f>IFERROR(__xludf.DUMMYFUNCTION("IFERROR(IF(REGEXMATCH(LOWER(Raw_Data!C1783),""fixed deposit|owealth|savings|target""),""Fixed Deposit"",IF(REGEXMATCH(LOWER(Raw_Data!C1783),""airtime""),""Airtime"",IF(REGEXMATCH(LOWER(Raw_Data!C1783),""electronic money transfer levy""),""Electronic Money"&amp;" Transfer Levy"",IF(REGEXMATCH(LOWER(Raw_Data!C1783),""transfer|trf|send""),""Transfer"",""Other"")))),""Other"")"),"Transfer")</f>
        <v>Transfer</v>
      </c>
      <c r="E1777" s="20">
        <v>2300.0</v>
      </c>
      <c r="F1777" s="20">
        <v>0.0</v>
      </c>
      <c r="G1777" s="12" t="str">
        <f t="shared" si="3"/>
        <v>Withdrawal</v>
      </c>
      <c r="H1777" s="12" t="str">
        <f>TEXT(Raw_Data!A1783,"hh:mm:ss")
</f>
        <v>09:36:35</v>
      </c>
      <c r="I1777" s="20">
        <f t="shared" si="4"/>
        <v>2300</v>
      </c>
    </row>
    <row r="1778">
      <c r="A1778" s="12" t="str">
        <f>Raw_Data!A1784</f>
        <v>09 Dec 2025 12:15:03</v>
      </c>
      <c r="B1778" s="12" t="str">
        <f t="shared" si="1"/>
        <v>December</v>
      </c>
      <c r="C1778" s="12">
        <f t="shared" si="2"/>
        <v>12</v>
      </c>
      <c r="D1778" s="12" t="str">
        <f>IFERROR(__xludf.DUMMYFUNCTION("IFERROR(IF(REGEXMATCH(LOWER(Raw_Data!C1784),""fixed deposit|owealth|savings|target""),""Fixed Deposit"",IF(REGEXMATCH(LOWER(Raw_Data!C1784),""airtime""),""Airtime"",IF(REGEXMATCH(LOWER(Raw_Data!C1784),""electronic money transfer levy""),""Electronic Money"&amp;" Transfer Levy"",IF(REGEXMATCH(LOWER(Raw_Data!C1784),""transfer|trf|send""),""Transfer"",""Other"")))),""Other"")"),"Transfer")</f>
        <v>Transfer</v>
      </c>
      <c r="E1778" s="20">
        <v>0.0</v>
      </c>
      <c r="F1778" s="20">
        <v>47000.0</v>
      </c>
      <c r="G1778" s="12" t="str">
        <f t="shared" si="3"/>
        <v>Deposit</v>
      </c>
      <c r="H1778" s="12" t="str">
        <f>TEXT(Raw_Data!A1784,"hh:mm:ss")
</f>
        <v>12:15:03</v>
      </c>
      <c r="I1778" s="20">
        <f t="shared" si="4"/>
        <v>47000</v>
      </c>
    </row>
    <row r="1779">
      <c r="A1779" s="12" t="str">
        <f>Raw_Data!A1785</f>
        <v>09 Dec 2025 12:15:05</v>
      </c>
      <c r="B1779" s="12" t="str">
        <f t="shared" si="1"/>
        <v>December</v>
      </c>
      <c r="C1779" s="12">
        <f t="shared" si="2"/>
        <v>12</v>
      </c>
      <c r="D1779" s="12" t="str">
        <f>IFERROR(__xludf.DUMMYFUNCTION("IFERROR(IF(REGEXMATCH(LOWER(Raw_Data!C1785),""fixed deposit|owealth|savings|target""),""Fixed Deposit"",IF(REGEXMATCH(LOWER(Raw_Data!C1785),""airtime""),""Airtime"",IF(REGEXMATCH(LOWER(Raw_Data!C1785),""electronic money transfer levy""),""Electronic Money"&amp;" Transfer Levy"",IF(REGEXMATCH(LOWER(Raw_Data!C1785),""transfer|trf|send""),""Transfer"",""Other"")))),""Other"")"),"Electronic Money Transfer Levy")</f>
        <v>Electronic Money Transfer Levy</v>
      </c>
      <c r="E1779" s="20">
        <v>50.0</v>
      </c>
      <c r="F1779" s="20">
        <v>0.0</v>
      </c>
      <c r="G1779" s="12" t="str">
        <f t="shared" si="3"/>
        <v>Withdrawal</v>
      </c>
      <c r="H1779" s="12" t="str">
        <f>TEXT(Raw_Data!A1785,"hh:mm:ss")
</f>
        <v>12:15:05</v>
      </c>
      <c r="I1779" s="20">
        <f t="shared" si="4"/>
        <v>50</v>
      </c>
    </row>
    <row r="1780">
      <c r="A1780" s="12" t="str">
        <f>Raw_Data!A1786</f>
        <v>09 Dec 2025 12:21:27</v>
      </c>
      <c r="B1780" s="12" t="str">
        <f t="shared" si="1"/>
        <v>December</v>
      </c>
      <c r="C1780" s="12">
        <f t="shared" si="2"/>
        <v>12</v>
      </c>
      <c r="D1780" s="12" t="str">
        <f>IFERROR(__xludf.DUMMYFUNCTION("IFERROR(IF(REGEXMATCH(LOWER(Raw_Data!C1786),""fixed deposit|owealth|savings|target""),""Fixed Deposit"",IF(REGEXMATCH(LOWER(Raw_Data!C1786),""airtime""),""Airtime"",IF(REGEXMATCH(LOWER(Raw_Data!C1786),""electronic money transfer levy""),""Electronic Money"&amp;" Transfer Levy"",IF(REGEXMATCH(LOWER(Raw_Data!C1786),""transfer|trf|send""),""Transfer"",""Other"")))),""Other"")"),"Transfer")</f>
        <v>Transfer</v>
      </c>
      <c r="E1780" s="20">
        <v>15000.0</v>
      </c>
      <c r="F1780" s="20">
        <v>0.0</v>
      </c>
      <c r="G1780" s="12" t="str">
        <f t="shared" si="3"/>
        <v>Withdrawal</v>
      </c>
      <c r="H1780" s="12" t="str">
        <f>TEXT(Raw_Data!A1786,"hh:mm:ss")
</f>
        <v>12:21:27</v>
      </c>
      <c r="I1780" s="20">
        <f t="shared" si="4"/>
        <v>15000</v>
      </c>
    </row>
    <row r="1781">
      <c r="A1781" s="12" t="str">
        <f>Raw_Data!A1787</f>
        <v>09 Dec 2025 12:22:17</v>
      </c>
      <c r="B1781" s="12" t="str">
        <f t="shared" si="1"/>
        <v>December</v>
      </c>
      <c r="C1781" s="12">
        <f t="shared" si="2"/>
        <v>12</v>
      </c>
      <c r="D1781" s="12" t="str">
        <f>IFERROR(__xludf.DUMMYFUNCTION("IFERROR(IF(REGEXMATCH(LOWER(Raw_Data!C1787),""fixed deposit|owealth|savings|target""),""Fixed Deposit"",IF(REGEXMATCH(LOWER(Raw_Data!C1787),""airtime""),""Airtime"",IF(REGEXMATCH(LOWER(Raw_Data!C1787),""electronic money transfer levy""),""Electronic Money"&amp;" Transfer Levy"",IF(REGEXMATCH(LOWER(Raw_Data!C1787),""transfer|trf|send""),""Transfer"",""Other"")))),""Other"")"),"Transfer")</f>
        <v>Transfer</v>
      </c>
      <c r="E1781" s="20">
        <v>5000.0</v>
      </c>
      <c r="F1781" s="20">
        <v>0.0</v>
      </c>
      <c r="G1781" s="12" t="str">
        <f t="shared" si="3"/>
        <v>Withdrawal</v>
      </c>
      <c r="H1781" s="12" t="str">
        <f>TEXT(Raw_Data!A1787,"hh:mm:ss")
</f>
        <v>12:22:17</v>
      </c>
      <c r="I1781" s="20">
        <f t="shared" si="4"/>
        <v>5000</v>
      </c>
    </row>
    <row r="1782">
      <c r="A1782" s="12" t="str">
        <f>Raw_Data!A1788</f>
        <v>09 Dec 2025 12:51:29</v>
      </c>
      <c r="B1782" s="12" t="str">
        <f t="shared" si="1"/>
        <v>December</v>
      </c>
      <c r="C1782" s="12">
        <f t="shared" si="2"/>
        <v>12</v>
      </c>
      <c r="D1782" s="12" t="str">
        <f>IFERROR(__xludf.DUMMYFUNCTION("IFERROR(IF(REGEXMATCH(LOWER(Raw_Data!C1788),""fixed deposit|owealth|savings|target""),""Fixed Deposit"",IF(REGEXMATCH(LOWER(Raw_Data!C1788),""airtime""),""Airtime"",IF(REGEXMATCH(LOWER(Raw_Data!C1788),""electronic money transfer levy""),""Electronic Money"&amp;" Transfer Levy"",IF(REGEXMATCH(LOWER(Raw_Data!C1788),""transfer|trf|send""),""Transfer"",""Other"")))),""Other"")"),"Transfer")</f>
        <v>Transfer</v>
      </c>
      <c r="E1782" s="20">
        <v>2100.0</v>
      </c>
      <c r="F1782" s="20">
        <v>0.0</v>
      </c>
      <c r="G1782" s="12" t="str">
        <f t="shared" si="3"/>
        <v>Withdrawal</v>
      </c>
      <c r="H1782" s="12" t="str">
        <f>TEXT(Raw_Data!A1788,"hh:mm:ss")
</f>
        <v>12:51:29</v>
      </c>
      <c r="I1782" s="20">
        <f t="shared" si="4"/>
        <v>2100</v>
      </c>
    </row>
    <row r="1783">
      <c r="A1783" s="12" t="str">
        <f>Raw_Data!A1789</f>
        <v>09 Dec 2025 15:31:21</v>
      </c>
      <c r="B1783" s="12" t="str">
        <f t="shared" si="1"/>
        <v>December</v>
      </c>
      <c r="C1783" s="12">
        <f t="shared" si="2"/>
        <v>12</v>
      </c>
      <c r="D1783" s="12" t="str">
        <f>IFERROR(__xludf.DUMMYFUNCTION("IFERROR(IF(REGEXMATCH(LOWER(Raw_Data!C1789),""fixed deposit|owealth|savings|target""),""Fixed Deposit"",IF(REGEXMATCH(LOWER(Raw_Data!C1789),""airtime""),""Airtime"",IF(REGEXMATCH(LOWER(Raw_Data!C1789),""electronic money transfer levy""),""Electronic Money"&amp;" Transfer Levy"",IF(REGEXMATCH(LOWER(Raw_Data!C1789),""transfer|trf|send""),""Transfer"",""Other"")))),""Other"")"),"Transfer")</f>
        <v>Transfer</v>
      </c>
      <c r="E1783" s="20">
        <v>1000.0</v>
      </c>
      <c r="F1783" s="20">
        <v>0.0</v>
      </c>
      <c r="G1783" s="12" t="str">
        <f t="shared" si="3"/>
        <v>Withdrawal</v>
      </c>
      <c r="H1783" s="12" t="str">
        <f>TEXT(Raw_Data!A1789,"hh:mm:ss")
</f>
        <v>15:31:21</v>
      </c>
      <c r="I1783" s="20">
        <f t="shared" si="4"/>
        <v>1000</v>
      </c>
    </row>
    <row r="1784">
      <c r="A1784" s="12" t="str">
        <f>Raw_Data!A1790</f>
        <v>09 Dec 2025 15:43:18</v>
      </c>
      <c r="B1784" s="12" t="str">
        <f t="shared" si="1"/>
        <v>December</v>
      </c>
      <c r="C1784" s="12">
        <f t="shared" si="2"/>
        <v>12</v>
      </c>
      <c r="D1784" s="12" t="str">
        <f>IFERROR(__xludf.DUMMYFUNCTION("IFERROR(IF(REGEXMATCH(LOWER(Raw_Data!C1790),""fixed deposit|owealth|savings|target""),""Fixed Deposit"",IF(REGEXMATCH(LOWER(Raw_Data!C1790),""airtime""),""Airtime"",IF(REGEXMATCH(LOWER(Raw_Data!C1790),""electronic money transfer levy""),""Electronic Money"&amp;" Transfer Levy"",IF(REGEXMATCH(LOWER(Raw_Data!C1790),""transfer|trf|send""),""Transfer"",""Other"")))),""Other"")"),"Transfer")</f>
        <v>Transfer</v>
      </c>
      <c r="E1784" s="20">
        <v>200.0</v>
      </c>
      <c r="F1784" s="20">
        <v>0.0</v>
      </c>
      <c r="G1784" s="12" t="str">
        <f t="shared" si="3"/>
        <v>Withdrawal</v>
      </c>
      <c r="H1784" s="12" t="str">
        <f>TEXT(Raw_Data!A1790,"hh:mm:ss")
</f>
        <v>15:43:18</v>
      </c>
      <c r="I1784" s="20">
        <f t="shared" si="4"/>
        <v>200</v>
      </c>
    </row>
    <row r="1785">
      <c r="A1785" s="12" t="str">
        <f>Raw_Data!A1791</f>
        <v>09 Dec 2025 16:29:39</v>
      </c>
      <c r="B1785" s="12" t="str">
        <f t="shared" si="1"/>
        <v>December</v>
      </c>
      <c r="C1785" s="12">
        <f t="shared" si="2"/>
        <v>12</v>
      </c>
      <c r="D1785" s="12" t="str">
        <f>IFERROR(__xludf.DUMMYFUNCTION("IFERROR(IF(REGEXMATCH(LOWER(Raw_Data!C1791),""fixed deposit|owealth|savings|target""),""Fixed Deposit"",IF(REGEXMATCH(LOWER(Raw_Data!C1791),""airtime""),""Airtime"",IF(REGEXMATCH(LOWER(Raw_Data!C1791),""electronic money transfer levy""),""Electronic Money"&amp;" Transfer Levy"",IF(REGEXMATCH(LOWER(Raw_Data!C1791),""transfer|trf|send""),""Transfer"",""Other"")))),""Other"")"),"Transfer")</f>
        <v>Transfer</v>
      </c>
      <c r="E1785" s="20">
        <v>3800.0</v>
      </c>
      <c r="F1785" s="20">
        <v>0.0</v>
      </c>
      <c r="G1785" s="12" t="str">
        <f t="shared" si="3"/>
        <v>Withdrawal</v>
      </c>
      <c r="H1785" s="12" t="str">
        <f>TEXT(Raw_Data!A1791,"hh:mm:ss")
</f>
        <v>16:29:39</v>
      </c>
      <c r="I1785" s="20">
        <f t="shared" si="4"/>
        <v>3800</v>
      </c>
    </row>
    <row r="1786">
      <c r="A1786" s="12" t="str">
        <f>Raw_Data!A1792</f>
        <v>09 Dec 2025 18:35:49</v>
      </c>
      <c r="B1786" s="12" t="str">
        <f t="shared" si="1"/>
        <v>December</v>
      </c>
      <c r="C1786" s="12">
        <f t="shared" si="2"/>
        <v>12</v>
      </c>
      <c r="D1786" s="12" t="str">
        <f>IFERROR(__xludf.DUMMYFUNCTION("IFERROR(IF(REGEXMATCH(LOWER(Raw_Data!C1792),""fixed deposit|owealth|savings|target""),""Fixed Deposit"",IF(REGEXMATCH(LOWER(Raw_Data!C1792),""airtime""),""Airtime"",IF(REGEXMATCH(LOWER(Raw_Data!C1792),""electronic money transfer levy""),""Electronic Money"&amp;" Transfer Levy"",IF(REGEXMATCH(LOWER(Raw_Data!C1792),""transfer|trf|send""),""Transfer"",""Other"")))),""Other"")"),"Transfer")</f>
        <v>Transfer</v>
      </c>
      <c r="E1786" s="20">
        <v>3300.0</v>
      </c>
      <c r="F1786" s="20">
        <v>0.0</v>
      </c>
      <c r="G1786" s="12" t="str">
        <f t="shared" si="3"/>
        <v>Withdrawal</v>
      </c>
      <c r="H1786" s="12" t="str">
        <f>TEXT(Raw_Data!A1792,"hh:mm:ss")
</f>
        <v>18:35:49</v>
      </c>
      <c r="I1786" s="20">
        <f t="shared" si="4"/>
        <v>3300</v>
      </c>
    </row>
    <row r="1787">
      <c r="A1787" s="12" t="str">
        <f>Raw_Data!A1793</f>
        <v>09 Dec 2025 18:41:39</v>
      </c>
      <c r="B1787" s="12" t="str">
        <f t="shared" si="1"/>
        <v>December</v>
      </c>
      <c r="C1787" s="12">
        <f t="shared" si="2"/>
        <v>12</v>
      </c>
      <c r="D1787" s="12" t="str">
        <f>IFERROR(__xludf.DUMMYFUNCTION("IFERROR(IF(REGEXMATCH(LOWER(Raw_Data!C1793),""fixed deposit|owealth|savings|target""),""Fixed Deposit"",IF(REGEXMATCH(LOWER(Raw_Data!C1793),""airtime""),""Airtime"",IF(REGEXMATCH(LOWER(Raw_Data!C1793),""electronic money transfer levy""),""Electronic Money"&amp;" Transfer Levy"",IF(REGEXMATCH(LOWER(Raw_Data!C1793),""transfer|trf|send""),""Transfer"",""Other"")))),""Other"")"),"Transfer")</f>
        <v>Transfer</v>
      </c>
      <c r="E1787" s="20">
        <v>1000.0</v>
      </c>
      <c r="F1787" s="20">
        <v>0.0</v>
      </c>
      <c r="G1787" s="12" t="str">
        <f t="shared" si="3"/>
        <v>Withdrawal</v>
      </c>
      <c r="H1787" s="12" t="str">
        <f>TEXT(Raw_Data!A1793,"hh:mm:ss")
</f>
        <v>18:41:39</v>
      </c>
      <c r="I1787" s="20">
        <f t="shared" si="4"/>
        <v>1000</v>
      </c>
    </row>
    <row r="1788">
      <c r="A1788" s="12" t="str">
        <f>Raw_Data!A1794</f>
        <v>10 Dec 2025 08:47:36</v>
      </c>
      <c r="B1788" s="12" t="str">
        <f t="shared" si="1"/>
        <v>December</v>
      </c>
      <c r="C1788" s="12">
        <f t="shared" si="2"/>
        <v>12</v>
      </c>
      <c r="D1788" s="12" t="str">
        <f>IFERROR(__xludf.DUMMYFUNCTION("IFERROR(IF(REGEXMATCH(LOWER(Raw_Data!C1794),""fixed deposit|owealth|savings|target""),""Fixed Deposit"",IF(REGEXMATCH(LOWER(Raw_Data!C1794),""airtime""),""Airtime"",IF(REGEXMATCH(LOWER(Raw_Data!C1794),""electronic money transfer levy""),""Electronic Money"&amp;" Transfer Levy"",IF(REGEXMATCH(LOWER(Raw_Data!C1794),""transfer|trf|send""),""Transfer"",""Other"")))),""Other"")"),"Transfer")</f>
        <v>Transfer</v>
      </c>
      <c r="E1788" s="20">
        <v>500.0</v>
      </c>
      <c r="F1788" s="20">
        <v>0.0</v>
      </c>
      <c r="G1788" s="12" t="str">
        <f t="shared" si="3"/>
        <v>Withdrawal</v>
      </c>
      <c r="H1788" s="12" t="str">
        <f>TEXT(Raw_Data!A1794,"hh:mm:ss")
</f>
        <v>08:47:36</v>
      </c>
      <c r="I1788" s="20">
        <f t="shared" si="4"/>
        <v>500</v>
      </c>
    </row>
    <row r="1789">
      <c r="A1789" s="12" t="str">
        <f>Raw_Data!A1795</f>
        <v>10 Dec 2025 13:50:56</v>
      </c>
      <c r="B1789" s="12" t="str">
        <f t="shared" si="1"/>
        <v>December</v>
      </c>
      <c r="C1789" s="12">
        <f t="shared" si="2"/>
        <v>12</v>
      </c>
      <c r="D1789" s="12" t="str">
        <f>IFERROR(__xludf.DUMMYFUNCTION("IFERROR(IF(REGEXMATCH(LOWER(Raw_Data!C1795),""fixed deposit|owealth|savings|target""),""Fixed Deposit"",IF(REGEXMATCH(LOWER(Raw_Data!C1795),""airtime""),""Airtime"",IF(REGEXMATCH(LOWER(Raw_Data!C1795),""electronic money transfer levy""),""Electronic Money"&amp;" Transfer Levy"",IF(REGEXMATCH(LOWER(Raw_Data!C1795),""transfer|trf|send""),""Transfer"",""Other"")))),""Other"")"),"Transfer")</f>
        <v>Transfer</v>
      </c>
      <c r="E1789" s="20">
        <v>500.0</v>
      </c>
      <c r="F1789" s="20">
        <v>0.0</v>
      </c>
      <c r="G1789" s="12" t="str">
        <f t="shared" si="3"/>
        <v>Withdrawal</v>
      </c>
      <c r="H1789" s="12" t="str">
        <f>TEXT(Raw_Data!A1795,"hh:mm:ss")
</f>
        <v>13:50:56</v>
      </c>
      <c r="I1789" s="20">
        <f t="shared" si="4"/>
        <v>500</v>
      </c>
    </row>
    <row r="1790">
      <c r="A1790" s="12" t="str">
        <f>Raw_Data!A1796</f>
        <v>10 Dec 2025 14:18:19</v>
      </c>
      <c r="B1790" s="12" t="str">
        <f t="shared" si="1"/>
        <v>December</v>
      </c>
      <c r="C1790" s="12">
        <f t="shared" si="2"/>
        <v>12</v>
      </c>
      <c r="D1790" s="12" t="str">
        <f>IFERROR(__xludf.DUMMYFUNCTION("IFERROR(IF(REGEXMATCH(LOWER(Raw_Data!C1796),""fixed deposit|owealth|savings|target""),""Fixed Deposit"",IF(REGEXMATCH(LOWER(Raw_Data!C1796),""airtime""),""Airtime"",IF(REGEXMATCH(LOWER(Raw_Data!C1796),""electronic money transfer levy""),""Electronic Money"&amp;" Transfer Levy"",IF(REGEXMATCH(LOWER(Raw_Data!C1796),""transfer|trf|send""),""Transfer"",""Other"")))),""Other"")"),"Transfer")</f>
        <v>Transfer</v>
      </c>
      <c r="E1790" s="20">
        <v>2000.0</v>
      </c>
      <c r="F1790" s="20">
        <v>0.0</v>
      </c>
      <c r="G1790" s="12" t="str">
        <f t="shared" si="3"/>
        <v>Withdrawal</v>
      </c>
      <c r="H1790" s="12" t="str">
        <f>TEXT(Raw_Data!A1796,"hh:mm:ss")
</f>
        <v>14:18:19</v>
      </c>
      <c r="I1790" s="20">
        <f t="shared" si="4"/>
        <v>2000</v>
      </c>
    </row>
    <row r="1791">
      <c r="A1791" s="12" t="str">
        <f>Raw_Data!A1797</f>
        <v>10 Dec 2025 15:50:17</v>
      </c>
      <c r="B1791" s="12" t="str">
        <f t="shared" si="1"/>
        <v>December</v>
      </c>
      <c r="C1791" s="12">
        <f t="shared" si="2"/>
        <v>12</v>
      </c>
      <c r="D1791" s="12" t="str">
        <f>IFERROR(__xludf.DUMMYFUNCTION("IFERROR(IF(REGEXMATCH(LOWER(Raw_Data!C1797),""fixed deposit|owealth|savings|target""),""Fixed Deposit"",IF(REGEXMATCH(LOWER(Raw_Data!C1797),""airtime""),""Airtime"",IF(REGEXMATCH(LOWER(Raw_Data!C1797),""electronic money transfer levy""),""Electronic Money"&amp;" Transfer Levy"",IF(REGEXMATCH(LOWER(Raw_Data!C1797),""transfer|trf|send""),""Transfer"",""Other"")))),""Other"")"),"Transfer")</f>
        <v>Transfer</v>
      </c>
      <c r="E1791" s="20">
        <v>200.0</v>
      </c>
      <c r="F1791" s="20">
        <v>0.0</v>
      </c>
      <c r="G1791" s="12" t="str">
        <f t="shared" si="3"/>
        <v>Withdrawal</v>
      </c>
      <c r="H1791" s="12" t="str">
        <f>TEXT(Raw_Data!A1797,"hh:mm:ss")
</f>
        <v>15:50:17</v>
      </c>
      <c r="I1791" s="20">
        <f t="shared" si="4"/>
        <v>200</v>
      </c>
    </row>
    <row r="1792">
      <c r="A1792" s="12" t="str">
        <f>Raw_Data!A1798</f>
        <v>10 Dec 2025 17:54:43</v>
      </c>
      <c r="B1792" s="12" t="str">
        <f t="shared" si="1"/>
        <v>December</v>
      </c>
      <c r="C1792" s="12">
        <f t="shared" si="2"/>
        <v>12</v>
      </c>
      <c r="D1792" s="12" t="str">
        <f>IFERROR(__xludf.DUMMYFUNCTION("IFERROR(IF(REGEXMATCH(LOWER(Raw_Data!C1798),""fixed deposit|owealth|savings|target""),""Fixed Deposit"",IF(REGEXMATCH(LOWER(Raw_Data!C1798),""airtime""),""Airtime"",IF(REGEXMATCH(LOWER(Raw_Data!C1798),""electronic money transfer levy""),""Electronic Money"&amp;" Transfer Levy"",IF(REGEXMATCH(LOWER(Raw_Data!C1798),""transfer|trf|send""),""Transfer"",""Other"")))),""Other"")"),"Transfer")</f>
        <v>Transfer</v>
      </c>
      <c r="E1792" s="20">
        <v>1600.0</v>
      </c>
      <c r="F1792" s="20">
        <v>0.0</v>
      </c>
      <c r="G1792" s="12" t="str">
        <f t="shared" si="3"/>
        <v>Withdrawal</v>
      </c>
      <c r="H1792" s="12" t="str">
        <f>TEXT(Raw_Data!A1798,"hh:mm:ss")
</f>
        <v>17:54:43</v>
      </c>
      <c r="I1792" s="20">
        <f t="shared" si="4"/>
        <v>1600</v>
      </c>
    </row>
    <row r="1793">
      <c r="A1793" s="12" t="str">
        <f>Raw_Data!A1799</f>
        <v>10 Dec 2025 22:43:40</v>
      </c>
      <c r="B1793" s="12" t="str">
        <f t="shared" si="1"/>
        <v>December</v>
      </c>
      <c r="C1793" s="12">
        <f t="shared" si="2"/>
        <v>12</v>
      </c>
      <c r="D1793" s="12" t="str">
        <f>IFERROR(__xludf.DUMMYFUNCTION("IFERROR(IF(REGEXMATCH(LOWER(Raw_Data!C1799),""fixed deposit|owealth|savings|target""),""Fixed Deposit"",IF(REGEXMATCH(LOWER(Raw_Data!C1799),""airtime""),""Airtime"",IF(REGEXMATCH(LOWER(Raw_Data!C1799),""electronic money transfer levy""),""Electronic Money"&amp;" Transfer Levy"",IF(REGEXMATCH(LOWER(Raw_Data!C1799),""transfer|trf|send""),""Transfer"",""Other"")))),""Other"")"),"Airtime")</f>
        <v>Airtime</v>
      </c>
      <c r="E1793" s="20">
        <v>100.0</v>
      </c>
      <c r="F1793" s="20">
        <v>0.0</v>
      </c>
      <c r="G1793" s="12" t="str">
        <f t="shared" si="3"/>
        <v>Withdrawal</v>
      </c>
      <c r="H1793" s="12" t="str">
        <f>TEXT(Raw_Data!A1799,"hh:mm:ss")
</f>
        <v>22:43:40</v>
      </c>
      <c r="I1793" s="20">
        <f t="shared" si="4"/>
        <v>100</v>
      </c>
    </row>
    <row r="1794">
      <c r="A1794" s="12" t="str">
        <f>Raw_Data!A1800</f>
        <v>10 Dec 2025 22:46:36</v>
      </c>
      <c r="B1794" s="12" t="str">
        <f t="shared" si="1"/>
        <v>December</v>
      </c>
      <c r="C1794" s="12">
        <f t="shared" si="2"/>
        <v>12</v>
      </c>
      <c r="D1794" s="12" t="str">
        <f>IFERROR(__xludf.DUMMYFUNCTION("IFERROR(IF(REGEXMATCH(LOWER(Raw_Data!C1800),""fixed deposit|owealth|savings|target""),""Fixed Deposit"",IF(REGEXMATCH(LOWER(Raw_Data!C1800),""airtime""),""Airtime"",IF(REGEXMATCH(LOWER(Raw_Data!C1800),""electronic money transfer levy""),""Electronic Money"&amp;" Transfer Levy"",IF(REGEXMATCH(LOWER(Raw_Data!C1800),""transfer|trf|send""),""Transfer"",""Other"")))),""Other"")"),"Airtime")</f>
        <v>Airtime</v>
      </c>
      <c r="E1794" s="20">
        <v>300.0</v>
      </c>
      <c r="F1794" s="20">
        <v>0.0</v>
      </c>
      <c r="G1794" s="12" t="str">
        <f t="shared" si="3"/>
        <v>Withdrawal</v>
      </c>
      <c r="H1794" s="12" t="str">
        <f>TEXT(Raw_Data!A1800,"hh:mm:ss")
</f>
        <v>22:46:36</v>
      </c>
      <c r="I1794" s="20">
        <f t="shared" si="4"/>
        <v>300</v>
      </c>
    </row>
    <row r="1795">
      <c r="A1795" s="12" t="str">
        <f>Raw_Data!A1801</f>
        <v>11 Dec 2025 12:21:10</v>
      </c>
      <c r="B1795" s="12" t="str">
        <f t="shared" si="1"/>
        <v>December</v>
      </c>
      <c r="C1795" s="12">
        <f t="shared" si="2"/>
        <v>12</v>
      </c>
      <c r="D1795" s="12" t="str">
        <f>IFERROR(__xludf.DUMMYFUNCTION("IFERROR(IF(REGEXMATCH(LOWER(Raw_Data!C1801),""fixed deposit|owealth|savings|target""),""Fixed Deposit"",IF(REGEXMATCH(LOWER(Raw_Data!C1801),""airtime""),""Airtime"",IF(REGEXMATCH(LOWER(Raw_Data!C1801),""electronic money transfer levy""),""Electronic Money"&amp;" Transfer Levy"",IF(REGEXMATCH(LOWER(Raw_Data!C1801),""transfer|trf|send""),""Transfer"",""Other"")))),""Other"")"),"Transfer")</f>
        <v>Transfer</v>
      </c>
      <c r="E1795" s="20">
        <v>1000.0</v>
      </c>
      <c r="F1795" s="20">
        <v>0.0</v>
      </c>
      <c r="G1795" s="12" t="str">
        <f t="shared" si="3"/>
        <v>Withdrawal</v>
      </c>
      <c r="H1795" s="12" t="str">
        <f>TEXT(Raw_Data!A1801,"hh:mm:ss")
</f>
        <v>12:21:10</v>
      </c>
      <c r="I1795" s="20">
        <f t="shared" si="4"/>
        <v>1000</v>
      </c>
    </row>
    <row r="1796">
      <c r="A1796" s="12" t="str">
        <f>Raw_Data!A1802</f>
        <v>11 Dec 2025 16:51:40</v>
      </c>
      <c r="B1796" s="12" t="str">
        <f t="shared" si="1"/>
        <v>December</v>
      </c>
      <c r="C1796" s="12">
        <f t="shared" si="2"/>
        <v>12</v>
      </c>
      <c r="D1796" s="12" t="str">
        <f>IFERROR(__xludf.DUMMYFUNCTION("IFERROR(IF(REGEXMATCH(LOWER(Raw_Data!C1802),""fixed deposit|owealth|savings|target""),""Fixed Deposit"",IF(REGEXMATCH(LOWER(Raw_Data!C1802),""airtime""),""Airtime"",IF(REGEXMATCH(LOWER(Raw_Data!C1802),""electronic money transfer levy""),""Electronic Money"&amp;" Transfer Levy"",IF(REGEXMATCH(LOWER(Raw_Data!C1802),""transfer|trf|send""),""Transfer"",""Other"")))),""Other"")"),"Transfer")</f>
        <v>Transfer</v>
      </c>
      <c r="E1796" s="20">
        <v>700.0</v>
      </c>
      <c r="F1796" s="20">
        <v>0.0</v>
      </c>
      <c r="G1796" s="12" t="str">
        <f t="shared" si="3"/>
        <v>Withdrawal</v>
      </c>
      <c r="H1796" s="12" t="str">
        <f>TEXT(Raw_Data!A1802,"hh:mm:ss")
</f>
        <v>16:51:40</v>
      </c>
      <c r="I1796" s="20">
        <f t="shared" si="4"/>
        <v>700</v>
      </c>
    </row>
    <row r="1797">
      <c r="A1797" s="12" t="str">
        <f>Raw_Data!A1803</f>
        <v>11 Dec 2025 17:01:23</v>
      </c>
      <c r="B1797" s="12" t="str">
        <f t="shared" si="1"/>
        <v>December</v>
      </c>
      <c r="C1797" s="12">
        <f t="shared" si="2"/>
        <v>12</v>
      </c>
      <c r="D1797" s="12" t="str">
        <f>IFERROR(__xludf.DUMMYFUNCTION("IFERROR(IF(REGEXMATCH(LOWER(Raw_Data!C1803),""fixed deposit|owealth|savings|target""),""Fixed Deposit"",IF(REGEXMATCH(LOWER(Raw_Data!C1803),""airtime""),""Airtime"",IF(REGEXMATCH(LOWER(Raw_Data!C1803),""electronic money transfer levy""),""Electronic Money"&amp;" Transfer Levy"",IF(REGEXMATCH(LOWER(Raw_Data!C1803),""transfer|trf|send""),""Transfer"",""Other"")))),""Other"")"),"Transfer")</f>
        <v>Transfer</v>
      </c>
      <c r="E1797" s="20">
        <v>950.0</v>
      </c>
      <c r="F1797" s="20">
        <v>0.0</v>
      </c>
      <c r="G1797" s="12" t="str">
        <f t="shared" si="3"/>
        <v>Withdrawal</v>
      </c>
      <c r="H1797" s="12" t="str">
        <f>TEXT(Raw_Data!A1803,"hh:mm:ss")
</f>
        <v>17:01:23</v>
      </c>
      <c r="I1797" s="20">
        <f t="shared" si="4"/>
        <v>950</v>
      </c>
    </row>
    <row r="1798">
      <c r="A1798" s="12" t="str">
        <f>Raw_Data!A1804</f>
        <v>11 Dec 2025 17:03:56</v>
      </c>
      <c r="B1798" s="12" t="str">
        <f t="shared" si="1"/>
        <v>December</v>
      </c>
      <c r="C1798" s="12">
        <f t="shared" si="2"/>
        <v>12</v>
      </c>
      <c r="D1798" s="12" t="str">
        <f>IFERROR(__xludf.DUMMYFUNCTION("IFERROR(IF(REGEXMATCH(LOWER(Raw_Data!C1804),""fixed deposit|owealth|savings|target""),""Fixed Deposit"",IF(REGEXMATCH(LOWER(Raw_Data!C1804),""airtime""),""Airtime"",IF(REGEXMATCH(LOWER(Raw_Data!C1804),""electronic money transfer levy""),""Electronic Money"&amp;" Transfer Levy"",IF(REGEXMATCH(LOWER(Raw_Data!C1804),""transfer|trf|send""),""Transfer"",""Other"")))),""Other"")"),"Transfer")</f>
        <v>Transfer</v>
      </c>
      <c r="E1798" s="20">
        <v>200.0</v>
      </c>
      <c r="F1798" s="20">
        <v>0.0</v>
      </c>
      <c r="G1798" s="12" t="str">
        <f t="shared" si="3"/>
        <v>Withdrawal</v>
      </c>
      <c r="H1798" s="12" t="str">
        <f>TEXT(Raw_Data!A1804,"hh:mm:ss")
</f>
        <v>17:03:56</v>
      </c>
      <c r="I1798" s="20">
        <f t="shared" si="4"/>
        <v>200</v>
      </c>
    </row>
    <row r="1799">
      <c r="A1799" s="12" t="str">
        <f>Raw_Data!A1805</f>
        <v>11 Dec 2025 20:04:52</v>
      </c>
      <c r="B1799" s="12" t="str">
        <f t="shared" si="1"/>
        <v>December</v>
      </c>
      <c r="C1799" s="12">
        <f t="shared" si="2"/>
        <v>12</v>
      </c>
      <c r="D1799" s="12" t="str">
        <f>IFERROR(__xludf.DUMMYFUNCTION("IFERROR(IF(REGEXMATCH(LOWER(Raw_Data!C1805),""fixed deposit|owealth|savings|target""),""Fixed Deposit"",IF(REGEXMATCH(LOWER(Raw_Data!C1805),""airtime""),""Airtime"",IF(REGEXMATCH(LOWER(Raw_Data!C1805),""electronic money transfer levy""),""Electronic Money"&amp;" Transfer Levy"",IF(REGEXMATCH(LOWER(Raw_Data!C1805),""transfer|trf|send""),""Transfer"",""Other"")))),""Other"")"),"Transfer")</f>
        <v>Transfer</v>
      </c>
      <c r="E1799" s="20">
        <v>0.0</v>
      </c>
      <c r="F1799" s="20">
        <v>500.0</v>
      </c>
      <c r="G1799" s="12" t="str">
        <f t="shared" si="3"/>
        <v>Deposit</v>
      </c>
      <c r="H1799" s="12" t="str">
        <f>TEXT(Raw_Data!A1805,"hh:mm:ss")
</f>
        <v>20:04:52</v>
      </c>
      <c r="I1799" s="20">
        <f t="shared" si="4"/>
        <v>500</v>
      </c>
    </row>
    <row r="1800">
      <c r="A1800" s="12" t="str">
        <f>Raw_Data!A1806</f>
        <v>12 Dec 2025 08:34:18</v>
      </c>
      <c r="B1800" s="12" t="str">
        <f t="shared" si="1"/>
        <v>December</v>
      </c>
      <c r="C1800" s="12">
        <f t="shared" si="2"/>
        <v>12</v>
      </c>
      <c r="D1800" s="12" t="str">
        <f>IFERROR(__xludf.DUMMYFUNCTION("IFERROR(IF(REGEXMATCH(LOWER(Raw_Data!C1806),""fixed deposit|owealth|savings|target""),""Fixed Deposit"",IF(REGEXMATCH(LOWER(Raw_Data!C1806),""airtime""),""Airtime"",IF(REGEXMATCH(LOWER(Raw_Data!C1806),""electronic money transfer levy""),""Electronic Money"&amp;" Transfer Levy"",IF(REGEXMATCH(LOWER(Raw_Data!C1806),""transfer|trf|send""),""Transfer"",""Other"")))),""Other"")"),"Transfer")</f>
        <v>Transfer</v>
      </c>
      <c r="E1800" s="20">
        <v>1500.0</v>
      </c>
      <c r="F1800" s="20">
        <v>0.0</v>
      </c>
      <c r="G1800" s="12" t="str">
        <f t="shared" si="3"/>
        <v>Withdrawal</v>
      </c>
      <c r="H1800" s="12" t="str">
        <f>TEXT(Raw_Data!A1806,"hh:mm:ss")
</f>
        <v>08:34:18</v>
      </c>
      <c r="I1800" s="20">
        <f t="shared" si="4"/>
        <v>1500</v>
      </c>
    </row>
    <row r="1801">
      <c r="A1801" s="12" t="str">
        <f>Raw_Data!A1807</f>
        <v>12 Dec 2025 10:04:15</v>
      </c>
      <c r="B1801" s="12" t="str">
        <f t="shared" si="1"/>
        <v>December</v>
      </c>
      <c r="C1801" s="12">
        <f t="shared" si="2"/>
        <v>12</v>
      </c>
      <c r="D1801" s="12" t="str">
        <f>IFERROR(__xludf.DUMMYFUNCTION("IFERROR(IF(REGEXMATCH(LOWER(Raw_Data!C1807),""fixed deposit|owealth|savings|target""),""Fixed Deposit"",IF(REGEXMATCH(LOWER(Raw_Data!C1807),""airtime""),""Airtime"",IF(REGEXMATCH(LOWER(Raw_Data!C1807),""electronic money transfer levy""),""Electronic Money"&amp;" Transfer Levy"",IF(REGEXMATCH(LOWER(Raw_Data!C1807),""transfer|trf|send""),""Transfer"",""Other"")))),""Other"")"),"Transfer")</f>
        <v>Transfer</v>
      </c>
      <c r="E1801" s="20">
        <v>0.0</v>
      </c>
      <c r="F1801" s="20">
        <v>700.0</v>
      </c>
      <c r="G1801" s="12" t="str">
        <f t="shared" si="3"/>
        <v>Deposit</v>
      </c>
      <c r="H1801" s="12" t="str">
        <f>TEXT(Raw_Data!A1807,"hh:mm:ss")
</f>
        <v>10:04:15</v>
      </c>
      <c r="I1801" s="20">
        <f t="shared" si="4"/>
        <v>700</v>
      </c>
    </row>
    <row r="1802">
      <c r="A1802" s="12" t="str">
        <f>Raw_Data!A1808</f>
        <v>13 Dec 2025 12:23:49</v>
      </c>
      <c r="B1802" s="12" t="str">
        <f t="shared" si="1"/>
        <v>December</v>
      </c>
      <c r="C1802" s="12">
        <f t="shared" si="2"/>
        <v>12</v>
      </c>
      <c r="D1802" s="12" t="str">
        <f>IFERROR(__xludf.DUMMYFUNCTION("IFERROR(IF(REGEXMATCH(LOWER(Raw_Data!C1808),""fixed deposit|owealth|savings|target""),""Fixed Deposit"",IF(REGEXMATCH(LOWER(Raw_Data!C1808),""airtime""),""Airtime"",IF(REGEXMATCH(LOWER(Raw_Data!C1808),""electronic money transfer levy""),""Electronic Money"&amp;" Transfer Levy"",IF(REGEXMATCH(LOWER(Raw_Data!C1808),""transfer|trf|send""),""Transfer"",""Other"")))),""Other"")"),"Transfer")</f>
        <v>Transfer</v>
      </c>
      <c r="E1802" s="20">
        <v>400.0</v>
      </c>
      <c r="F1802" s="20">
        <v>0.0</v>
      </c>
      <c r="G1802" s="12" t="str">
        <f t="shared" si="3"/>
        <v>Withdrawal</v>
      </c>
      <c r="H1802" s="12" t="str">
        <f>TEXT(Raw_Data!A1808,"hh:mm:ss")
</f>
        <v>12:23:49</v>
      </c>
      <c r="I1802" s="20">
        <f t="shared" si="4"/>
        <v>400</v>
      </c>
    </row>
    <row r="1803">
      <c r="A1803" s="12" t="str">
        <f>Raw_Data!A1809</f>
        <v>13 Dec 2025 14:39:26</v>
      </c>
      <c r="B1803" s="12" t="str">
        <f t="shared" si="1"/>
        <v>December</v>
      </c>
      <c r="C1803" s="12">
        <f t="shared" si="2"/>
        <v>12</v>
      </c>
      <c r="D1803" s="12" t="str">
        <f>IFERROR(__xludf.DUMMYFUNCTION("IFERROR(IF(REGEXMATCH(LOWER(Raw_Data!C1809),""fixed deposit|owealth|savings|target""),""Fixed Deposit"",IF(REGEXMATCH(LOWER(Raw_Data!C1809),""airtime""),""Airtime"",IF(REGEXMATCH(LOWER(Raw_Data!C1809),""electronic money transfer levy""),""Electronic Money"&amp;" Transfer Levy"",IF(REGEXMATCH(LOWER(Raw_Data!C1809),""transfer|trf|send""),""Transfer"",""Other"")))),""Other"")"),"Transfer")</f>
        <v>Transfer</v>
      </c>
      <c r="E1803" s="20">
        <v>2000.0</v>
      </c>
      <c r="F1803" s="20">
        <v>0.0</v>
      </c>
      <c r="G1803" s="12" t="str">
        <f t="shared" si="3"/>
        <v>Withdrawal</v>
      </c>
      <c r="H1803" s="12" t="str">
        <f>TEXT(Raw_Data!A1809,"hh:mm:ss")
</f>
        <v>14:39:26</v>
      </c>
      <c r="I1803" s="20">
        <f t="shared" si="4"/>
        <v>2000</v>
      </c>
    </row>
    <row r="1804">
      <c r="A1804" s="12" t="str">
        <f>Raw_Data!A1810</f>
        <v>13 Dec 2025 14:42:59</v>
      </c>
      <c r="B1804" s="12" t="str">
        <f t="shared" si="1"/>
        <v>December</v>
      </c>
      <c r="C1804" s="12">
        <f t="shared" si="2"/>
        <v>12</v>
      </c>
      <c r="D1804" s="12" t="str">
        <f>IFERROR(__xludf.DUMMYFUNCTION("IFERROR(IF(REGEXMATCH(LOWER(Raw_Data!C1810),""fixed deposit|owealth|savings|target""),""Fixed Deposit"",IF(REGEXMATCH(LOWER(Raw_Data!C1810),""airtime""),""Airtime"",IF(REGEXMATCH(LOWER(Raw_Data!C1810),""electronic money transfer levy""),""Electronic Money"&amp;" Transfer Levy"",IF(REGEXMATCH(LOWER(Raw_Data!C1810),""transfer|trf|send""),""Transfer"",""Other"")))),""Other"")"),"Transfer")</f>
        <v>Transfer</v>
      </c>
      <c r="E1804" s="20">
        <v>800.0</v>
      </c>
      <c r="F1804" s="20">
        <v>0.0</v>
      </c>
      <c r="G1804" s="12" t="str">
        <f t="shared" si="3"/>
        <v>Withdrawal</v>
      </c>
      <c r="H1804" s="12" t="str">
        <f>TEXT(Raw_Data!A1810,"hh:mm:ss")
</f>
        <v>14:42:59</v>
      </c>
      <c r="I1804" s="20">
        <f t="shared" si="4"/>
        <v>800</v>
      </c>
    </row>
    <row r="1805">
      <c r="A1805" s="12" t="str">
        <f>Raw_Data!A1811</f>
        <v>13 Dec 2025 19:12:06</v>
      </c>
      <c r="B1805" s="12" t="str">
        <f t="shared" si="1"/>
        <v>December</v>
      </c>
      <c r="C1805" s="12">
        <f t="shared" si="2"/>
        <v>12</v>
      </c>
      <c r="D1805" s="12" t="str">
        <f>IFERROR(__xludf.DUMMYFUNCTION("IFERROR(IF(REGEXMATCH(LOWER(Raw_Data!C1811),""fixed deposit|owealth|savings|target""),""Fixed Deposit"",IF(REGEXMATCH(LOWER(Raw_Data!C1811),""airtime""),""Airtime"",IF(REGEXMATCH(LOWER(Raw_Data!C1811),""electronic money transfer levy""),""Electronic Money"&amp;" Transfer Levy"",IF(REGEXMATCH(LOWER(Raw_Data!C1811),""transfer|trf|send""),""Transfer"",""Other"")))),""Other"")"),"Transfer")</f>
        <v>Transfer</v>
      </c>
      <c r="E1805" s="20">
        <v>200.0</v>
      </c>
      <c r="F1805" s="20">
        <v>0.0</v>
      </c>
      <c r="G1805" s="12" t="str">
        <f t="shared" si="3"/>
        <v>Withdrawal</v>
      </c>
      <c r="H1805" s="12" t="str">
        <f>TEXT(Raw_Data!A1811,"hh:mm:ss")
</f>
        <v>19:12:06</v>
      </c>
      <c r="I1805" s="20">
        <f t="shared" si="4"/>
        <v>200</v>
      </c>
    </row>
    <row r="1806">
      <c r="A1806" s="12" t="str">
        <f>Raw_Data!A1812</f>
        <v>13 Dec 2025 19:12:22</v>
      </c>
      <c r="B1806" s="12" t="str">
        <f t="shared" si="1"/>
        <v>December</v>
      </c>
      <c r="C1806" s="12">
        <f t="shared" si="2"/>
        <v>12</v>
      </c>
      <c r="D1806" s="12" t="str">
        <f>IFERROR(__xludf.DUMMYFUNCTION("IFERROR(IF(REGEXMATCH(LOWER(Raw_Data!C1812),""fixed deposit|owealth|savings|target""),""Fixed Deposit"",IF(REGEXMATCH(LOWER(Raw_Data!C1812),""airtime""),""Airtime"",IF(REGEXMATCH(LOWER(Raw_Data!C1812),""electronic money transfer levy""),""Electronic Money"&amp;" Transfer Levy"",IF(REGEXMATCH(LOWER(Raw_Data!C1812),""transfer|trf|send""),""Transfer"",""Other"")))),""Other"")"),"Transfer")</f>
        <v>Transfer</v>
      </c>
      <c r="E1806" s="20">
        <v>400.0</v>
      </c>
      <c r="F1806" s="20">
        <v>0.0</v>
      </c>
      <c r="G1806" s="12" t="str">
        <f t="shared" si="3"/>
        <v>Withdrawal</v>
      </c>
      <c r="H1806" s="12" t="str">
        <f>TEXT(Raw_Data!A1812,"hh:mm:ss")
</f>
        <v>19:12:22</v>
      </c>
      <c r="I1806" s="20">
        <f t="shared" si="4"/>
        <v>400</v>
      </c>
    </row>
    <row r="1807">
      <c r="A1807" s="12" t="str">
        <f>Raw_Data!A1813</f>
        <v>13 Dec 2025 19:20:31</v>
      </c>
      <c r="B1807" s="12" t="str">
        <f t="shared" si="1"/>
        <v>December</v>
      </c>
      <c r="C1807" s="12">
        <f t="shared" si="2"/>
        <v>12</v>
      </c>
      <c r="D1807" s="12" t="str">
        <f>IFERROR(__xludf.DUMMYFUNCTION("IFERROR(IF(REGEXMATCH(LOWER(Raw_Data!C1813),""fixed deposit|owealth|savings|target""),""Fixed Deposit"",IF(REGEXMATCH(LOWER(Raw_Data!C1813),""airtime""),""Airtime"",IF(REGEXMATCH(LOWER(Raw_Data!C1813),""electronic money transfer levy""),""Electronic Money"&amp;" Transfer Levy"",IF(REGEXMATCH(LOWER(Raw_Data!C1813),""transfer|trf|send""),""Transfer"",""Other"")))),""Other"")"),"Transfer")</f>
        <v>Transfer</v>
      </c>
      <c r="E1807" s="20">
        <v>500.0</v>
      </c>
      <c r="F1807" s="20">
        <v>0.0</v>
      </c>
      <c r="G1807" s="12" t="str">
        <f t="shared" si="3"/>
        <v>Withdrawal</v>
      </c>
      <c r="H1807" s="12" t="str">
        <f>TEXT(Raw_Data!A1813,"hh:mm:ss")
</f>
        <v>19:20:31</v>
      </c>
      <c r="I1807" s="20">
        <f t="shared" si="4"/>
        <v>500</v>
      </c>
    </row>
    <row r="1808">
      <c r="A1808" s="12" t="str">
        <f>Raw_Data!A1814</f>
        <v>13 Dec 2025 21:30:02</v>
      </c>
      <c r="B1808" s="12" t="str">
        <f t="shared" si="1"/>
        <v>December</v>
      </c>
      <c r="C1808" s="12">
        <f t="shared" si="2"/>
        <v>12</v>
      </c>
      <c r="D1808" s="12" t="str">
        <f>IFERROR(__xludf.DUMMYFUNCTION("IFERROR(IF(REGEXMATCH(LOWER(Raw_Data!C1814),""fixed deposit|owealth|savings|target""),""Fixed Deposit"",IF(REGEXMATCH(LOWER(Raw_Data!C1814),""airtime""),""Airtime"",IF(REGEXMATCH(LOWER(Raw_Data!C1814),""electronic money transfer levy""),""Electronic Money"&amp;" Transfer Levy"",IF(REGEXMATCH(LOWER(Raw_Data!C1814),""transfer|trf|send""),""Transfer"",""Other"")))),""Other"")"),"Transfer")</f>
        <v>Transfer</v>
      </c>
      <c r="E1808" s="20">
        <v>700.0</v>
      </c>
      <c r="F1808" s="20">
        <v>0.0</v>
      </c>
      <c r="G1808" s="12" t="str">
        <f t="shared" si="3"/>
        <v>Withdrawal</v>
      </c>
      <c r="H1808" s="12" t="str">
        <f>TEXT(Raw_Data!A1814,"hh:mm:ss")
</f>
        <v>21:30:02</v>
      </c>
      <c r="I1808" s="20">
        <f t="shared" si="4"/>
        <v>700</v>
      </c>
    </row>
    <row r="1809">
      <c r="A1809" s="12" t="str">
        <f>Raw_Data!A1815</f>
        <v>13 Dec 2025 21:39:20</v>
      </c>
      <c r="B1809" s="12" t="str">
        <f t="shared" si="1"/>
        <v>December</v>
      </c>
      <c r="C1809" s="12">
        <f t="shared" si="2"/>
        <v>12</v>
      </c>
      <c r="D1809" s="12" t="str">
        <f>IFERROR(__xludf.DUMMYFUNCTION("IFERROR(IF(REGEXMATCH(LOWER(Raw_Data!C1815),""fixed deposit|owealth|savings|target""),""Fixed Deposit"",IF(REGEXMATCH(LOWER(Raw_Data!C1815),""airtime""),""Airtime"",IF(REGEXMATCH(LOWER(Raw_Data!C1815),""electronic money transfer levy""),""Electronic Money"&amp;" Transfer Levy"",IF(REGEXMATCH(LOWER(Raw_Data!C1815),""transfer|trf|send""),""Transfer"",""Other"")))),""Other"")"),"Transfer")</f>
        <v>Transfer</v>
      </c>
      <c r="E1809" s="20">
        <v>500.0</v>
      </c>
      <c r="F1809" s="20">
        <v>0.0</v>
      </c>
      <c r="G1809" s="12" t="str">
        <f t="shared" si="3"/>
        <v>Withdrawal</v>
      </c>
      <c r="H1809" s="12" t="str">
        <f>TEXT(Raw_Data!A1815,"hh:mm:ss")
</f>
        <v>21:39:20</v>
      </c>
      <c r="I1809" s="20">
        <f t="shared" si="4"/>
        <v>500</v>
      </c>
    </row>
    <row r="1810">
      <c r="A1810" s="12" t="str">
        <f>Raw_Data!A1816</f>
        <v>14 Dec 2025 13:06:03</v>
      </c>
      <c r="B1810" s="12" t="str">
        <f t="shared" si="1"/>
        <v>December</v>
      </c>
      <c r="C1810" s="12">
        <f t="shared" si="2"/>
        <v>12</v>
      </c>
      <c r="D1810" s="12" t="str">
        <f>IFERROR(__xludf.DUMMYFUNCTION("IFERROR(IF(REGEXMATCH(LOWER(Raw_Data!C1816),""fixed deposit|owealth|savings|target""),""Fixed Deposit"",IF(REGEXMATCH(LOWER(Raw_Data!C1816),""airtime""),""Airtime"",IF(REGEXMATCH(LOWER(Raw_Data!C1816),""electronic money transfer levy""),""Electronic Money"&amp;" Transfer Levy"",IF(REGEXMATCH(LOWER(Raw_Data!C1816),""transfer|trf|send""),""Transfer"",""Other"")))),""Other"")"),"Transfer")</f>
        <v>Transfer</v>
      </c>
      <c r="E1810" s="20">
        <v>200.0</v>
      </c>
      <c r="F1810" s="20">
        <v>0.0</v>
      </c>
      <c r="G1810" s="12" t="str">
        <f t="shared" si="3"/>
        <v>Withdrawal</v>
      </c>
      <c r="H1810" s="12" t="str">
        <f>TEXT(Raw_Data!A1816,"hh:mm:ss")
</f>
        <v>13:06:03</v>
      </c>
      <c r="I1810" s="20">
        <f t="shared" si="4"/>
        <v>200</v>
      </c>
    </row>
    <row r="1811">
      <c r="A1811" s="12" t="str">
        <f>Raw_Data!A1817</f>
        <v>14 Dec 2025 13:44:50</v>
      </c>
      <c r="B1811" s="12" t="str">
        <f t="shared" si="1"/>
        <v>December</v>
      </c>
      <c r="C1811" s="12">
        <f t="shared" si="2"/>
        <v>12</v>
      </c>
      <c r="D1811" s="12" t="str">
        <f>IFERROR(__xludf.DUMMYFUNCTION("IFERROR(IF(REGEXMATCH(LOWER(Raw_Data!C1817),""fixed deposit|owealth|savings|target""),""Fixed Deposit"",IF(REGEXMATCH(LOWER(Raw_Data!C1817),""airtime""),""Airtime"",IF(REGEXMATCH(LOWER(Raw_Data!C1817),""electronic money transfer levy""),""Electronic Money"&amp;" Transfer Levy"",IF(REGEXMATCH(LOWER(Raw_Data!C1817),""transfer|trf|send""),""Transfer"",""Other"")))),""Other"")"),"Transfer")</f>
        <v>Transfer</v>
      </c>
      <c r="E1811" s="20">
        <v>1000.0</v>
      </c>
      <c r="F1811" s="20">
        <v>0.0</v>
      </c>
      <c r="G1811" s="12" t="str">
        <f t="shared" si="3"/>
        <v>Withdrawal</v>
      </c>
      <c r="H1811" s="12" t="str">
        <f>TEXT(Raw_Data!A1817,"hh:mm:ss")
</f>
        <v>13:44:50</v>
      </c>
      <c r="I1811" s="20">
        <f t="shared" si="4"/>
        <v>1000</v>
      </c>
    </row>
    <row r="1812">
      <c r="A1812" s="12" t="str">
        <f>Raw_Data!A1818</f>
        <v>14 Dec 2025 19:02:01</v>
      </c>
      <c r="B1812" s="12" t="str">
        <f t="shared" si="1"/>
        <v>December</v>
      </c>
      <c r="C1812" s="12">
        <f t="shared" si="2"/>
        <v>12</v>
      </c>
      <c r="D1812" s="12" t="str">
        <f>IFERROR(__xludf.DUMMYFUNCTION("IFERROR(IF(REGEXMATCH(LOWER(Raw_Data!C1818),""fixed deposit|owealth|savings|target""),""Fixed Deposit"",IF(REGEXMATCH(LOWER(Raw_Data!C1818),""airtime""),""Airtime"",IF(REGEXMATCH(LOWER(Raw_Data!C1818),""electronic money transfer levy""),""Electronic Money"&amp;" Transfer Levy"",IF(REGEXMATCH(LOWER(Raw_Data!C1818),""transfer|trf|send""),""Transfer"",""Other"")))),""Other"")"),"Transfer")</f>
        <v>Transfer</v>
      </c>
      <c r="E1812" s="20">
        <v>250.0</v>
      </c>
      <c r="F1812" s="20">
        <v>0.0</v>
      </c>
      <c r="G1812" s="12" t="str">
        <f t="shared" si="3"/>
        <v>Withdrawal</v>
      </c>
      <c r="H1812" s="12" t="str">
        <f>TEXT(Raw_Data!A1818,"hh:mm:ss")
</f>
        <v>19:02:01</v>
      </c>
      <c r="I1812" s="20">
        <f t="shared" si="4"/>
        <v>250</v>
      </c>
    </row>
    <row r="1813">
      <c r="A1813" s="12" t="str">
        <f>Raw_Data!A1819</f>
        <v>15 Dec 2025 09:04:25</v>
      </c>
      <c r="B1813" s="12" t="str">
        <f t="shared" si="1"/>
        <v>December</v>
      </c>
      <c r="C1813" s="12">
        <f t="shared" si="2"/>
        <v>12</v>
      </c>
      <c r="D1813" s="12" t="str">
        <f>IFERROR(__xludf.DUMMYFUNCTION("IFERROR(IF(REGEXMATCH(LOWER(Raw_Data!C1819),""fixed deposit|owealth|savings|target""),""Fixed Deposit"",IF(REGEXMATCH(LOWER(Raw_Data!C1819),""airtime""),""Airtime"",IF(REGEXMATCH(LOWER(Raw_Data!C1819),""electronic money transfer levy""),""Electronic Money"&amp;" Transfer Levy"",IF(REGEXMATCH(LOWER(Raw_Data!C1819),""transfer|trf|send""),""Transfer"",""Other"")))),""Other"")"),"Transfer")</f>
        <v>Transfer</v>
      </c>
      <c r="E1813" s="20">
        <v>100.0</v>
      </c>
      <c r="F1813" s="20">
        <v>0.0</v>
      </c>
      <c r="G1813" s="12" t="str">
        <f t="shared" si="3"/>
        <v>Withdrawal</v>
      </c>
      <c r="H1813" s="12" t="str">
        <f>TEXT(Raw_Data!A1819,"hh:mm:ss")
</f>
        <v>09:04:25</v>
      </c>
      <c r="I1813" s="20">
        <f t="shared" si="4"/>
        <v>100</v>
      </c>
    </row>
    <row r="1814">
      <c r="A1814" s="12" t="str">
        <f>Raw_Data!A1820</f>
        <v>15 Dec 2025 10:09:35</v>
      </c>
      <c r="B1814" s="12" t="str">
        <f t="shared" si="1"/>
        <v>December</v>
      </c>
      <c r="C1814" s="12">
        <f t="shared" si="2"/>
        <v>12</v>
      </c>
      <c r="D1814" s="12" t="str">
        <f>IFERROR(__xludf.DUMMYFUNCTION("IFERROR(IF(REGEXMATCH(LOWER(Raw_Data!C1820),""fixed deposit|owealth|savings|target""),""Fixed Deposit"",IF(REGEXMATCH(LOWER(Raw_Data!C1820),""airtime""),""Airtime"",IF(REGEXMATCH(LOWER(Raw_Data!C1820),""electronic money transfer levy""),""Electronic Money"&amp;" Transfer Levy"",IF(REGEXMATCH(LOWER(Raw_Data!C1820),""transfer|trf|send""),""Transfer"",""Other"")))),""Other"")"),"Transfer")</f>
        <v>Transfer</v>
      </c>
      <c r="E1814" s="20">
        <v>1000.0</v>
      </c>
      <c r="F1814" s="20">
        <v>0.0</v>
      </c>
      <c r="G1814" s="12" t="str">
        <f t="shared" si="3"/>
        <v>Withdrawal</v>
      </c>
      <c r="H1814" s="12" t="str">
        <f>TEXT(Raw_Data!A1820,"hh:mm:ss")
</f>
        <v>10:09:35</v>
      </c>
      <c r="I1814" s="20">
        <f t="shared" si="4"/>
        <v>1000</v>
      </c>
    </row>
    <row r="1815">
      <c r="A1815" s="12" t="str">
        <f>Raw_Data!A1821</f>
        <v>15 Dec 2025 10:32:31</v>
      </c>
      <c r="B1815" s="12" t="str">
        <f t="shared" si="1"/>
        <v>December</v>
      </c>
      <c r="C1815" s="12">
        <f t="shared" si="2"/>
        <v>12</v>
      </c>
      <c r="D1815" s="12" t="str">
        <f>IFERROR(__xludf.DUMMYFUNCTION("IFERROR(IF(REGEXMATCH(LOWER(Raw_Data!C1821),""fixed deposit|owealth|savings|target""),""Fixed Deposit"",IF(REGEXMATCH(LOWER(Raw_Data!C1821),""airtime""),""Airtime"",IF(REGEXMATCH(LOWER(Raw_Data!C1821),""electronic money transfer levy""),""Electronic Money"&amp;" Transfer Levy"",IF(REGEXMATCH(LOWER(Raw_Data!C1821),""transfer|trf|send""),""Transfer"",""Other"")))),""Other"")"),"Other")</f>
        <v>Other</v>
      </c>
      <c r="E1815" s="20">
        <v>10.0</v>
      </c>
      <c r="F1815" s="20">
        <v>0.0</v>
      </c>
      <c r="G1815" s="12" t="str">
        <f t="shared" si="3"/>
        <v>Withdrawal</v>
      </c>
      <c r="H1815" s="12" t="str">
        <f>TEXT(Raw_Data!A1821,"hh:mm:ss")
</f>
        <v>10:32:31</v>
      </c>
      <c r="I1815" s="20">
        <f t="shared" si="4"/>
        <v>10</v>
      </c>
    </row>
    <row r="1816">
      <c r="A1816" s="12" t="str">
        <f>Raw_Data!A1822</f>
        <v>16 Dec 2025 13:43:10</v>
      </c>
      <c r="B1816" s="12" t="str">
        <f t="shared" si="1"/>
        <v>December</v>
      </c>
      <c r="C1816" s="12">
        <f t="shared" si="2"/>
        <v>12</v>
      </c>
      <c r="D1816" s="12" t="str">
        <f>IFERROR(__xludf.DUMMYFUNCTION("IFERROR(IF(REGEXMATCH(LOWER(Raw_Data!C1822),""fixed deposit|owealth|savings|target""),""Fixed Deposit"",IF(REGEXMATCH(LOWER(Raw_Data!C1822),""airtime""),""Airtime"",IF(REGEXMATCH(LOWER(Raw_Data!C1822),""electronic money transfer levy""),""Electronic Money"&amp;" Transfer Levy"",IF(REGEXMATCH(LOWER(Raw_Data!C1822),""transfer|trf|send""),""Transfer"",""Other"")))),""Other"")"),"Transfer")</f>
        <v>Transfer</v>
      </c>
      <c r="E1816" s="20">
        <v>300.0</v>
      </c>
      <c r="F1816" s="20">
        <v>0.0</v>
      </c>
      <c r="G1816" s="12" t="str">
        <f t="shared" si="3"/>
        <v>Withdrawal</v>
      </c>
      <c r="H1816" s="12" t="str">
        <f>TEXT(Raw_Data!A1822,"hh:mm:ss")
</f>
        <v>13:43:10</v>
      </c>
      <c r="I1816" s="20">
        <f t="shared" si="4"/>
        <v>300</v>
      </c>
    </row>
    <row r="1817">
      <c r="A1817" s="12" t="str">
        <f>Raw_Data!A1823</f>
        <v>16 Dec 2025 15:14:26</v>
      </c>
      <c r="B1817" s="12" t="str">
        <f t="shared" si="1"/>
        <v>December</v>
      </c>
      <c r="C1817" s="12">
        <f t="shared" si="2"/>
        <v>12</v>
      </c>
      <c r="D1817" s="12" t="str">
        <f>IFERROR(__xludf.DUMMYFUNCTION("IFERROR(IF(REGEXMATCH(LOWER(Raw_Data!C1823),""fixed deposit|owealth|savings|target""),""Fixed Deposit"",IF(REGEXMATCH(LOWER(Raw_Data!C1823),""airtime""),""Airtime"",IF(REGEXMATCH(LOWER(Raw_Data!C1823),""electronic money transfer levy""),""Electronic Money"&amp;" Transfer Levy"",IF(REGEXMATCH(LOWER(Raw_Data!C1823),""transfer|trf|send""),""Transfer"",""Other"")))),""Other"")"),"Other")</f>
        <v>Other</v>
      </c>
      <c r="E1817" s="20">
        <v>100.0</v>
      </c>
      <c r="F1817" s="20">
        <v>0.0</v>
      </c>
      <c r="G1817" s="12" t="str">
        <f t="shared" si="3"/>
        <v>Withdrawal</v>
      </c>
      <c r="H1817" s="12" t="str">
        <f>TEXT(Raw_Data!A1823,"hh:mm:ss")
</f>
        <v>15:14:26</v>
      </c>
      <c r="I1817" s="20">
        <f t="shared" si="4"/>
        <v>100</v>
      </c>
    </row>
    <row r="1818">
      <c r="A1818" s="12" t="str">
        <f>Raw_Data!A1824</f>
        <v>17 Dec 2025 12:24:30</v>
      </c>
      <c r="B1818" s="12" t="str">
        <f t="shared" si="1"/>
        <v>December</v>
      </c>
      <c r="C1818" s="12">
        <f t="shared" si="2"/>
        <v>12</v>
      </c>
      <c r="D1818" s="12" t="str">
        <f>IFERROR(__xludf.DUMMYFUNCTION("IFERROR(IF(REGEXMATCH(LOWER(Raw_Data!C1824),""fixed deposit|owealth|savings|target""),""Fixed Deposit"",IF(REGEXMATCH(LOWER(Raw_Data!C1824),""airtime""),""Airtime"",IF(REGEXMATCH(LOWER(Raw_Data!C1824),""electronic money transfer levy""),""Electronic Money"&amp;" Transfer Levy"",IF(REGEXMATCH(LOWER(Raw_Data!C1824),""transfer|trf|send""),""Transfer"",""Other"")))),""Other"")"),"Other")</f>
        <v>Other</v>
      </c>
      <c r="E1818" s="20">
        <v>1050.0</v>
      </c>
      <c r="F1818" s="20">
        <v>0.0</v>
      </c>
      <c r="G1818" s="12" t="str">
        <f t="shared" si="3"/>
        <v>Withdrawal</v>
      </c>
      <c r="H1818" s="12" t="str">
        <f>TEXT(Raw_Data!A1824,"hh:mm:ss")
</f>
        <v>12:24:30</v>
      </c>
      <c r="I1818" s="20">
        <f t="shared" si="4"/>
        <v>1050</v>
      </c>
    </row>
    <row r="1819">
      <c r="A1819" s="12" t="str">
        <f>Raw_Data!A1825</f>
        <v>17 Dec 2025 14:12:23</v>
      </c>
      <c r="B1819" s="12" t="str">
        <f t="shared" si="1"/>
        <v>December</v>
      </c>
      <c r="C1819" s="12">
        <f t="shared" si="2"/>
        <v>12</v>
      </c>
      <c r="D1819" s="12" t="str">
        <f>IFERROR(__xludf.DUMMYFUNCTION("IFERROR(IF(REGEXMATCH(LOWER(Raw_Data!C1825),""fixed deposit|owealth|savings|target""),""Fixed Deposit"",IF(REGEXMATCH(LOWER(Raw_Data!C1825),""airtime""),""Airtime"",IF(REGEXMATCH(LOWER(Raw_Data!C1825),""electronic money transfer levy""),""Electronic Money"&amp;" Transfer Levy"",IF(REGEXMATCH(LOWER(Raw_Data!C1825),""transfer|trf|send""),""Transfer"",""Other"")))),""Other"")"),"Transfer")</f>
        <v>Transfer</v>
      </c>
      <c r="E1819" s="20">
        <v>0.0</v>
      </c>
      <c r="F1819" s="20">
        <v>2100.0</v>
      </c>
      <c r="G1819" s="12" t="str">
        <f t="shared" si="3"/>
        <v>Deposit</v>
      </c>
      <c r="H1819" s="12" t="str">
        <f>TEXT(Raw_Data!A1825,"hh:mm:ss")
</f>
        <v>14:12:23</v>
      </c>
      <c r="I1819" s="20">
        <f t="shared" si="4"/>
        <v>2100</v>
      </c>
    </row>
    <row r="1820">
      <c r="A1820" s="12" t="str">
        <f>Raw_Data!A1826</f>
        <v>17 Dec 2025 14:19:30</v>
      </c>
      <c r="B1820" s="12" t="str">
        <f t="shared" si="1"/>
        <v>December</v>
      </c>
      <c r="C1820" s="12">
        <f t="shared" si="2"/>
        <v>12</v>
      </c>
      <c r="D1820" s="12" t="str">
        <f>IFERROR(__xludf.DUMMYFUNCTION("IFERROR(IF(REGEXMATCH(LOWER(Raw_Data!C1826),""fixed deposit|owealth|savings|target""),""Fixed Deposit"",IF(REGEXMATCH(LOWER(Raw_Data!C1826),""airtime""),""Airtime"",IF(REGEXMATCH(LOWER(Raw_Data!C1826),""electronic money transfer levy""),""Electronic Money"&amp;" Transfer Levy"",IF(REGEXMATCH(LOWER(Raw_Data!C1826),""transfer|trf|send""),""Transfer"",""Other"")))),""Other"")"),"Other")</f>
        <v>Other</v>
      </c>
      <c r="E1820" s="20">
        <v>2100.0</v>
      </c>
      <c r="F1820" s="20">
        <v>0.0</v>
      </c>
      <c r="G1820" s="12" t="str">
        <f t="shared" si="3"/>
        <v>Withdrawal</v>
      </c>
      <c r="H1820" s="12" t="str">
        <f>TEXT(Raw_Data!A1826,"hh:mm:ss")
</f>
        <v>14:19:30</v>
      </c>
      <c r="I1820" s="20">
        <f t="shared" si="4"/>
        <v>2100</v>
      </c>
    </row>
    <row r="1821">
      <c r="A1821" s="12" t="str">
        <f>Raw_Data!A1827</f>
        <v>18 Dec 2025 07:22:44</v>
      </c>
      <c r="B1821" s="12" t="str">
        <f t="shared" si="1"/>
        <v>December</v>
      </c>
      <c r="C1821" s="12">
        <f t="shared" si="2"/>
        <v>12</v>
      </c>
      <c r="D1821" s="12" t="str">
        <f>IFERROR(__xludf.DUMMYFUNCTION("IFERROR(IF(REGEXMATCH(LOWER(Raw_Data!C1827),""fixed deposit|owealth|savings|target""),""Fixed Deposit"",IF(REGEXMATCH(LOWER(Raw_Data!C1827),""airtime""),""Airtime"",IF(REGEXMATCH(LOWER(Raw_Data!C1827),""electronic money transfer levy""),""Electronic Money"&amp;" Transfer Levy"",IF(REGEXMATCH(LOWER(Raw_Data!C1827),""transfer|trf|send""),""Transfer"",""Other"")))),""Other"")"),"Transfer")</f>
        <v>Transfer</v>
      </c>
      <c r="E1821" s="20">
        <v>200.0</v>
      </c>
      <c r="F1821" s="20">
        <v>0.0</v>
      </c>
      <c r="G1821" s="12" t="str">
        <f t="shared" si="3"/>
        <v>Withdrawal</v>
      </c>
      <c r="H1821" s="12" t="str">
        <f>TEXT(Raw_Data!A1827,"hh:mm:ss")
</f>
        <v>07:22:44</v>
      </c>
      <c r="I1821" s="20">
        <f t="shared" si="4"/>
        <v>200</v>
      </c>
    </row>
    <row r="1822">
      <c r="A1822" s="12" t="str">
        <f>Raw_Data!A1828</f>
        <v>18 Dec 2025 07:39:50</v>
      </c>
      <c r="B1822" s="12" t="str">
        <f t="shared" si="1"/>
        <v>December</v>
      </c>
      <c r="C1822" s="12">
        <f t="shared" si="2"/>
        <v>12</v>
      </c>
      <c r="D1822" s="12" t="str">
        <f>IFERROR(__xludf.DUMMYFUNCTION("IFERROR(IF(REGEXMATCH(LOWER(Raw_Data!C1828),""fixed deposit|owealth|savings|target""),""Fixed Deposit"",IF(REGEXMATCH(LOWER(Raw_Data!C1828),""airtime""),""Airtime"",IF(REGEXMATCH(LOWER(Raw_Data!C1828),""electronic money transfer levy""),""Electronic Money"&amp;" Transfer Levy"",IF(REGEXMATCH(LOWER(Raw_Data!C1828),""transfer|trf|send""),""Transfer"",""Other"")))),""Other"")"),"Transfer")</f>
        <v>Transfer</v>
      </c>
      <c r="E1822" s="20">
        <v>0.0</v>
      </c>
      <c r="F1822" s="20">
        <v>1000.0</v>
      </c>
      <c r="G1822" s="12" t="str">
        <f t="shared" si="3"/>
        <v>Deposit</v>
      </c>
      <c r="H1822" s="12" t="str">
        <f>TEXT(Raw_Data!A1828,"hh:mm:ss")
</f>
        <v>07:39:50</v>
      </c>
      <c r="I1822" s="20">
        <f t="shared" si="4"/>
        <v>1000</v>
      </c>
    </row>
    <row r="1823">
      <c r="A1823" s="12" t="str">
        <f>Raw_Data!A1829</f>
        <v>18 Dec 2025 07:52:37</v>
      </c>
      <c r="B1823" s="12" t="str">
        <f t="shared" si="1"/>
        <v>December</v>
      </c>
      <c r="C1823" s="12">
        <f t="shared" si="2"/>
        <v>12</v>
      </c>
      <c r="D1823" s="12" t="str">
        <f>IFERROR(__xludf.DUMMYFUNCTION("IFERROR(IF(REGEXMATCH(LOWER(Raw_Data!C1829),""fixed deposit|owealth|savings|target""),""Fixed Deposit"",IF(REGEXMATCH(LOWER(Raw_Data!C1829),""airtime""),""Airtime"",IF(REGEXMATCH(LOWER(Raw_Data!C1829),""electronic money transfer levy""),""Electronic Money"&amp;" Transfer Levy"",IF(REGEXMATCH(LOWER(Raw_Data!C1829),""transfer|trf|send""),""Transfer"",""Other"")))),""Other"")"),"Transfer")</f>
        <v>Transfer</v>
      </c>
      <c r="E1823" s="20">
        <v>1000.0</v>
      </c>
      <c r="F1823" s="20">
        <v>0.0</v>
      </c>
      <c r="G1823" s="12" t="str">
        <f t="shared" si="3"/>
        <v>Withdrawal</v>
      </c>
      <c r="H1823" s="12" t="str">
        <f>TEXT(Raw_Data!A1829,"hh:mm:ss")
</f>
        <v>07:52:37</v>
      </c>
      <c r="I1823" s="20">
        <f t="shared" si="4"/>
        <v>1000</v>
      </c>
    </row>
    <row r="1824">
      <c r="A1824" s="12" t="str">
        <f>Raw_Data!A1830</f>
        <v>18 Dec 2025 08:17:57</v>
      </c>
      <c r="B1824" s="12" t="str">
        <f t="shared" si="1"/>
        <v>December</v>
      </c>
      <c r="C1824" s="12">
        <f t="shared" si="2"/>
        <v>12</v>
      </c>
      <c r="D1824" s="12" t="str">
        <f>IFERROR(__xludf.DUMMYFUNCTION("IFERROR(IF(REGEXMATCH(LOWER(Raw_Data!C1830),""fixed deposit|owealth|savings|target""),""Fixed Deposit"",IF(REGEXMATCH(LOWER(Raw_Data!C1830),""airtime""),""Airtime"",IF(REGEXMATCH(LOWER(Raw_Data!C1830),""electronic money transfer levy""),""Electronic Money"&amp;" Transfer Levy"",IF(REGEXMATCH(LOWER(Raw_Data!C1830),""transfer|trf|send""),""Transfer"",""Other"")))),""Other"")"),"Transfer")</f>
        <v>Transfer</v>
      </c>
      <c r="E1824" s="20">
        <v>0.0</v>
      </c>
      <c r="F1824" s="20">
        <v>2000.0</v>
      </c>
      <c r="G1824" s="12" t="str">
        <f t="shared" si="3"/>
        <v>Deposit</v>
      </c>
      <c r="H1824" s="12" t="str">
        <f>TEXT(Raw_Data!A1830,"hh:mm:ss")
</f>
        <v>08:17:57</v>
      </c>
      <c r="I1824" s="20">
        <f t="shared" si="4"/>
        <v>2000</v>
      </c>
    </row>
    <row r="1825">
      <c r="A1825" s="12" t="str">
        <f>Raw_Data!A1831</f>
        <v>18 Dec 2025 13:48:28</v>
      </c>
      <c r="B1825" s="12" t="str">
        <f t="shared" si="1"/>
        <v>December</v>
      </c>
      <c r="C1825" s="12">
        <f t="shared" si="2"/>
        <v>12</v>
      </c>
      <c r="D1825" s="12" t="str">
        <f>IFERROR(__xludf.DUMMYFUNCTION("IFERROR(IF(REGEXMATCH(LOWER(Raw_Data!C1831),""fixed deposit|owealth|savings|target""),""Fixed Deposit"",IF(REGEXMATCH(LOWER(Raw_Data!C1831),""airtime""),""Airtime"",IF(REGEXMATCH(LOWER(Raw_Data!C1831),""electronic money transfer levy""),""Electronic Money"&amp;" Transfer Levy"",IF(REGEXMATCH(LOWER(Raw_Data!C1831),""transfer|trf|send""),""Transfer"",""Other"")))),""Other"")"),"Transfer")</f>
        <v>Transfer</v>
      </c>
      <c r="E1825" s="20">
        <v>1000.0</v>
      </c>
      <c r="F1825" s="20">
        <v>0.0</v>
      </c>
      <c r="G1825" s="12" t="str">
        <f t="shared" si="3"/>
        <v>Withdrawal</v>
      </c>
      <c r="H1825" s="12" t="str">
        <f>TEXT(Raw_Data!A1831,"hh:mm:ss")
</f>
        <v>13:48:28</v>
      </c>
      <c r="I1825" s="20">
        <f t="shared" si="4"/>
        <v>1000</v>
      </c>
    </row>
    <row r="1826">
      <c r="A1826" s="12" t="str">
        <f>Raw_Data!A1832</f>
        <v>18 Dec 2025 16:34:15</v>
      </c>
      <c r="B1826" s="12" t="str">
        <f t="shared" si="1"/>
        <v>December</v>
      </c>
      <c r="C1826" s="12">
        <f t="shared" si="2"/>
        <v>12</v>
      </c>
      <c r="D1826" s="12" t="str">
        <f>IFERROR(__xludf.DUMMYFUNCTION("IFERROR(IF(REGEXMATCH(LOWER(Raw_Data!C1832),""fixed deposit|owealth|savings|target""),""Fixed Deposit"",IF(REGEXMATCH(LOWER(Raw_Data!C1832),""airtime""),""Airtime"",IF(REGEXMATCH(LOWER(Raw_Data!C1832),""electronic money transfer levy""),""Electronic Money"&amp;" Transfer Levy"",IF(REGEXMATCH(LOWER(Raw_Data!C1832),""transfer|trf|send""),""Transfer"",""Other"")))),""Other"")"),"Transfer")</f>
        <v>Transfer</v>
      </c>
      <c r="E1826" s="20">
        <v>720.0</v>
      </c>
      <c r="F1826" s="20">
        <v>0.0</v>
      </c>
      <c r="G1826" s="12" t="str">
        <f t="shared" si="3"/>
        <v>Withdrawal</v>
      </c>
      <c r="H1826" s="12" t="str">
        <f>TEXT(Raw_Data!A1832,"hh:mm:ss")
</f>
        <v>16:34:15</v>
      </c>
      <c r="I1826" s="20">
        <f t="shared" si="4"/>
        <v>720</v>
      </c>
    </row>
    <row r="1827">
      <c r="A1827" s="12" t="str">
        <f>Raw_Data!A1833</f>
        <v>18 Dec 2025 17:12:16</v>
      </c>
      <c r="B1827" s="12" t="str">
        <f t="shared" si="1"/>
        <v>December</v>
      </c>
      <c r="C1827" s="12">
        <f t="shared" si="2"/>
        <v>12</v>
      </c>
      <c r="D1827" s="12" t="str">
        <f>IFERROR(__xludf.DUMMYFUNCTION("IFERROR(IF(REGEXMATCH(LOWER(Raw_Data!C1833),""fixed deposit|owealth|savings|target""),""Fixed Deposit"",IF(REGEXMATCH(LOWER(Raw_Data!C1833),""airtime""),""Airtime"",IF(REGEXMATCH(LOWER(Raw_Data!C1833),""electronic money transfer levy""),""Electronic Money"&amp;" Transfer Levy"",IF(REGEXMATCH(LOWER(Raw_Data!C1833),""transfer|trf|send""),""Transfer"",""Other"")))),""Other"")"),"Transfer")</f>
        <v>Transfer</v>
      </c>
      <c r="E1827" s="20">
        <v>550.0</v>
      </c>
      <c r="F1827" s="20">
        <v>0.0</v>
      </c>
      <c r="G1827" s="12" t="str">
        <f t="shared" si="3"/>
        <v>Withdrawal</v>
      </c>
      <c r="H1827" s="12" t="str">
        <f>TEXT(Raw_Data!A1833,"hh:mm:ss")
</f>
        <v>17:12:16</v>
      </c>
      <c r="I1827" s="20">
        <f t="shared" si="4"/>
        <v>550</v>
      </c>
    </row>
    <row r="1828">
      <c r="A1828" s="12" t="str">
        <f>Raw_Data!A1834</f>
        <v>18 Dec 2025 17:14:33</v>
      </c>
      <c r="B1828" s="12" t="str">
        <f t="shared" si="1"/>
        <v>December</v>
      </c>
      <c r="C1828" s="12">
        <f t="shared" si="2"/>
        <v>12</v>
      </c>
      <c r="D1828" s="12" t="str">
        <f>IFERROR(__xludf.DUMMYFUNCTION("IFERROR(IF(REGEXMATCH(LOWER(Raw_Data!C1834),""fixed deposit|owealth|savings|target""),""Fixed Deposit"",IF(REGEXMATCH(LOWER(Raw_Data!C1834),""airtime""),""Airtime"",IF(REGEXMATCH(LOWER(Raw_Data!C1834),""electronic money transfer levy""),""Electronic Money"&amp;" Transfer Levy"",IF(REGEXMATCH(LOWER(Raw_Data!C1834),""transfer|trf|send""),""Transfer"",""Other"")))),""Other"")"),"Transfer")</f>
        <v>Transfer</v>
      </c>
      <c r="E1828" s="20">
        <v>0.0</v>
      </c>
      <c r="F1828" s="20">
        <v>200.0</v>
      </c>
      <c r="G1828" s="12" t="str">
        <f t="shared" si="3"/>
        <v>Deposit</v>
      </c>
      <c r="H1828" s="12" t="str">
        <f>TEXT(Raw_Data!A1834,"hh:mm:ss")
</f>
        <v>17:14:33</v>
      </c>
      <c r="I1828" s="20">
        <f t="shared" si="4"/>
        <v>200</v>
      </c>
    </row>
    <row r="1829">
      <c r="A1829" s="12" t="str">
        <f>Raw_Data!A1835</f>
        <v>18 Dec 2025 17:34:30</v>
      </c>
      <c r="B1829" s="12" t="str">
        <f t="shared" si="1"/>
        <v>December</v>
      </c>
      <c r="C1829" s="12">
        <f t="shared" si="2"/>
        <v>12</v>
      </c>
      <c r="D1829" s="12" t="str">
        <f>IFERROR(__xludf.DUMMYFUNCTION("IFERROR(IF(REGEXMATCH(LOWER(Raw_Data!C1835),""fixed deposit|owealth|savings|target""),""Fixed Deposit"",IF(REGEXMATCH(LOWER(Raw_Data!C1835),""airtime""),""Airtime"",IF(REGEXMATCH(LOWER(Raw_Data!C1835),""electronic money transfer levy""),""Electronic Money"&amp;" Transfer Levy"",IF(REGEXMATCH(LOWER(Raw_Data!C1835),""transfer|trf|send""),""Transfer"",""Other"")))),""Other"")"),"Transfer")</f>
        <v>Transfer</v>
      </c>
      <c r="E1829" s="20">
        <v>0.0</v>
      </c>
      <c r="F1829" s="20">
        <v>10000.0</v>
      </c>
      <c r="G1829" s="12" t="str">
        <f t="shared" si="3"/>
        <v>Deposit</v>
      </c>
      <c r="H1829" s="12" t="str">
        <f>TEXT(Raw_Data!A1835,"hh:mm:ss")
</f>
        <v>17:34:30</v>
      </c>
      <c r="I1829" s="20">
        <f t="shared" si="4"/>
        <v>10000</v>
      </c>
    </row>
    <row r="1830">
      <c r="A1830" s="12" t="str">
        <f>Raw_Data!A1836</f>
        <v>18 Dec 2025 17:34:32</v>
      </c>
      <c r="B1830" s="12" t="str">
        <f t="shared" si="1"/>
        <v>December</v>
      </c>
      <c r="C1830" s="12">
        <f t="shared" si="2"/>
        <v>12</v>
      </c>
      <c r="D1830" s="12" t="str">
        <f>IFERROR(__xludf.DUMMYFUNCTION("IFERROR(IF(REGEXMATCH(LOWER(Raw_Data!C1836),""fixed deposit|owealth|savings|target""),""Fixed Deposit"",IF(REGEXMATCH(LOWER(Raw_Data!C1836),""airtime""),""Airtime"",IF(REGEXMATCH(LOWER(Raw_Data!C1836),""electronic money transfer levy""),""Electronic Money"&amp;" Transfer Levy"",IF(REGEXMATCH(LOWER(Raw_Data!C1836),""transfer|trf|send""),""Transfer"",""Other"")))),""Other"")"),"Electronic Money Transfer Levy")</f>
        <v>Electronic Money Transfer Levy</v>
      </c>
      <c r="E1830" s="20">
        <v>50.0</v>
      </c>
      <c r="F1830" s="20">
        <v>0.0</v>
      </c>
      <c r="G1830" s="12" t="str">
        <f t="shared" si="3"/>
        <v>Withdrawal</v>
      </c>
      <c r="H1830" s="12" t="str">
        <f>TEXT(Raw_Data!A1836,"hh:mm:ss")
</f>
        <v>17:34:32</v>
      </c>
      <c r="I1830" s="20">
        <f t="shared" si="4"/>
        <v>50</v>
      </c>
    </row>
    <row r="1831">
      <c r="A1831" s="12" t="str">
        <f>Raw_Data!A1837</f>
        <v>18 Dec 2025 17:36:18</v>
      </c>
      <c r="B1831" s="12" t="str">
        <f t="shared" si="1"/>
        <v>December</v>
      </c>
      <c r="C1831" s="12">
        <f t="shared" si="2"/>
        <v>12</v>
      </c>
      <c r="D1831" s="12" t="str">
        <f>IFERROR(__xludf.DUMMYFUNCTION("IFERROR(IF(REGEXMATCH(LOWER(Raw_Data!C1837),""fixed deposit|owealth|savings|target""),""Fixed Deposit"",IF(REGEXMATCH(LOWER(Raw_Data!C1837),""airtime""),""Airtime"",IF(REGEXMATCH(LOWER(Raw_Data!C1837),""electronic money transfer levy""),""Electronic Money"&amp;" Transfer Levy"",IF(REGEXMATCH(LOWER(Raw_Data!C1837),""transfer|trf|send""),""Transfer"",""Other"")))),""Other"")"),"Transfer")</f>
        <v>Transfer</v>
      </c>
      <c r="E1831" s="20">
        <v>3000.0</v>
      </c>
      <c r="F1831" s="20">
        <v>0.0</v>
      </c>
      <c r="G1831" s="12" t="str">
        <f t="shared" si="3"/>
        <v>Withdrawal</v>
      </c>
      <c r="H1831" s="12" t="str">
        <f>TEXT(Raw_Data!A1837,"hh:mm:ss")
</f>
        <v>17:36:18</v>
      </c>
      <c r="I1831" s="20">
        <f t="shared" si="4"/>
        <v>3000</v>
      </c>
    </row>
    <row r="1832">
      <c r="A1832" s="12" t="str">
        <f>Raw_Data!A1838</f>
        <v>18 Dec 2025 19:52:49</v>
      </c>
      <c r="B1832" s="12" t="str">
        <f t="shared" si="1"/>
        <v>December</v>
      </c>
      <c r="C1832" s="12">
        <f t="shared" si="2"/>
        <v>12</v>
      </c>
      <c r="D1832" s="12" t="str">
        <f>IFERROR(__xludf.DUMMYFUNCTION("IFERROR(IF(REGEXMATCH(LOWER(Raw_Data!C1838),""fixed deposit|owealth|savings|target""),""Fixed Deposit"",IF(REGEXMATCH(LOWER(Raw_Data!C1838),""airtime""),""Airtime"",IF(REGEXMATCH(LOWER(Raw_Data!C1838),""electronic money transfer levy""),""Electronic Money"&amp;" Transfer Levy"",IF(REGEXMATCH(LOWER(Raw_Data!C1838),""transfer|trf|send""),""Transfer"",""Other"")))),""Other"")"),"Transfer")</f>
        <v>Transfer</v>
      </c>
      <c r="E1832" s="20">
        <v>300.0</v>
      </c>
      <c r="F1832" s="20">
        <v>0.0</v>
      </c>
      <c r="G1832" s="12" t="str">
        <f t="shared" si="3"/>
        <v>Withdrawal</v>
      </c>
      <c r="H1832" s="12" t="str">
        <f>TEXT(Raw_Data!A1838,"hh:mm:ss")
</f>
        <v>19:52:49</v>
      </c>
      <c r="I1832" s="20">
        <f t="shared" si="4"/>
        <v>300</v>
      </c>
    </row>
    <row r="1833">
      <c r="A1833" s="12" t="str">
        <f>Raw_Data!A1839</f>
        <v>19 Dec 2025 10:20:14</v>
      </c>
      <c r="B1833" s="12" t="str">
        <f t="shared" si="1"/>
        <v>December</v>
      </c>
      <c r="C1833" s="12">
        <f t="shared" si="2"/>
        <v>12</v>
      </c>
      <c r="D1833" s="12" t="str">
        <f>IFERROR(__xludf.DUMMYFUNCTION("IFERROR(IF(REGEXMATCH(LOWER(Raw_Data!C1839),""fixed deposit|owealth|savings|target""),""Fixed Deposit"",IF(REGEXMATCH(LOWER(Raw_Data!C1839),""airtime""),""Airtime"",IF(REGEXMATCH(LOWER(Raw_Data!C1839),""electronic money transfer levy""),""Electronic Money"&amp;" Transfer Levy"",IF(REGEXMATCH(LOWER(Raw_Data!C1839),""transfer|trf|send""),""Transfer"",""Other"")))),""Other"")"),"Other")</f>
        <v>Other</v>
      </c>
      <c r="E1833" s="20">
        <v>500.0</v>
      </c>
      <c r="F1833" s="20">
        <v>0.0</v>
      </c>
      <c r="G1833" s="12" t="str">
        <f t="shared" si="3"/>
        <v>Withdrawal</v>
      </c>
      <c r="H1833" s="12" t="str">
        <f>TEXT(Raw_Data!A1839,"hh:mm:ss")
</f>
        <v>10:20:14</v>
      </c>
      <c r="I1833" s="20">
        <f t="shared" si="4"/>
        <v>500</v>
      </c>
    </row>
    <row r="1834">
      <c r="A1834" s="12" t="str">
        <f>Raw_Data!A1840</f>
        <v>19 Dec 2025 10:46:54</v>
      </c>
      <c r="B1834" s="12" t="str">
        <f t="shared" si="1"/>
        <v>December</v>
      </c>
      <c r="C1834" s="12">
        <f t="shared" si="2"/>
        <v>12</v>
      </c>
      <c r="D1834" s="12" t="str">
        <f>IFERROR(__xludf.DUMMYFUNCTION("IFERROR(IF(REGEXMATCH(LOWER(Raw_Data!C1840),""fixed deposit|owealth|savings|target""),""Fixed Deposit"",IF(REGEXMATCH(LOWER(Raw_Data!C1840),""airtime""),""Airtime"",IF(REGEXMATCH(LOWER(Raw_Data!C1840),""electronic money transfer levy""),""Electronic Money"&amp;" Transfer Levy"",IF(REGEXMATCH(LOWER(Raw_Data!C1840),""transfer|trf|send""),""Transfer"",""Other"")))),""Other"")"),"Airtime")</f>
        <v>Airtime</v>
      </c>
      <c r="E1834" s="20">
        <v>500.0</v>
      </c>
      <c r="F1834" s="20">
        <v>0.0</v>
      </c>
      <c r="G1834" s="12" t="str">
        <f t="shared" si="3"/>
        <v>Withdrawal</v>
      </c>
      <c r="H1834" s="12" t="str">
        <f>TEXT(Raw_Data!A1840,"hh:mm:ss")
</f>
        <v>10:46:54</v>
      </c>
      <c r="I1834" s="20">
        <f t="shared" si="4"/>
        <v>500</v>
      </c>
    </row>
    <row r="1835">
      <c r="A1835" s="12" t="str">
        <f>Raw_Data!A1841</f>
        <v>19 Dec 2025 11:15:57</v>
      </c>
      <c r="B1835" s="12" t="str">
        <f t="shared" si="1"/>
        <v>December</v>
      </c>
      <c r="C1835" s="12">
        <f t="shared" si="2"/>
        <v>12</v>
      </c>
      <c r="D1835" s="12" t="str">
        <f>IFERROR(__xludf.DUMMYFUNCTION("IFERROR(IF(REGEXMATCH(LOWER(Raw_Data!C1841),""fixed deposit|owealth|savings|target""),""Fixed Deposit"",IF(REGEXMATCH(LOWER(Raw_Data!C1841),""airtime""),""Airtime"",IF(REGEXMATCH(LOWER(Raw_Data!C1841),""electronic money transfer levy""),""Electronic Money"&amp;" Transfer Levy"",IF(REGEXMATCH(LOWER(Raw_Data!C1841),""transfer|trf|send""),""Transfer"",""Other"")))),""Other"")"),"Transfer")</f>
        <v>Transfer</v>
      </c>
      <c r="E1835" s="20">
        <v>200.0</v>
      </c>
      <c r="F1835" s="20">
        <v>0.0</v>
      </c>
      <c r="G1835" s="12" t="str">
        <f t="shared" si="3"/>
        <v>Withdrawal</v>
      </c>
      <c r="H1835" s="12" t="str">
        <f>TEXT(Raw_Data!A1841,"hh:mm:ss")
</f>
        <v>11:15:57</v>
      </c>
      <c r="I1835" s="20">
        <f t="shared" si="4"/>
        <v>200</v>
      </c>
    </row>
    <row r="1836">
      <c r="A1836" s="12" t="str">
        <f>Raw_Data!A1842</f>
        <v>19 Dec 2025 16:41:11</v>
      </c>
      <c r="B1836" s="12" t="str">
        <f t="shared" si="1"/>
        <v>December</v>
      </c>
      <c r="C1836" s="12">
        <f t="shared" si="2"/>
        <v>12</v>
      </c>
      <c r="D1836" s="12" t="str">
        <f>IFERROR(__xludf.DUMMYFUNCTION("IFERROR(IF(REGEXMATCH(LOWER(Raw_Data!C1842),""fixed deposit|owealth|savings|target""),""Fixed Deposit"",IF(REGEXMATCH(LOWER(Raw_Data!C1842),""airtime""),""Airtime"",IF(REGEXMATCH(LOWER(Raw_Data!C1842),""electronic money transfer levy""),""Electronic Money"&amp;" Transfer Levy"",IF(REGEXMATCH(LOWER(Raw_Data!C1842),""transfer|trf|send""),""Transfer"",""Other"")))),""Other"")"),"Transfer")</f>
        <v>Transfer</v>
      </c>
      <c r="E1836" s="20">
        <v>2000.0</v>
      </c>
      <c r="F1836" s="20">
        <v>0.0</v>
      </c>
      <c r="G1836" s="12" t="str">
        <f t="shared" si="3"/>
        <v>Withdrawal</v>
      </c>
      <c r="H1836" s="12" t="str">
        <f>TEXT(Raw_Data!A1842,"hh:mm:ss")
</f>
        <v>16:41:11</v>
      </c>
      <c r="I1836" s="20">
        <f t="shared" si="4"/>
        <v>2000</v>
      </c>
    </row>
    <row r="1837">
      <c r="A1837" s="12" t="str">
        <f>Raw_Data!A1843</f>
        <v>19 Dec 2025 19:42:58</v>
      </c>
      <c r="B1837" s="12" t="str">
        <f t="shared" si="1"/>
        <v>December</v>
      </c>
      <c r="C1837" s="12">
        <f t="shared" si="2"/>
        <v>12</v>
      </c>
      <c r="D1837" s="12" t="str">
        <f>IFERROR(__xludf.DUMMYFUNCTION("IFERROR(IF(REGEXMATCH(LOWER(Raw_Data!C1843),""fixed deposit|owealth|savings|target""),""Fixed Deposit"",IF(REGEXMATCH(LOWER(Raw_Data!C1843),""airtime""),""Airtime"",IF(REGEXMATCH(LOWER(Raw_Data!C1843),""electronic money transfer levy""),""Electronic Money"&amp;" Transfer Levy"",IF(REGEXMATCH(LOWER(Raw_Data!C1843),""transfer|trf|send""),""Transfer"",""Other"")))),""Other"")"),"Transfer")</f>
        <v>Transfer</v>
      </c>
      <c r="E1837" s="20">
        <v>200.0</v>
      </c>
      <c r="F1837" s="20">
        <v>0.0</v>
      </c>
      <c r="G1837" s="12" t="str">
        <f t="shared" si="3"/>
        <v>Withdrawal</v>
      </c>
      <c r="H1837" s="12" t="str">
        <f>TEXT(Raw_Data!A1843,"hh:mm:ss")
</f>
        <v>19:42:58</v>
      </c>
      <c r="I1837" s="20">
        <f t="shared" si="4"/>
        <v>200</v>
      </c>
    </row>
    <row r="1838">
      <c r="A1838" s="12" t="str">
        <f>Raw_Data!A1844</f>
        <v>19 Dec 2025 19:45:17</v>
      </c>
      <c r="B1838" s="12" t="str">
        <f t="shared" si="1"/>
        <v>December</v>
      </c>
      <c r="C1838" s="12">
        <f t="shared" si="2"/>
        <v>12</v>
      </c>
      <c r="D1838" s="12" t="str">
        <f>IFERROR(__xludf.DUMMYFUNCTION("IFERROR(IF(REGEXMATCH(LOWER(Raw_Data!C1844),""fixed deposit|owealth|savings|target""),""Fixed Deposit"",IF(REGEXMATCH(LOWER(Raw_Data!C1844),""airtime""),""Airtime"",IF(REGEXMATCH(LOWER(Raw_Data!C1844),""electronic money transfer levy""),""Electronic Money"&amp;" Transfer Levy"",IF(REGEXMATCH(LOWER(Raw_Data!C1844),""transfer|trf|send""),""Transfer"",""Other"")))),""Other"")"),"Transfer")</f>
        <v>Transfer</v>
      </c>
      <c r="E1838" s="20">
        <v>400.0</v>
      </c>
      <c r="F1838" s="20">
        <v>0.0</v>
      </c>
      <c r="G1838" s="12" t="str">
        <f t="shared" si="3"/>
        <v>Withdrawal</v>
      </c>
      <c r="H1838" s="12" t="str">
        <f>TEXT(Raw_Data!A1844,"hh:mm:ss")
</f>
        <v>19:45:17</v>
      </c>
      <c r="I1838" s="20">
        <f t="shared" si="4"/>
        <v>400</v>
      </c>
    </row>
    <row r="1839">
      <c r="A1839" s="12" t="str">
        <f>Raw_Data!A1845</f>
        <v>20 Dec 2025 08:17:18</v>
      </c>
      <c r="B1839" s="12" t="str">
        <f t="shared" si="1"/>
        <v>December</v>
      </c>
      <c r="C1839" s="12">
        <f t="shared" si="2"/>
        <v>12</v>
      </c>
      <c r="D1839" s="12" t="str">
        <f>IFERROR(__xludf.DUMMYFUNCTION("IFERROR(IF(REGEXMATCH(LOWER(Raw_Data!C1845),""fixed deposit|owealth|savings|target""),""Fixed Deposit"",IF(REGEXMATCH(LOWER(Raw_Data!C1845),""airtime""),""Airtime"",IF(REGEXMATCH(LOWER(Raw_Data!C1845),""electronic money transfer levy""),""Electronic Money"&amp;" Transfer Levy"",IF(REGEXMATCH(LOWER(Raw_Data!C1845),""transfer|trf|send""),""Transfer"",""Other"")))),""Other"")"),"Transfer")</f>
        <v>Transfer</v>
      </c>
      <c r="E1839" s="20">
        <v>1000.0</v>
      </c>
      <c r="F1839" s="20">
        <v>0.0</v>
      </c>
      <c r="G1839" s="12" t="str">
        <f t="shared" si="3"/>
        <v>Withdrawal</v>
      </c>
      <c r="H1839" s="12" t="str">
        <f>TEXT(Raw_Data!A1845,"hh:mm:ss")
</f>
        <v>08:17:18</v>
      </c>
      <c r="I1839" s="20">
        <f t="shared" si="4"/>
        <v>1000</v>
      </c>
    </row>
    <row r="1840">
      <c r="A1840" s="12" t="str">
        <f>Raw_Data!A1846</f>
        <v>20 Dec 2025 08:40:43</v>
      </c>
      <c r="B1840" s="12" t="str">
        <f t="shared" si="1"/>
        <v>December</v>
      </c>
      <c r="C1840" s="12">
        <f t="shared" si="2"/>
        <v>12</v>
      </c>
      <c r="D1840" s="12" t="str">
        <f>IFERROR(__xludf.DUMMYFUNCTION("IFERROR(IF(REGEXMATCH(LOWER(Raw_Data!C1846),""fixed deposit|owealth|savings|target""),""Fixed Deposit"",IF(REGEXMATCH(LOWER(Raw_Data!C1846),""airtime""),""Airtime"",IF(REGEXMATCH(LOWER(Raw_Data!C1846),""electronic money transfer levy""),""Electronic Money"&amp;" Transfer Levy"",IF(REGEXMATCH(LOWER(Raw_Data!C1846),""transfer|trf|send""),""Transfer"",""Other"")))),""Other"")"),"Transfer")</f>
        <v>Transfer</v>
      </c>
      <c r="E1840" s="20">
        <v>200.0</v>
      </c>
      <c r="F1840" s="20">
        <v>0.0</v>
      </c>
      <c r="G1840" s="12" t="str">
        <f t="shared" si="3"/>
        <v>Withdrawal</v>
      </c>
      <c r="H1840" s="12" t="str">
        <f>TEXT(Raw_Data!A1846,"hh:mm:ss")
</f>
        <v>08:40:43</v>
      </c>
      <c r="I1840" s="20">
        <f t="shared" si="4"/>
        <v>200</v>
      </c>
    </row>
    <row r="1841">
      <c r="A1841" s="12" t="str">
        <f>Raw_Data!A1847</f>
        <v>20 Dec 2025 14:27:43</v>
      </c>
      <c r="B1841" s="12" t="str">
        <f t="shared" si="1"/>
        <v>December</v>
      </c>
      <c r="C1841" s="12">
        <f t="shared" si="2"/>
        <v>12</v>
      </c>
      <c r="D1841" s="12" t="str">
        <f>IFERROR(__xludf.DUMMYFUNCTION("IFERROR(IF(REGEXMATCH(LOWER(Raw_Data!C1847),""fixed deposit|owealth|savings|target""),""Fixed Deposit"",IF(REGEXMATCH(LOWER(Raw_Data!C1847),""airtime""),""Airtime"",IF(REGEXMATCH(LOWER(Raw_Data!C1847),""electronic money transfer levy""),""Electronic Money"&amp;" Transfer Levy"",IF(REGEXMATCH(LOWER(Raw_Data!C1847),""transfer|trf|send""),""Transfer"",""Other"")))),""Other"")"),"Transfer")</f>
        <v>Transfer</v>
      </c>
      <c r="E1841" s="20">
        <v>0.0</v>
      </c>
      <c r="F1841" s="20">
        <v>3000.0</v>
      </c>
      <c r="G1841" s="12" t="str">
        <f t="shared" si="3"/>
        <v>Deposit</v>
      </c>
      <c r="H1841" s="12" t="str">
        <f>TEXT(Raw_Data!A1847,"hh:mm:ss")
</f>
        <v>14:27:43</v>
      </c>
      <c r="I1841" s="20">
        <f t="shared" si="4"/>
        <v>3000</v>
      </c>
    </row>
    <row r="1842">
      <c r="A1842" s="12" t="str">
        <f>Raw_Data!A1848</f>
        <v>20 Dec 2025 17:39:37</v>
      </c>
      <c r="B1842" s="12" t="str">
        <f t="shared" si="1"/>
        <v>December</v>
      </c>
      <c r="C1842" s="12">
        <f t="shared" si="2"/>
        <v>12</v>
      </c>
      <c r="D1842" s="12" t="str">
        <f>IFERROR(__xludf.DUMMYFUNCTION("IFERROR(IF(REGEXMATCH(LOWER(Raw_Data!C1848),""fixed deposit|owealth|savings|target""),""Fixed Deposit"",IF(REGEXMATCH(LOWER(Raw_Data!C1848),""airtime""),""Airtime"",IF(REGEXMATCH(LOWER(Raw_Data!C1848),""electronic money transfer levy""),""Electronic Money"&amp;" Transfer Levy"",IF(REGEXMATCH(LOWER(Raw_Data!C1848),""transfer|trf|send""),""Transfer"",""Other"")))),""Other"")"),"Transfer")</f>
        <v>Transfer</v>
      </c>
      <c r="E1842" s="20">
        <v>0.0</v>
      </c>
      <c r="F1842" s="20">
        <v>15000.0</v>
      </c>
      <c r="G1842" s="12" t="str">
        <f t="shared" si="3"/>
        <v>Deposit</v>
      </c>
      <c r="H1842" s="12" t="str">
        <f>TEXT(Raw_Data!A1848,"hh:mm:ss")
</f>
        <v>17:39:37</v>
      </c>
      <c r="I1842" s="20">
        <f t="shared" si="4"/>
        <v>15000</v>
      </c>
    </row>
    <row r="1843">
      <c r="A1843" s="12" t="str">
        <f>Raw_Data!A1849</f>
        <v>20 Dec 2025 17:39:39</v>
      </c>
      <c r="B1843" s="12" t="str">
        <f t="shared" si="1"/>
        <v>December</v>
      </c>
      <c r="C1843" s="12">
        <f t="shared" si="2"/>
        <v>12</v>
      </c>
      <c r="D1843" s="12" t="str">
        <f>IFERROR(__xludf.DUMMYFUNCTION("IFERROR(IF(REGEXMATCH(LOWER(Raw_Data!C1849),""fixed deposit|owealth|savings|target""),""Fixed Deposit"",IF(REGEXMATCH(LOWER(Raw_Data!C1849),""airtime""),""Airtime"",IF(REGEXMATCH(LOWER(Raw_Data!C1849),""electronic money transfer levy""),""Electronic Money"&amp;" Transfer Levy"",IF(REGEXMATCH(LOWER(Raw_Data!C1849),""transfer|trf|send""),""Transfer"",""Other"")))),""Other"")"),"Electronic Money Transfer Levy")</f>
        <v>Electronic Money Transfer Levy</v>
      </c>
      <c r="E1843" s="20">
        <v>50.0</v>
      </c>
      <c r="F1843" s="20">
        <v>0.0</v>
      </c>
      <c r="G1843" s="12" t="str">
        <f t="shared" si="3"/>
        <v>Withdrawal</v>
      </c>
      <c r="H1843" s="12" t="str">
        <f>TEXT(Raw_Data!A1849,"hh:mm:ss")
</f>
        <v>17:39:39</v>
      </c>
      <c r="I1843" s="20">
        <f t="shared" si="4"/>
        <v>50</v>
      </c>
    </row>
    <row r="1844">
      <c r="A1844" s="12" t="str">
        <f>Raw_Data!A1850</f>
        <v>20 Dec 2025 18:26:46</v>
      </c>
      <c r="B1844" s="12" t="str">
        <f t="shared" si="1"/>
        <v>December</v>
      </c>
      <c r="C1844" s="12">
        <f t="shared" si="2"/>
        <v>12</v>
      </c>
      <c r="D1844" s="12" t="str">
        <f>IFERROR(__xludf.DUMMYFUNCTION("IFERROR(IF(REGEXMATCH(LOWER(Raw_Data!C1850),""fixed deposit|owealth|savings|target""),""Fixed Deposit"",IF(REGEXMATCH(LOWER(Raw_Data!C1850),""airtime""),""Airtime"",IF(REGEXMATCH(LOWER(Raw_Data!C1850),""electronic money transfer levy""),""Electronic Money"&amp;" Transfer Levy"",IF(REGEXMATCH(LOWER(Raw_Data!C1850),""transfer|trf|send""),""Transfer"",""Other"")))),""Other"")"),"Airtime")</f>
        <v>Airtime</v>
      </c>
      <c r="E1844" s="20">
        <v>12000.0</v>
      </c>
      <c r="F1844" s="20">
        <v>0.0</v>
      </c>
      <c r="G1844" s="12" t="str">
        <f t="shared" si="3"/>
        <v>Withdrawal</v>
      </c>
      <c r="H1844" s="12" t="str">
        <f>TEXT(Raw_Data!A1850,"hh:mm:ss")
</f>
        <v>18:26:46</v>
      </c>
      <c r="I1844" s="20">
        <f t="shared" si="4"/>
        <v>12000</v>
      </c>
    </row>
    <row r="1845">
      <c r="A1845" s="12" t="str">
        <f>Raw_Data!A1851</f>
        <v>20 Dec 2025 18:28:48</v>
      </c>
      <c r="B1845" s="12" t="str">
        <f t="shared" si="1"/>
        <v>December</v>
      </c>
      <c r="C1845" s="12">
        <f t="shared" si="2"/>
        <v>12</v>
      </c>
      <c r="D1845" s="12" t="str">
        <f>IFERROR(__xludf.DUMMYFUNCTION("IFERROR(IF(REGEXMATCH(LOWER(Raw_Data!C1851),""fixed deposit|owealth|savings|target""),""Fixed Deposit"",IF(REGEXMATCH(LOWER(Raw_Data!C1851),""airtime""),""Airtime"",IF(REGEXMATCH(LOWER(Raw_Data!C1851),""electronic money transfer levy""),""Electronic Money"&amp;" Transfer Levy"",IF(REGEXMATCH(LOWER(Raw_Data!C1851),""transfer|trf|send""),""Transfer"",""Other"")))),""Other"")"),"Transfer")</f>
        <v>Transfer</v>
      </c>
      <c r="E1845" s="20">
        <v>250.0</v>
      </c>
      <c r="F1845" s="20">
        <v>0.0</v>
      </c>
      <c r="G1845" s="12" t="str">
        <f t="shared" si="3"/>
        <v>Withdrawal</v>
      </c>
      <c r="H1845" s="12" t="str">
        <f>TEXT(Raw_Data!A1851,"hh:mm:ss")
</f>
        <v>18:28:48</v>
      </c>
      <c r="I1845" s="20">
        <f t="shared" si="4"/>
        <v>250</v>
      </c>
    </row>
    <row r="1846">
      <c r="A1846" s="12" t="str">
        <f>Raw_Data!A1852</f>
        <v>20 Dec 2025 18:29:12</v>
      </c>
      <c r="B1846" s="12" t="str">
        <f t="shared" si="1"/>
        <v>December</v>
      </c>
      <c r="C1846" s="12">
        <f t="shared" si="2"/>
        <v>12</v>
      </c>
      <c r="D1846" s="12" t="str">
        <f>IFERROR(__xludf.DUMMYFUNCTION("IFERROR(IF(REGEXMATCH(LOWER(Raw_Data!C1852),""fixed deposit|owealth|savings|target""),""Fixed Deposit"",IF(REGEXMATCH(LOWER(Raw_Data!C1852),""airtime""),""Airtime"",IF(REGEXMATCH(LOWER(Raw_Data!C1852),""electronic money transfer levy""),""Electronic Money"&amp;" Transfer Levy"",IF(REGEXMATCH(LOWER(Raw_Data!C1852),""transfer|trf|send""),""Transfer"",""Other"")))),""Other"")"),"Transfer")</f>
        <v>Transfer</v>
      </c>
      <c r="E1846" s="20">
        <v>0.0</v>
      </c>
      <c r="F1846" s="20">
        <v>250.0</v>
      </c>
      <c r="G1846" s="12" t="str">
        <f t="shared" si="3"/>
        <v>Deposit</v>
      </c>
      <c r="H1846" s="12" t="str">
        <f>TEXT(Raw_Data!A1852,"hh:mm:ss")
</f>
        <v>18:29:12</v>
      </c>
      <c r="I1846" s="20">
        <f t="shared" si="4"/>
        <v>250</v>
      </c>
    </row>
    <row r="1847">
      <c r="A1847" s="12" t="str">
        <f>Raw_Data!A1853</f>
        <v>20 Dec 2025 19:58:00</v>
      </c>
      <c r="B1847" s="12" t="str">
        <f t="shared" si="1"/>
        <v>December</v>
      </c>
      <c r="C1847" s="12">
        <f t="shared" si="2"/>
        <v>12</v>
      </c>
      <c r="D1847" s="12" t="str">
        <f>IFERROR(__xludf.DUMMYFUNCTION("IFERROR(IF(REGEXMATCH(LOWER(Raw_Data!C1853),""fixed deposit|owealth|savings|target""),""Fixed Deposit"",IF(REGEXMATCH(LOWER(Raw_Data!C1853),""airtime""),""Airtime"",IF(REGEXMATCH(LOWER(Raw_Data!C1853),""electronic money transfer levy""),""Electronic Money"&amp;" Transfer Levy"",IF(REGEXMATCH(LOWER(Raw_Data!C1853),""transfer|trf|send""),""Transfer"",""Other"")))),""Other"")"),"Transfer")</f>
        <v>Transfer</v>
      </c>
      <c r="E1847" s="20">
        <v>0.0</v>
      </c>
      <c r="F1847" s="20">
        <v>10000.0</v>
      </c>
      <c r="G1847" s="12" t="str">
        <f t="shared" si="3"/>
        <v>Deposit</v>
      </c>
      <c r="H1847" s="12" t="str">
        <f>TEXT(Raw_Data!A1853,"hh:mm:ss")
</f>
        <v>19:58:00</v>
      </c>
      <c r="I1847" s="20">
        <f t="shared" si="4"/>
        <v>10000</v>
      </c>
    </row>
    <row r="1848">
      <c r="A1848" s="12" t="str">
        <f>Raw_Data!A1854</f>
        <v>20 Dec 2025 19:58:02</v>
      </c>
      <c r="B1848" s="12" t="str">
        <f t="shared" si="1"/>
        <v>December</v>
      </c>
      <c r="C1848" s="12">
        <f t="shared" si="2"/>
        <v>12</v>
      </c>
      <c r="D1848" s="12" t="str">
        <f>IFERROR(__xludf.DUMMYFUNCTION("IFERROR(IF(REGEXMATCH(LOWER(Raw_Data!C1854),""fixed deposit|owealth|savings|target""),""Fixed Deposit"",IF(REGEXMATCH(LOWER(Raw_Data!C1854),""airtime""),""Airtime"",IF(REGEXMATCH(LOWER(Raw_Data!C1854),""electronic money transfer levy""),""Electronic Money"&amp;" Transfer Levy"",IF(REGEXMATCH(LOWER(Raw_Data!C1854),""transfer|trf|send""),""Transfer"",""Other"")))),""Other"")"),"Electronic Money Transfer Levy")</f>
        <v>Electronic Money Transfer Levy</v>
      </c>
      <c r="E1848" s="20">
        <v>50.0</v>
      </c>
      <c r="F1848" s="20">
        <v>0.0</v>
      </c>
      <c r="G1848" s="12" t="str">
        <f t="shared" si="3"/>
        <v>Withdrawal</v>
      </c>
      <c r="H1848" s="12" t="str">
        <f>TEXT(Raw_Data!A1854,"hh:mm:ss")
</f>
        <v>19:58:02</v>
      </c>
      <c r="I1848" s="20">
        <f t="shared" si="4"/>
        <v>50</v>
      </c>
    </row>
    <row r="1849">
      <c r="A1849" s="12" t="str">
        <f>Raw_Data!A1855</f>
        <v>20 Dec 2025 19:59:56</v>
      </c>
      <c r="B1849" s="12" t="str">
        <f t="shared" si="1"/>
        <v>December</v>
      </c>
      <c r="C1849" s="12">
        <f t="shared" si="2"/>
        <v>12</v>
      </c>
      <c r="D1849" s="12" t="str">
        <f>IFERROR(__xludf.DUMMYFUNCTION("IFERROR(IF(REGEXMATCH(LOWER(Raw_Data!C1855),""fixed deposit|owealth|savings|target""),""Fixed Deposit"",IF(REGEXMATCH(LOWER(Raw_Data!C1855),""airtime""),""Airtime"",IF(REGEXMATCH(LOWER(Raw_Data!C1855),""electronic money transfer levy""),""Electronic Money"&amp;" Transfer Levy"",IF(REGEXMATCH(LOWER(Raw_Data!C1855),""transfer|trf|send""),""Transfer"",""Other"")))),""Other"")"),"Other")</f>
        <v>Other</v>
      </c>
      <c r="E1849" s="20">
        <v>12478.0</v>
      </c>
      <c r="F1849" s="20">
        <v>0.0</v>
      </c>
      <c r="G1849" s="12" t="str">
        <f t="shared" si="3"/>
        <v>Withdrawal</v>
      </c>
      <c r="H1849" s="12" t="str">
        <f>TEXT(Raw_Data!A1855,"hh:mm:ss")
</f>
        <v>19:59:56</v>
      </c>
      <c r="I1849" s="20">
        <f t="shared" si="4"/>
        <v>12478</v>
      </c>
    </row>
    <row r="1850">
      <c r="A1850" s="12" t="str">
        <f>Raw_Data!A1856</f>
        <v>20 Dec 2025 20:07:01</v>
      </c>
      <c r="B1850" s="12" t="str">
        <f t="shared" si="1"/>
        <v>December</v>
      </c>
      <c r="C1850" s="12">
        <f t="shared" si="2"/>
        <v>12</v>
      </c>
      <c r="D1850" s="12" t="str">
        <f>IFERROR(__xludf.DUMMYFUNCTION("IFERROR(IF(REGEXMATCH(LOWER(Raw_Data!C1856),""fixed deposit|owealth|savings|target""),""Fixed Deposit"",IF(REGEXMATCH(LOWER(Raw_Data!C1856),""airtime""),""Airtime"",IF(REGEXMATCH(LOWER(Raw_Data!C1856),""electronic money transfer levy""),""Electronic Money"&amp;" Transfer Levy"",IF(REGEXMATCH(LOWER(Raw_Data!C1856),""transfer|trf|send""),""Transfer"",""Other"")))),""Other"")"),"Transfer")</f>
        <v>Transfer</v>
      </c>
      <c r="E1850" s="20">
        <v>250.0</v>
      </c>
      <c r="F1850" s="20">
        <v>0.0</v>
      </c>
      <c r="G1850" s="12" t="str">
        <f t="shared" si="3"/>
        <v>Withdrawal</v>
      </c>
      <c r="H1850" s="12" t="str">
        <f>TEXT(Raw_Data!A1856,"hh:mm:ss")
</f>
        <v>20:07:01</v>
      </c>
      <c r="I1850" s="20">
        <f t="shared" si="4"/>
        <v>250</v>
      </c>
    </row>
    <row r="1851">
      <c r="A1851" s="12" t="str">
        <f>Raw_Data!A1857</f>
        <v>21 Dec 2025 08:16:39</v>
      </c>
      <c r="B1851" s="12" t="str">
        <f t="shared" si="1"/>
        <v>December</v>
      </c>
      <c r="C1851" s="12">
        <f t="shared" si="2"/>
        <v>12</v>
      </c>
      <c r="D1851" s="12" t="str">
        <f>IFERROR(__xludf.DUMMYFUNCTION("IFERROR(IF(REGEXMATCH(LOWER(Raw_Data!C1857),""fixed deposit|owealth|savings|target""),""Fixed Deposit"",IF(REGEXMATCH(LOWER(Raw_Data!C1857),""airtime""),""Airtime"",IF(REGEXMATCH(LOWER(Raw_Data!C1857),""electronic money transfer levy""),""Electronic Money"&amp;" Transfer Levy"",IF(REGEXMATCH(LOWER(Raw_Data!C1857),""transfer|trf|send""),""Transfer"",""Other"")))),""Other"")"),"Transfer")</f>
        <v>Transfer</v>
      </c>
      <c r="E1851" s="20">
        <v>500.0</v>
      </c>
      <c r="F1851" s="20">
        <v>0.0</v>
      </c>
      <c r="G1851" s="12" t="str">
        <f t="shared" si="3"/>
        <v>Withdrawal</v>
      </c>
      <c r="H1851" s="12" t="str">
        <f>TEXT(Raw_Data!A1857,"hh:mm:ss")
</f>
        <v>08:16:39</v>
      </c>
      <c r="I1851" s="20">
        <f t="shared" si="4"/>
        <v>500</v>
      </c>
    </row>
    <row r="1852">
      <c r="A1852" s="12" t="str">
        <f>Raw_Data!A1858</f>
        <v>21 Dec 2025 10:03:24</v>
      </c>
      <c r="B1852" s="12" t="str">
        <f t="shared" si="1"/>
        <v>December</v>
      </c>
      <c r="C1852" s="12">
        <f t="shared" si="2"/>
        <v>12</v>
      </c>
      <c r="D1852" s="12" t="str">
        <f>IFERROR(__xludf.DUMMYFUNCTION("IFERROR(IF(REGEXMATCH(LOWER(Raw_Data!C1858),""fixed deposit|owealth|savings|target""),""Fixed Deposit"",IF(REGEXMATCH(LOWER(Raw_Data!C1858),""airtime""),""Airtime"",IF(REGEXMATCH(LOWER(Raw_Data!C1858),""electronic money transfer levy""),""Electronic Money"&amp;" Transfer Levy"",IF(REGEXMATCH(LOWER(Raw_Data!C1858),""transfer|trf|send""),""Transfer"",""Other"")))),""Other"")"),"Airtime")</f>
        <v>Airtime</v>
      </c>
      <c r="E1852" s="20">
        <v>3000.0</v>
      </c>
      <c r="F1852" s="20">
        <v>0.0</v>
      </c>
      <c r="G1852" s="12" t="str">
        <f t="shared" si="3"/>
        <v>Withdrawal</v>
      </c>
      <c r="H1852" s="12" t="str">
        <f>TEXT(Raw_Data!A1858,"hh:mm:ss")
</f>
        <v>10:03:24</v>
      </c>
      <c r="I1852" s="20">
        <f t="shared" si="4"/>
        <v>3000</v>
      </c>
    </row>
    <row r="1853">
      <c r="A1853" s="12" t="str">
        <f>Raw_Data!A1859</f>
        <v>21 Dec 2025 19:41:56</v>
      </c>
      <c r="B1853" s="12" t="str">
        <f t="shared" si="1"/>
        <v>December</v>
      </c>
      <c r="C1853" s="12">
        <f t="shared" si="2"/>
        <v>12</v>
      </c>
      <c r="D1853" s="12" t="str">
        <f>IFERROR(__xludf.DUMMYFUNCTION("IFERROR(IF(REGEXMATCH(LOWER(Raw_Data!C1859),""fixed deposit|owealth|savings|target""),""Fixed Deposit"",IF(REGEXMATCH(LOWER(Raw_Data!C1859),""airtime""),""Airtime"",IF(REGEXMATCH(LOWER(Raw_Data!C1859),""electronic money transfer levy""),""Electronic Money"&amp;" Transfer Levy"",IF(REGEXMATCH(LOWER(Raw_Data!C1859),""transfer|trf|send""),""Transfer"",""Other"")))),""Other"")"),"Transfer")</f>
        <v>Transfer</v>
      </c>
      <c r="E1853" s="20">
        <v>250.0</v>
      </c>
      <c r="F1853" s="20">
        <v>0.0</v>
      </c>
      <c r="G1853" s="12" t="str">
        <f t="shared" si="3"/>
        <v>Withdrawal</v>
      </c>
      <c r="H1853" s="12" t="str">
        <f>TEXT(Raw_Data!A1859,"hh:mm:ss")
</f>
        <v>19:41:56</v>
      </c>
      <c r="I1853" s="20">
        <f t="shared" si="4"/>
        <v>250</v>
      </c>
    </row>
    <row r="1854">
      <c r="A1854" s="12" t="str">
        <f>Raw_Data!A1860</f>
        <v>21 Dec 2025 19:43:00</v>
      </c>
      <c r="B1854" s="12" t="str">
        <f t="shared" si="1"/>
        <v>December</v>
      </c>
      <c r="C1854" s="12">
        <f t="shared" si="2"/>
        <v>12</v>
      </c>
      <c r="D1854" s="12" t="str">
        <f>IFERROR(__xludf.DUMMYFUNCTION("IFERROR(IF(REGEXMATCH(LOWER(Raw_Data!C1860),""fixed deposit|owealth|savings|target""),""Fixed Deposit"",IF(REGEXMATCH(LOWER(Raw_Data!C1860),""airtime""),""Airtime"",IF(REGEXMATCH(LOWER(Raw_Data!C1860),""electronic money transfer levy""),""Electronic Money"&amp;" Transfer Levy"",IF(REGEXMATCH(LOWER(Raw_Data!C1860),""transfer|trf|send""),""Transfer"",""Other"")))),""Other"")"),"Transfer")</f>
        <v>Transfer</v>
      </c>
      <c r="E1854" s="20">
        <v>450.0</v>
      </c>
      <c r="F1854" s="20">
        <v>0.0</v>
      </c>
      <c r="G1854" s="12" t="str">
        <f t="shared" si="3"/>
        <v>Withdrawal</v>
      </c>
      <c r="H1854" s="12" t="str">
        <f>TEXT(Raw_Data!A1860,"hh:mm:ss")
</f>
        <v>19:43:00</v>
      </c>
      <c r="I1854" s="20">
        <f t="shared" si="4"/>
        <v>450</v>
      </c>
    </row>
    <row r="1855">
      <c r="A1855" s="12" t="str">
        <f>Raw_Data!A1861</f>
        <v>22 Dec 2025 16:12:25</v>
      </c>
      <c r="B1855" s="12" t="str">
        <f t="shared" si="1"/>
        <v>December</v>
      </c>
      <c r="C1855" s="12">
        <f t="shared" si="2"/>
        <v>12</v>
      </c>
      <c r="D1855" s="12" t="str">
        <f>IFERROR(__xludf.DUMMYFUNCTION("IFERROR(IF(REGEXMATCH(LOWER(Raw_Data!C1861),""fixed deposit|owealth|savings|target""),""Fixed Deposit"",IF(REGEXMATCH(LOWER(Raw_Data!C1861),""airtime""),""Airtime"",IF(REGEXMATCH(LOWER(Raw_Data!C1861),""electronic money transfer levy""),""Electronic Money"&amp;" Transfer Levy"",IF(REGEXMATCH(LOWER(Raw_Data!C1861),""transfer|trf|send""),""Transfer"",""Other"")))),""Other"")"),"Transfer")</f>
        <v>Transfer</v>
      </c>
      <c r="E1855" s="20">
        <v>300.0</v>
      </c>
      <c r="F1855" s="20">
        <v>0.0</v>
      </c>
      <c r="G1855" s="12" t="str">
        <f t="shared" si="3"/>
        <v>Withdrawal</v>
      </c>
      <c r="H1855" s="12" t="str">
        <f>TEXT(Raw_Data!A1861,"hh:mm:ss")
</f>
        <v>16:12:25</v>
      </c>
      <c r="I1855" s="20">
        <f t="shared" si="4"/>
        <v>300</v>
      </c>
    </row>
    <row r="1856">
      <c r="A1856" s="12" t="str">
        <f>Raw_Data!A1862</f>
        <v>22 Dec 2025 20:36:40</v>
      </c>
      <c r="B1856" s="12" t="str">
        <f t="shared" si="1"/>
        <v>December</v>
      </c>
      <c r="C1856" s="12">
        <f t="shared" si="2"/>
        <v>12</v>
      </c>
      <c r="D1856" s="12" t="str">
        <f>IFERROR(__xludf.DUMMYFUNCTION("IFERROR(IF(REGEXMATCH(LOWER(Raw_Data!C1862),""fixed deposit|owealth|savings|target""),""Fixed Deposit"",IF(REGEXMATCH(LOWER(Raw_Data!C1862),""airtime""),""Airtime"",IF(REGEXMATCH(LOWER(Raw_Data!C1862),""electronic money transfer levy""),""Electronic Money"&amp;" Transfer Levy"",IF(REGEXMATCH(LOWER(Raw_Data!C1862),""transfer|trf|send""),""Transfer"",""Other"")))),""Other"")"),"Transfer")</f>
        <v>Transfer</v>
      </c>
      <c r="E1856" s="20">
        <v>0.0</v>
      </c>
      <c r="F1856" s="20">
        <v>1700.0</v>
      </c>
      <c r="G1856" s="12" t="str">
        <f t="shared" si="3"/>
        <v>Deposit</v>
      </c>
      <c r="H1856" s="12" t="str">
        <f>TEXT(Raw_Data!A1862,"hh:mm:ss")
</f>
        <v>20:36:40</v>
      </c>
      <c r="I1856" s="20">
        <f t="shared" si="4"/>
        <v>1700</v>
      </c>
    </row>
    <row r="1857">
      <c r="A1857" s="12" t="str">
        <f>Raw_Data!A1863</f>
        <v>22 Dec 2025 21:32:06</v>
      </c>
      <c r="B1857" s="12" t="str">
        <f t="shared" si="1"/>
        <v>December</v>
      </c>
      <c r="C1857" s="12">
        <f t="shared" si="2"/>
        <v>12</v>
      </c>
      <c r="D1857" s="12" t="str">
        <f>IFERROR(__xludf.DUMMYFUNCTION("IFERROR(IF(REGEXMATCH(LOWER(Raw_Data!C1863),""fixed deposit|owealth|savings|target""),""Fixed Deposit"",IF(REGEXMATCH(LOWER(Raw_Data!C1863),""airtime""),""Airtime"",IF(REGEXMATCH(LOWER(Raw_Data!C1863),""electronic money transfer levy""),""Electronic Money"&amp;" Transfer Levy"",IF(REGEXMATCH(LOWER(Raw_Data!C1863),""transfer|trf|send""),""Transfer"",""Other"")))),""Other"")"),"Transfer")</f>
        <v>Transfer</v>
      </c>
      <c r="E1857" s="20">
        <v>500.0</v>
      </c>
      <c r="F1857" s="20">
        <v>0.0</v>
      </c>
      <c r="G1857" s="12" t="str">
        <f t="shared" si="3"/>
        <v>Withdrawal</v>
      </c>
      <c r="H1857" s="12" t="str">
        <f>TEXT(Raw_Data!A1863,"hh:mm:ss")
</f>
        <v>21:32:06</v>
      </c>
      <c r="I1857" s="20">
        <f t="shared" si="4"/>
        <v>500</v>
      </c>
    </row>
    <row r="1858">
      <c r="A1858" s="12" t="str">
        <f>Raw_Data!A1864</f>
        <v>23 Dec 2025 09:23:32</v>
      </c>
      <c r="B1858" s="12" t="str">
        <f t="shared" si="1"/>
        <v>December</v>
      </c>
      <c r="C1858" s="12">
        <f t="shared" si="2"/>
        <v>12</v>
      </c>
      <c r="D1858" s="12" t="str">
        <f>IFERROR(__xludf.DUMMYFUNCTION("IFERROR(IF(REGEXMATCH(LOWER(Raw_Data!C1864),""fixed deposit|owealth|savings|target""),""Fixed Deposit"",IF(REGEXMATCH(LOWER(Raw_Data!C1864),""airtime""),""Airtime"",IF(REGEXMATCH(LOWER(Raw_Data!C1864),""electronic money transfer levy""),""Electronic Money"&amp;" Transfer Levy"",IF(REGEXMATCH(LOWER(Raw_Data!C1864),""transfer|trf|send""),""Transfer"",""Other"")))),""Other"")"),"Transfer")</f>
        <v>Transfer</v>
      </c>
      <c r="E1858" s="20">
        <v>200.0</v>
      </c>
      <c r="F1858" s="20">
        <v>0.0</v>
      </c>
      <c r="G1858" s="12" t="str">
        <f t="shared" si="3"/>
        <v>Withdrawal</v>
      </c>
      <c r="H1858" s="12" t="str">
        <f>TEXT(Raw_Data!A1864,"hh:mm:ss")
</f>
        <v>09:23:32</v>
      </c>
      <c r="I1858" s="20">
        <f t="shared" si="4"/>
        <v>200</v>
      </c>
    </row>
    <row r="1859">
      <c r="A1859" s="12" t="str">
        <f>Raw_Data!A1865</f>
        <v>23 Dec 2025 09:40:02</v>
      </c>
      <c r="B1859" s="12" t="str">
        <f t="shared" si="1"/>
        <v>December</v>
      </c>
      <c r="C1859" s="12">
        <f t="shared" si="2"/>
        <v>12</v>
      </c>
      <c r="D1859" s="12" t="str">
        <f>IFERROR(__xludf.DUMMYFUNCTION("IFERROR(IF(REGEXMATCH(LOWER(Raw_Data!C1865),""fixed deposit|owealth|savings|target""),""Fixed Deposit"",IF(REGEXMATCH(LOWER(Raw_Data!C1865),""airtime""),""Airtime"",IF(REGEXMATCH(LOWER(Raw_Data!C1865),""electronic money transfer levy""),""Electronic Money"&amp;" Transfer Levy"",IF(REGEXMATCH(LOWER(Raw_Data!C1865),""transfer|trf|send""),""Transfer"",""Other"")))),""Other"")"),"Transfer")</f>
        <v>Transfer</v>
      </c>
      <c r="E1859" s="20">
        <v>1100.0</v>
      </c>
      <c r="F1859" s="20">
        <v>0.0</v>
      </c>
      <c r="G1859" s="12" t="str">
        <f t="shared" si="3"/>
        <v>Withdrawal</v>
      </c>
      <c r="H1859" s="12" t="str">
        <f>TEXT(Raw_Data!A1865,"hh:mm:ss")
</f>
        <v>09:40:02</v>
      </c>
      <c r="I1859" s="20">
        <f t="shared" si="4"/>
        <v>1100</v>
      </c>
    </row>
    <row r="1860">
      <c r="A1860" s="12" t="str">
        <f>Raw_Data!A1866</f>
        <v>23 Dec 2025 10:44:29</v>
      </c>
      <c r="B1860" s="12" t="str">
        <f t="shared" si="1"/>
        <v>December</v>
      </c>
      <c r="C1860" s="12">
        <f t="shared" si="2"/>
        <v>12</v>
      </c>
      <c r="D1860" s="12" t="str">
        <f>IFERROR(__xludf.DUMMYFUNCTION("IFERROR(IF(REGEXMATCH(LOWER(Raw_Data!C1866),""fixed deposit|owealth|savings|target""),""Fixed Deposit"",IF(REGEXMATCH(LOWER(Raw_Data!C1866),""airtime""),""Airtime"",IF(REGEXMATCH(LOWER(Raw_Data!C1866),""electronic money transfer levy""),""Electronic Money"&amp;" Transfer Levy"",IF(REGEXMATCH(LOWER(Raw_Data!C1866),""transfer|trf|send""),""Transfer"",""Other"")))),""Other"")"),"Transfer")</f>
        <v>Transfer</v>
      </c>
      <c r="E1860" s="20">
        <v>0.0</v>
      </c>
      <c r="F1860" s="20">
        <v>1000.0</v>
      </c>
      <c r="G1860" s="12" t="str">
        <f t="shared" si="3"/>
        <v>Deposit</v>
      </c>
      <c r="H1860" s="12" t="str">
        <f>TEXT(Raw_Data!A1866,"hh:mm:ss")
</f>
        <v>10:44:29</v>
      </c>
      <c r="I1860" s="20">
        <f t="shared" si="4"/>
        <v>1000</v>
      </c>
    </row>
    <row r="1861">
      <c r="A1861" s="12" t="str">
        <f>Raw_Data!A1867</f>
        <v>23 Dec 2025 17:57:45</v>
      </c>
      <c r="B1861" s="12" t="str">
        <f t="shared" si="1"/>
        <v>December</v>
      </c>
      <c r="C1861" s="12">
        <f t="shared" si="2"/>
        <v>12</v>
      </c>
      <c r="D1861" s="12" t="str">
        <f>IFERROR(__xludf.DUMMYFUNCTION("IFERROR(IF(REGEXMATCH(LOWER(Raw_Data!C1867),""fixed deposit|owealth|savings|target""),""Fixed Deposit"",IF(REGEXMATCH(LOWER(Raw_Data!C1867),""airtime""),""Airtime"",IF(REGEXMATCH(LOWER(Raw_Data!C1867),""electronic money transfer levy""),""Electronic Money"&amp;" Transfer Levy"",IF(REGEXMATCH(LOWER(Raw_Data!C1867),""transfer|trf|send""),""Transfer"",""Other"")))),""Other"")"),"Transfer")</f>
        <v>Transfer</v>
      </c>
      <c r="E1861" s="20">
        <v>0.0</v>
      </c>
      <c r="F1861" s="20">
        <v>1000.0</v>
      </c>
      <c r="G1861" s="12" t="str">
        <f t="shared" si="3"/>
        <v>Deposit</v>
      </c>
      <c r="H1861" s="12" t="str">
        <f>TEXT(Raw_Data!A1867,"hh:mm:ss")
</f>
        <v>17:57:45</v>
      </c>
      <c r="I1861" s="20">
        <f t="shared" si="4"/>
        <v>1000</v>
      </c>
    </row>
    <row r="1862">
      <c r="A1862" s="12" t="str">
        <f>Raw_Data!A1868</f>
        <v>23 Dec 2025 18:23:39</v>
      </c>
      <c r="B1862" s="12" t="str">
        <f t="shared" si="1"/>
        <v>December</v>
      </c>
      <c r="C1862" s="12">
        <f t="shared" si="2"/>
        <v>12</v>
      </c>
      <c r="D1862" s="12" t="str">
        <f>IFERROR(__xludf.DUMMYFUNCTION("IFERROR(IF(REGEXMATCH(LOWER(Raw_Data!C1868),""fixed deposit|owealth|savings|target""),""Fixed Deposit"",IF(REGEXMATCH(LOWER(Raw_Data!C1868),""airtime""),""Airtime"",IF(REGEXMATCH(LOWER(Raw_Data!C1868),""electronic money transfer levy""),""Electronic Money"&amp;" Transfer Levy"",IF(REGEXMATCH(LOWER(Raw_Data!C1868),""transfer|trf|send""),""Transfer"",""Other"")))),""Other"")"),"Transfer")</f>
        <v>Transfer</v>
      </c>
      <c r="E1862" s="20">
        <v>1600.0</v>
      </c>
      <c r="F1862" s="20">
        <v>0.0</v>
      </c>
      <c r="G1862" s="12" t="str">
        <f t="shared" si="3"/>
        <v>Withdrawal</v>
      </c>
      <c r="H1862" s="12" t="str">
        <f>TEXT(Raw_Data!A1868,"hh:mm:ss")
</f>
        <v>18:23:39</v>
      </c>
      <c r="I1862" s="20">
        <f t="shared" si="4"/>
        <v>1600</v>
      </c>
    </row>
    <row r="1863">
      <c r="A1863" s="12" t="str">
        <f>Raw_Data!A1869</f>
        <v>23 Dec 2025 18:25:45</v>
      </c>
      <c r="B1863" s="12" t="str">
        <f t="shared" si="1"/>
        <v>December</v>
      </c>
      <c r="C1863" s="12">
        <f t="shared" si="2"/>
        <v>12</v>
      </c>
      <c r="D1863" s="12" t="str">
        <f>IFERROR(__xludf.DUMMYFUNCTION("IFERROR(IF(REGEXMATCH(LOWER(Raw_Data!C1869),""fixed deposit|owealth|savings|target""),""Fixed Deposit"",IF(REGEXMATCH(LOWER(Raw_Data!C1869),""airtime""),""Airtime"",IF(REGEXMATCH(LOWER(Raw_Data!C1869),""electronic money transfer levy""),""Electronic Money"&amp;" Transfer Levy"",IF(REGEXMATCH(LOWER(Raw_Data!C1869),""transfer|trf|send""),""Transfer"",""Other"")))),""Other"")"),"Transfer")</f>
        <v>Transfer</v>
      </c>
      <c r="E1863" s="20">
        <v>100.0</v>
      </c>
      <c r="F1863" s="20">
        <v>0.0</v>
      </c>
      <c r="G1863" s="12" t="str">
        <f t="shared" si="3"/>
        <v>Withdrawal</v>
      </c>
      <c r="H1863" s="12" t="str">
        <f>TEXT(Raw_Data!A1869,"hh:mm:ss")
</f>
        <v>18:25:45</v>
      </c>
      <c r="I1863" s="20">
        <f t="shared" si="4"/>
        <v>100</v>
      </c>
    </row>
    <row r="1864">
      <c r="A1864" s="12" t="str">
        <f>Raw_Data!A1870</f>
        <v>23 Dec 2025 19:36:43</v>
      </c>
      <c r="B1864" s="12" t="str">
        <f t="shared" si="1"/>
        <v>December</v>
      </c>
      <c r="C1864" s="12">
        <f t="shared" si="2"/>
        <v>12</v>
      </c>
      <c r="D1864" s="12" t="str">
        <f>IFERROR(__xludf.DUMMYFUNCTION("IFERROR(IF(REGEXMATCH(LOWER(Raw_Data!C1870),""fixed deposit|owealth|savings|target""),""Fixed Deposit"",IF(REGEXMATCH(LOWER(Raw_Data!C1870),""airtime""),""Airtime"",IF(REGEXMATCH(LOWER(Raw_Data!C1870),""electronic money transfer levy""),""Electronic Money"&amp;" Transfer Levy"",IF(REGEXMATCH(LOWER(Raw_Data!C1870),""transfer|trf|send""),""Transfer"",""Other"")))),""Other"")"),"Transfer")</f>
        <v>Transfer</v>
      </c>
      <c r="E1864" s="20">
        <v>0.0</v>
      </c>
      <c r="F1864" s="20">
        <v>600.0</v>
      </c>
      <c r="G1864" s="12" t="str">
        <f t="shared" si="3"/>
        <v>Deposit</v>
      </c>
      <c r="H1864" s="12" t="str">
        <f>TEXT(Raw_Data!A1870,"hh:mm:ss")
</f>
        <v>19:36:43</v>
      </c>
      <c r="I1864" s="20">
        <f t="shared" si="4"/>
        <v>600</v>
      </c>
    </row>
    <row r="1865">
      <c r="A1865" s="12" t="str">
        <f>Raw_Data!A1871</f>
        <v>24 Dec 2025 08:09:31</v>
      </c>
      <c r="B1865" s="12" t="str">
        <f t="shared" si="1"/>
        <v>December</v>
      </c>
      <c r="C1865" s="12">
        <f t="shared" si="2"/>
        <v>12</v>
      </c>
      <c r="D1865" s="12" t="str">
        <f>IFERROR(__xludf.DUMMYFUNCTION("IFERROR(IF(REGEXMATCH(LOWER(Raw_Data!C1871),""fixed deposit|owealth|savings|target""),""Fixed Deposit"",IF(REGEXMATCH(LOWER(Raw_Data!C1871),""airtime""),""Airtime"",IF(REGEXMATCH(LOWER(Raw_Data!C1871),""electronic money transfer levy""),""Electronic Money"&amp;" Transfer Levy"",IF(REGEXMATCH(LOWER(Raw_Data!C1871),""transfer|trf|send""),""Transfer"",""Other"")))),""Other"")"),"Transfer")</f>
        <v>Transfer</v>
      </c>
      <c r="E1865" s="20">
        <v>0.0</v>
      </c>
      <c r="F1865" s="20">
        <v>800.0</v>
      </c>
      <c r="G1865" s="12" t="str">
        <f t="shared" si="3"/>
        <v>Deposit</v>
      </c>
      <c r="H1865" s="12" t="str">
        <f>TEXT(Raw_Data!A1871,"hh:mm:ss")
</f>
        <v>08:09:31</v>
      </c>
      <c r="I1865" s="20">
        <f t="shared" si="4"/>
        <v>800</v>
      </c>
    </row>
    <row r="1866">
      <c r="A1866" s="12" t="str">
        <f>Raw_Data!A1872</f>
        <v>24 Dec 2025 08:09:45</v>
      </c>
      <c r="B1866" s="12" t="str">
        <f t="shared" si="1"/>
        <v>December</v>
      </c>
      <c r="C1866" s="12">
        <f t="shared" si="2"/>
        <v>12</v>
      </c>
      <c r="D1866" s="12" t="str">
        <f>IFERROR(__xludf.DUMMYFUNCTION("IFERROR(IF(REGEXMATCH(LOWER(Raw_Data!C1872),""fixed deposit|owealth|savings|target""),""Fixed Deposit"",IF(REGEXMATCH(LOWER(Raw_Data!C1872),""airtime""),""Airtime"",IF(REGEXMATCH(LOWER(Raw_Data!C1872),""electronic money transfer levy""),""Electronic Money"&amp;" Transfer Levy"",IF(REGEXMATCH(LOWER(Raw_Data!C1872),""transfer|trf|send""),""Transfer"",""Other"")))),""Other"")"),"Transfer")</f>
        <v>Transfer</v>
      </c>
      <c r="E1866" s="20">
        <v>2100.0</v>
      </c>
      <c r="F1866" s="20">
        <v>0.0</v>
      </c>
      <c r="G1866" s="12" t="str">
        <f t="shared" si="3"/>
        <v>Withdrawal</v>
      </c>
      <c r="H1866" s="12" t="str">
        <f>TEXT(Raw_Data!A1872,"hh:mm:ss")
</f>
        <v>08:09:45</v>
      </c>
      <c r="I1866" s="20">
        <f t="shared" si="4"/>
        <v>2100</v>
      </c>
    </row>
    <row r="1867">
      <c r="A1867" s="12" t="str">
        <f>Raw_Data!A1873</f>
        <v>24 Dec 2025 08:28:27</v>
      </c>
      <c r="B1867" s="12" t="str">
        <f t="shared" si="1"/>
        <v>December</v>
      </c>
      <c r="C1867" s="12">
        <f t="shared" si="2"/>
        <v>12</v>
      </c>
      <c r="D1867" s="12" t="str">
        <f>IFERROR(__xludf.DUMMYFUNCTION("IFERROR(IF(REGEXMATCH(LOWER(Raw_Data!C1873),""fixed deposit|owealth|savings|target""),""Fixed Deposit"",IF(REGEXMATCH(LOWER(Raw_Data!C1873),""airtime""),""Airtime"",IF(REGEXMATCH(LOWER(Raw_Data!C1873),""electronic money transfer levy""),""Electronic Money"&amp;" Transfer Levy"",IF(REGEXMATCH(LOWER(Raw_Data!C1873),""transfer|trf|send""),""Transfer"",""Other"")))),""Other"")"),"Transfer")</f>
        <v>Transfer</v>
      </c>
      <c r="E1867" s="20">
        <v>0.0</v>
      </c>
      <c r="F1867" s="20">
        <v>300.0</v>
      </c>
      <c r="G1867" s="12" t="str">
        <f t="shared" si="3"/>
        <v>Deposit</v>
      </c>
      <c r="H1867" s="12" t="str">
        <f>TEXT(Raw_Data!A1873,"hh:mm:ss")
</f>
        <v>08:28:27</v>
      </c>
      <c r="I1867" s="20">
        <f t="shared" si="4"/>
        <v>300</v>
      </c>
    </row>
    <row r="1868">
      <c r="A1868" s="12" t="str">
        <f>Raw_Data!A1874</f>
        <v>24 Dec 2025 08:31:29</v>
      </c>
      <c r="B1868" s="12" t="str">
        <f t="shared" si="1"/>
        <v>December</v>
      </c>
      <c r="C1868" s="12">
        <f t="shared" si="2"/>
        <v>12</v>
      </c>
      <c r="D1868" s="12" t="str">
        <f>IFERROR(__xludf.DUMMYFUNCTION("IFERROR(IF(REGEXMATCH(LOWER(Raw_Data!C1874),""fixed deposit|owealth|savings|target""),""Fixed Deposit"",IF(REGEXMATCH(LOWER(Raw_Data!C1874),""airtime""),""Airtime"",IF(REGEXMATCH(LOWER(Raw_Data!C1874),""electronic money transfer levy""),""Electronic Money"&amp;" Transfer Levy"",IF(REGEXMATCH(LOWER(Raw_Data!C1874),""transfer|trf|send""),""Transfer"",""Other"")))),""Other"")"),"Transfer")</f>
        <v>Transfer</v>
      </c>
      <c r="E1868" s="20">
        <v>300.0</v>
      </c>
      <c r="F1868" s="20">
        <v>0.0</v>
      </c>
      <c r="G1868" s="12" t="str">
        <f t="shared" si="3"/>
        <v>Withdrawal</v>
      </c>
      <c r="H1868" s="12" t="str">
        <f>TEXT(Raw_Data!A1874,"hh:mm:ss")
</f>
        <v>08:31:29</v>
      </c>
      <c r="I1868" s="20">
        <f t="shared" si="4"/>
        <v>300</v>
      </c>
    </row>
    <row r="1869">
      <c r="A1869" s="12" t="str">
        <f>Raw_Data!A1875</f>
        <v>24 Dec 2025 16:28:22</v>
      </c>
      <c r="B1869" s="12" t="str">
        <f t="shared" si="1"/>
        <v>December</v>
      </c>
      <c r="C1869" s="12">
        <f t="shared" si="2"/>
        <v>12</v>
      </c>
      <c r="D1869" s="12" t="str">
        <f>IFERROR(__xludf.DUMMYFUNCTION("IFERROR(IF(REGEXMATCH(LOWER(Raw_Data!C1875),""fixed deposit|owealth|savings|target""),""Fixed Deposit"",IF(REGEXMATCH(LOWER(Raw_Data!C1875),""airtime""),""Airtime"",IF(REGEXMATCH(LOWER(Raw_Data!C1875),""electronic money transfer levy""),""Electronic Money"&amp;" Transfer Levy"",IF(REGEXMATCH(LOWER(Raw_Data!C1875),""transfer|trf|send""),""Transfer"",""Other"")))),""Other"")"),"Transfer")</f>
        <v>Transfer</v>
      </c>
      <c r="E1869" s="20">
        <v>0.0</v>
      </c>
      <c r="F1869" s="20">
        <v>9999.0</v>
      </c>
      <c r="G1869" s="12" t="str">
        <f t="shared" si="3"/>
        <v>Deposit</v>
      </c>
      <c r="H1869" s="12" t="str">
        <f>TEXT(Raw_Data!A1875,"hh:mm:ss")
</f>
        <v>16:28:22</v>
      </c>
      <c r="I1869" s="20">
        <f t="shared" si="4"/>
        <v>9999</v>
      </c>
    </row>
    <row r="1870">
      <c r="A1870" s="12" t="str">
        <f>Raw_Data!A1876</f>
        <v>24 Dec 2025 16:28:39</v>
      </c>
      <c r="B1870" s="12" t="str">
        <f t="shared" si="1"/>
        <v>December</v>
      </c>
      <c r="C1870" s="12">
        <f t="shared" si="2"/>
        <v>12</v>
      </c>
      <c r="D1870" s="12" t="str">
        <f>IFERROR(__xludf.DUMMYFUNCTION("IFERROR(IF(REGEXMATCH(LOWER(Raw_Data!C1876),""fixed deposit|owealth|savings|target""),""Fixed Deposit"",IF(REGEXMATCH(LOWER(Raw_Data!C1876),""airtime""),""Airtime"",IF(REGEXMATCH(LOWER(Raw_Data!C1876),""electronic money transfer levy""),""Electronic Money"&amp;" Transfer Levy"",IF(REGEXMATCH(LOWER(Raw_Data!C1876),""transfer|trf|send""),""Transfer"",""Other"")))),""Other"")"),"Transfer")</f>
        <v>Transfer</v>
      </c>
      <c r="E1870" s="20">
        <v>0.0</v>
      </c>
      <c r="F1870" s="20">
        <v>5030.0</v>
      </c>
      <c r="G1870" s="12" t="str">
        <f t="shared" si="3"/>
        <v>Deposit</v>
      </c>
      <c r="H1870" s="12" t="str">
        <f>TEXT(Raw_Data!A1876,"hh:mm:ss")
</f>
        <v>16:28:39</v>
      </c>
      <c r="I1870" s="20">
        <f t="shared" si="4"/>
        <v>5030</v>
      </c>
    </row>
    <row r="1871">
      <c r="A1871" s="12" t="str">
        <f>Raw_Data!A1877</f>
        <v>24 Dec 2025 17:42:19</v>
      </c>
      <c r="B1871" s="12" t="str">
        <f t="shared" si="1"/>
        <v>December</v>
      </c>
      <c r="C1871" s="12">
        <f t="shared" si="2"/>
        <v>12</v>
      </c>
      <c r="D1871" s="12" t="str">
        <f>IFERROR(__xludf.DUMMYFUNCTION("IFERROR(IF(REGEXMATCH(LOWER(Raw_Data!C1877),""fixed deposit|owealth|savings|target""),""Fixed Deposit"",IF(REGEXMATCH(LOWER(Raw_Data!C1877),""airtime""),""Airtime"",IF(REGEXMATCH(LOWER(Raw_Data!C1877),""electronic money transfer levy""),""Electronic Money"&amp;" Transfer Levy"",IF(REGEXMATCH(LOWER(Raw_Data!C1877),""transfer|trf|send""),""Transfer"",""Other"")))),""Other"")"),"Transfer")</f>
        <v>Transfer</v>
      </c>
      <c r="E1871" s="20">
        <v>1000.0</v>
      </c>
      <c r="F1871" s="20">
        <v>0.0</v>
      </c>
      <c r="G1871" s="12" t="str">
        <f t="shared" si="3"/>
        <v>Withdrawal</v>
      </c>
      <c r="H1871" s="12" t="str">
        <f>TEXT(Raw_Data!A1877,"hh:mm:ss")
</f>
        <v>17:42:19</v>
      </c>
      <c r="I1871" s="20">
        <f t="shared" si="4"/>
        <v>1000</v>
      </c>
    </row>
    <row r="1872">
      <c r="A1872" s="12" t="str">
        <f>Raw_Data!A1878</f>
        <v>24 Dec 2025 18:06:43</v>
      </c>
      <c r="B1872" s="12" t="str">
        <f t="shared" si="1"/>
        <v>December</v>
      </c>
      <c r="C1872" s="12">
        <f t="shared" si="2"/>
        <v>12</v>
      </c>
      <c r="D1872" s="12" t="str">
        <f>IFERROR(__xludf.DUMMYFUNCTION("IFERROR(IF(REGEXMATCH(LOWER(Raw_Data!C1878),""fixed deposit|owealth|savings|target""),""Fixed Deposit"",IF(REGEXMATCH(LOWER(Raw_Data!C1878),""airtime""),""Airtime"",IF(REGEXMATCH(LOWER(Raw_Data!C1878),""electronic money transfer levy""),""Electronic Money"&amp;" Transfer Levy"",IF(REGEXMATCH(LOWER(Raw_Data!C1878),""transfer|trf|send""),""Transfer"",""Other"")))),""Other"")"),"Transfer")</f>
        <v>Transfer</v>
      </c>
      <c r="E1872" s="20">
        <v>1310.0</v>
      </c>
      <c r="F1872" s="20">
        <v>0.0</v>
      </c>
      <c r="G1872" s="12" t="str">
        <f t="shared" si="3"/>
        <v>Withdrawal</v>
      </c>
      <c r="H1872" s="12" t="str">
        <f>TEXT(Raw_Data!A1878,"hh:mm:ss")
</f>
        <v>18:06:43</v>
      </c>
      <c r="I1872" s="20">
        <f t="shared" si="4"/>
        <v>1310</v>
      </c>
    </row>
    <row r="1873">
      <c r="A1873" s="12" t="str">
        <f>Raw_Data!A1879</f>
        <v>24 Dec 2025 18:08:22</v>
      </c>
      <c r="B1873" s="12" t="str">
        <f t="shared" si="1"/>
        <v>December</v>
      </c>
      <c r="C1873" s="12">
        <f t="shared" si="2"/>
        <v>12</v>
      </c>
      <c r="D1873" s="12" t="str">
        <f>IFERROR(__xludf.DUMMYFUNCTION("IFERROR(IF(REGEXMATCH(LOWER(Raw_Data!C1879),""fixed deposit|owealth|savings|target""),""Fixed Deposit"",IF(REGEXMATCH(LOWER(Raw_Data!C1879),""airtime""),""Airtime"",IF(REGEXMATCH(LOWER(Raw_Data!C1879),""electronic money transfer levy""),""Electronic Money"&amp;" Transfer Levy"",IF(REGEXMATCH(LOWER(Raw_Data!C1879),""transfer|trf|send""),""Transfer"",""Other"")))),""Other"")"),"Transfer")</f>
        <v>Transfer</v>
      </c>
      <c r="E1873" s="20">
        <v>210.0</v>
      </c>
      <c r="F1873" s="20">
        <v>0.0</v>
      </c>
      <c r="G1873" s="12" t="str">
        <f t="shared" si="3"/>
        <v>Withdrawal</v>
      </c>
      <c r="H1873" s="12" t="str">
        <f>TEXT(Raw_Data!A1879,"hh:mm:ss")
</f>
        <v>18:08:22</v>
      </c>
      <c r="I1873" s="20">
        <f t="shared" si="4"/>
        <v>210</v>
      </c>
    </row>
    <row r="1874">
      <c r="A1874" s="12" t="str">
        <f>Raw_Data!A1880</f>
        <v>25 Dec 2025 08:27:43</v>
      </c>
      <c r="B1874" s="12" t="str">
        <f t="shared" si="1"/>
        <v>December</v>
      </c>
      <c r="C1874" s="12">
        <f t="shared" si="2"/>
        <v>12</v>
      </c>
      <c r="D1874" s="12" t="str">
        <f>IFERROR(__xludf.DUMMYFUNCTION("IFERROR(IF(REGEXMATCH(LOWER(Raw_Data!C1880),""fixed deposit|owealth|savings|target""),""Fixed Deposit"",IF(REGEXMATCH(LOWER(Raw_Data!C1880),""airtime""),""Airtime"",IF(REGEXMATCH(LOWER(Raw_Data!C1880),""electronic money transfer levy""),""Electronic Money"&amp;" Transfer Levy"",IF(REGEXMATCH(LOWER(Raw_Data!C1880),""transfer|trf|send""),""Transfer"",""Other"")))),""Other"")"),"Transfer")</f>
        <v>Transfer</v>
      </c>
      <c r="E1874" s="20">
        <v>200.0</v>
      </c>
      <c r="F1874" s="20">
        <v>0.0</v>
      </c>
      <c r="G1874" s="12" t="str">
        <f t="shared" si="3"/>
        <v>Withdrawal</v>
      </c>
      <c r="H1874" s="12" t="str">
        <f>TEXT(Raw_Data!A1880,"hh:mm:ss")
</f>
        <v>08:27:43</v>
      </c>
      <c r="I1874" s="20">
        <f t="shared" si="4"/>
        <v>200</v>
      </c>
    </row>
    <row r="1875">
      <c r="A1875" s="12" t="str">
        <f>Raw_Data!A1881</f>
        <v>25 Dec 2025 08:27:59</v>
      </c>
      <c r="B1875" s="12" t="str">
        <f t="shared" si="1"/>
        <v>December</v>
      </c>
      <c r="C1875" s="12">
        <f t="shared" si="2"/>
        <v>12</v>
      </c>
      <c r="D1875" s="12" t="str">
        <f>IFERROR(__xludf.DUMMYFUNCTION("IFERROR(IF(REGEXMATCH(LOWER(Raw_Data!C1881),""fixed deposit|owealth|savings|target""),""Fixed Deposit"",IF(REGEXMATCH(LOWER(Raw_Data!C1881),""airtime""),""Airtime"",IF(REGEXMATCH(LOWER(Raw_Data!C1881),""electronic money transfer levy""),""Electronic Money"&amp;" Transfer Levy"",IF(REGEXMATCH(LOWER(Raw_Data!C1881),""transfer|trf|send""),""Transfer"",""Other"")))),""Other"")"),"Transfer")</f>
        <v>Transfer</v>
      </c>
      <c r="E1875" s="20">
        <v>800.0</v>
      </c>
      <c r="F1875" s="20">
        <v>0.0</v>
      </c>
      <c r="G1875" s="12" t="str">
        <f t="shared" si="3"/>
        <v>Withdrawal</v>
      </c>
      <c r="H1875" s="12" t="str">
        <f>TEXT(Raw_Data!A1881,"hh:mm:ss")
</f>
        <v>08:27:59</v>
      </c>
      <c r="I1875" s="20">
        <f t="shared" si="4"/>
        <v>800</v>
      </c>
    </row>
    <row r="1876">
      <c r="A1876" s="12" t="str">
        <f>Raw_Data!A1882</f>
        <v>25 Dec 2025 15:47:55</v>
      </c>
      <c r="B1876" s="12" t="str">
        <f t="shared" si="1"/>
        <v>December</v>
      </c>
      <c r="C1876" s="12">
        <f t="shared" si="2"/>
        <v>12</v>
      </c>
      <c r="D1876" s="12" t="str">
        <f>IFERROR(__xludf.DUMMYFUNCTION("IFERROR(IF(REGEXMATCH(LOWER(Raw_Data!C1882),""fixed deposit|owealth|savings|target""),""Fixed Deposit"",IF(REGEXMATCH(LOWER(Raw_Data!C1882),""airtime""),""Airtime"",IF(REGEXMATCH(LOWER(Raw_Data!C1882),""electronic money transfer levy""),""Electronic Money"&amp;" Transfer Levy"",IF(REGEXMATCH(LOWER(Raw_Data!C1882),""transfer|trf|send""),""Transfer"",""Other"")))),""Other"")"),"Transfer")</f>
        <v>Transfer</v>
      </c>
      <c r="E1876" s="20">
        <v>4000.0</v>
      </c>
      <c r="F1876" s="20">
        <v>0.0</v>
      </c>
      <c r="G1876" s="12" t="str">
        <f t="shared" si="3"/>
        <v>Withdrawal</v>
      </c>
      <c r="H1876" s="12" t="str">
        <f>TEXT(Raw_Data!A1882,"hh:mm:ss")
</f>
        <v>15:47:55</v>
      </c>
      <c r="I1876" s="20">
        <f t="shared" si="4"/>
        <v>4000</v>
      </c>
    </row>
    <row r="1877">
      <c r="A1877" s="12" t="str">
        <f>Raw_Data!A1883</f>
        <v>25 Dec 2025 17:24:35</v>
      </c>
      <c r="B1877" s="12" t="str">
        <f t="shared" si="1"/>
        <v>December</v>
      </c>
      <c r="C1877" s="12">
        <f t="shared" si="2"/>
        <v>12</v>
      </c>
      <c r="D1877" s="12" t="str">
        <f>IFERROR(__xludf.DUMMYFUNCTION("IFERROR(IF(REGEXMATCH(LOWER(Raw_Data!C1883),""fixed deposit|owealth|savings|target""),""Fixed Deposit"",IF(REGEXMATCH(LOWER(Raw_Data!C1883),""airtime""),""Airtime"",IF(REGEXMATCH(LOWER(Raw_Data!C1883),""electronic money transfer levy""),""Electronic Money"&amp;" Transfer Levy"",IF(REGEXMATCH(LOWER(Raw_Data!C1883),""transfer|trf|send""),""Transfer"",""Other"")))),""Other"")"),"Transfer")</f>
        <v>Transfer</v>
      </c>
      <c r="E1877" s="20">
        <v>200.0</v>
      </c>
      <c r="F1877" s="20">
        <v>0.0</v>
      </c>
      <c r="G1877" s="12" t="str">
        <f t="shared" si="3"/>
        <v>Withdrawal</v>
      </c>
      <c r="H1877" s="12" t="str">
        <f>TEXT(Raw_Data!A1883,"hh:mm:ss")
</f>
        <v>17:24:35</v>
      </c>
      <c r="I1877" s="20">
        <f t="shared" si="4"/>
        <v>200</v>
      </c>
    </row>
    <row r="1878">
      <c r="A1878" s="12" t="str">
        <f>Raw_Data!A1884</f>
        <v>25 Dec 2025 17:50:33</v>
      </c>
      <c r="B1878" s="12" t="str">
        <f t="shared" si="1"/>
        <v>December</v>
      </c>
      <c r="C1878" s="12">
        <f t="shared" si="2"/>
        <v>12</v>
      </c>
      <c r="D1878" s="12" t="str">
        <f>IFERROR(__xludf.DUMMYFUNCTION("IFERROR(IF(REGEXMATCH(LOWER(Raw_Data!C1884),""fixed deposit|owealth|savings|target""),""Fixed Deposit"",IF(REGEXMATCH(LOWER(Raw_Data!C1884),""airtime""),""Airtime"",IF(REGEXMATCH(LOWER(Raw_Data!C1884),""electronic money transfer levy""),""Electronic Money"&amp;" Transfer Levy"",IF(REGEXMATCH(LOWER(Raw_Data!C1884),""transfer|trf|send""),""Transfer"",""Other"")))),""Other"")"),"Transfer")</f>
        <v>Transfer</v>
      </c>
      <c r="E1878" s="20">
        <v>500.0</v>
      </c>
      <c r="F1878" s="20">
        <v>0.0</v>
      </c>
      <c r="G1878" s="12" t="str">
        <f t="shared" si="3"/>
        <v>Withdrawal</v>
      </c>
      <c r="H1878" s="12" t="str">
        <f>TEXT(Raw_Data!A1884,"hh:mm:ss")
</f>
        <v>17:50:33</v>
      </c>
      <c r="I1878" s="20">
        <f t="shared" si="4"/>
        <v>500</v>
      </c>
    </row>
    <row r="1879">
      <c r="A1879" s="12" t="str">
        <f>Raw_Data!A1885</f>
        <v>26 Dec 2025 08:40:02</v>
      </c>
      <c r="B1879" s="12" t="str">
        <f t="shared" si="1"/>
        <v>December</v>
      </c>
      <c r="C1879" s="12">
        <f t="shared" si="2"/>
        <v>12</v>
      </c>
      <c r="D1879" s="12" t="str">
        <f>IFERROR(__xludf.DUMMYFUNCTION("IFERROR(IF(REGEXMATCH(LOWER(Raw_Data!C1885),""fixed deposit|owealth|savings|target""),""Fixed Deposit"",IF(REGEXMATCH(LOWER(Raw_Data!C1885),""airtime""),""Airtime"",IF(REGEXMATCH(LOWER(Raw_Data!C1885),""electronic money transfer levy""),""Electronic Money"&amp;" Transfer Levy"",IF(REGEXMATCH(LOWER(Raw_Data!C1885),""transfer|trf|send""),""Transfer"",""Other"")))),""Other"")"),"Transfer")</f>
        <v>Transfer</v>
      </c>
      <c r="E1879" s="20">
        <v>300.0</v>
      </c>
      <c r="F1879" s="20">
        <v>0.0</v>
      </c>
      <c r="G1879" s="12" t="str">
        <f t="shared" si="3"/>
        <v>Withdrawal</v>
      </c>
      <c r="H1879" s="12" t="str">
        <f>TEXT(Raw_Data!A1885,"hh:mm:ss")
</f>
        <v>08:40:02</v>
      </c>
      <c r="I1879" s="20">
        <f t="shared" si="4"/>
        <v>300</v>
      </c>
    </row>
    <row r="1880">
      <c r="A1880" s="12" t="str">
        <f>Raw_Data!A1886</f>
        <v>26 Dec 2025 16:02:32</v>
      </c>
      <c r="B1880" s="12" t="str">
        <f t="shared" si="1"/>
        <v>December</v>
      </c>
      <c r="C1880" s="12">
        <f t="shared" si="2"/>
        <v>12</v>
      </c>
      <c r="D1880" s="12" t="str">
        <f>IFERROR(__xludf.DUMMYFUNCTION("IFERROR(IF(REGEXMATCH(LOWER(Raw_Data!C1886),""fixed deposit|owealth|savings|target""),""Fixed Deposit"",IF(REGEXMATCH(LOWER(Raw_Data!C1886),""airtime""),""Airtime"",IF(REGEXMATCH(LOWER(Raw_Data!C1886),""electronic money transfer levy""),""Electronic Money"&amp;" Transfer Levy"",IF(REGEXMATCH(LOWER(Raw_Data!C1886),""transfer|trf|send""),""Transfer"",""Other"")))),""Other"")"),"Transfer")</f>
        <v>Transfer</v>
      </c>
      <c r="E1880" s="20">
        <v>250.0</v>
      </c>
      <c r="F1880" s="20">
        <v>0.0</v>
      </c>
      <c r="G1880" s="12" t="str">
        <f t="shared" si="3"/>
        <v>Withdrawal</v>
      </c>
      <c r="H1880" s="12" t="str">
        <f>TEXT(Raw_Data!A1886,"hh:mm:ss")
</f>
        <v>16:02:32</v>
      </c>
      <c r="I1880" s="20">
        <f t="shared" si="4"/>
        <v>250</v>
      </c>
    </row>
    <row r="1881">
      <c r="A1881" s="12" t="str">
        <f>Raw_Data!A1887</f>
        <v>26 Dec 2025 17:04:41</v>
      </c>
      <c r="B1881" s="12" t="str">
        <f t="shared" si="1"/>
        <v>December</v>
      </c>
      <c r="C1881" s="12">
        <f t="shared" si="2"/>
        <v>12</v>
      </c>
      <c r="D1881" s="12" t="str">
        <f>IFERROR(__xludf.DUMMYFUNCTION("IFERROR(IF(REGEXMATCH(LOWER(Raw_Data!C1887),""fixed deposit|owealth|savings|target""),""Fixed Deposit"",IF(REGEXMATCH(LOWER(Raw_Data!C1887),""airtime""),""Airtime"",IF(REGEXMATCH(LOWER(Raw_Data!C1887),""electronic money transfer levy""),""Electronic Money"&amp;" Transfer Levy"",IF(REGEXMATCH(LOWER(Raw_Data!C1887),""transfer|trf|send""),""Transfer"",""Other"")))),""Other"")"),"Transfer")</f>
        <v>Transfer</v>
      </c>
      <c r="E1881" s="20">
        <v>200.0</v>
      </c>
      <c r="F1881" s="20">
        <v>0.0</v>
      </c>
      <c r="G1881" s="12" t="str">
        <f t="shared" si="3"/>
        <v>Withdrawal</v>
      </c>
      <c r="H1881" s="12" t="str">
        <f>TEXT(Raw_Data!A1887,"hh:mm:ss")
</f>
        <v>17:04:41</v>
      </c>
      <c r="I1881" s="20">
        <f t="shared" si="4"/>
        <v>200</v>
      </c>
    </row>
    <row r="1882">
      <c r="A1882" s="12" t="str">
        <f>Raw_Data!A1888</f>
        <v>26 Dec 2025 17:46:08</v>
      </c>
      <c r="B1882" s="12" t="str">
        <f t="shared" si="1"/>
        <v>December</v>
      </c>
      <c r="C1882" s="12">
        <f t="shared" si="2"/>
        <v>12</v>
      </c>
      <c r="D1882" s="12" t="str">
        <f>IFERROR(__xludf.DUMMYFUNCTION("IFERROR(IF(REGEXMATCH(LOWER(Raw_Data!C1888),""fixed deposit|owealth|savings|target""),""Fixed Deposit"",IF(REGEXMATCH(LOWER(Raw_Data!C1888),""airtime""),""Airtime"",IF(REGEXMATCH(LOWER(Raw_Data!C1888),""electronic money transfer levy""),""Electronic Money"&amp;" Transfer Levy"",IF(REGEXMATCH(LOWER(Raw_Data!C1888),""transfer|trf|send""),""Transfer"",""Other"")))),""Other"")"),"Transfer")</f>
        <v>Transfer</v>
      </c>
      <c r="E1882" s="20">
        <v>0.0</v>
      </c>
      <c r="F1882" s="20">
        <v>500.0</v>
      </c>
      <c r="G1882" s="12" t="str">
        <f t="shared" si="3"/>
        <v>Deposit</v>
      </c>
      <c r="H1882" s="12" t="str">
        <f>TEXT(Raw_Data!A1888,"hh:mm:ss")
</f>
        <v>17:46:08</v>
      </c>
      <c r="I1882" s="20">
        <f t="shared" si="4"/>
        <v>500</v>
      </c>
    </row>
    <row r="1883">
      <c r="A1883" s="12" t="str">
        <f>Raw_Data!A1889</f>
        <v>26 Dec 2025 20:45:17</v>
      </c>
      <c r="B1883" s="12" t="str">
        <f t="shared" si="1"/>
        <v>December</v>
      </c>
      <c r="C1883" s="12">
        <f t="shared" si="2"/>
        <v>12</v>
      </c>
      <c r="D1883" s="12" t="str">
        <f>IFERROR(__xludf.DUMMYFUNCTION("IFERROR(IF(REGEXMATCH(LOWER(Raw_Data!C1889),""fixed deposit|owealth|savings|target""),""Fixed Deposit"",IF(REGEXMATCH(LOWER(Raw_Data!C1889),""airtime""),""Airtime"",IF(REGEXMATCH(LOWER(Raw_Data!C1889),""electronic money transfer levy""),""Electronic Money"&amp;" Transfer Levy"",IF(REGEXMATCH(LOWER(Raw_Data!C1889),""transfer|trf|send""),""Transfer"",""Other"")))),""Other"")"),"Transfer")</f>
        <v>Transfer</v>
      </c>
      <c r="E1883" s="20">
        <v>500.0</v>
      </c>
      <c r="F1883" s="20">
        <v>0.0</v>
      </c>
      <c r="G1883" s="12" t="str">
        <f t="shared" si="3"/>
        <v>Withdrawal</v>
      </c>
      <c r="H1883" s="12" t="str">
        <f>TEXT(Raw_Data!A1889,"hh:mm:ss")
</f>
        <v>20:45:17</v>
      </c>
      <c r="I1883" s="20">
        <f t="shared" si="4"/>
        <v>500</v>
      </c>
    </row>
    <row r="1884">
      <c r="A1884" s="12" t="str">
        <f>Raw_Data!A1890</f>
        <v/>
      </c>
      <c r="E1884" s="21"/>
    </row>
    <row r="1885">
      <c r="A1885" s="12" t="str">
        <f>Raw_Data!A1891</f>
        <v/>
      </c>
      <c r="E1885" s="21"/>
    </row>
    <row r="1886">
      <c r="A1886" s="12" t="str">
        <f>Raw_Data!A1892</f>
        <v/>
      </c>
      <c r="E1886" s="21"/>
    </row>
    <row r="1887">
      <c r="A1887" s="12" t="str">
        <f>Raw_Data!A1893</f>
        <v/>
      </c>
      <c r="E1887" s="21"/>
    </row>
    <row r="1888">
      <c r="A1888" s="12" t="str">
        <f>Raw_Data!A1894</f>
        <v/>
      </c>
      <c r="E1888" s="21"/>
    </row>
    <row r="1889">
      <c r="A1889" s="12" t="str">
        <f>Raw_Data!A1895</f>
        <v/>
      </c>
      <c r="E1889" s="21"/>
    </row>
    <row r="1890">
      <c r="A1890" s="12" t="str">
        <f>Raw_Data!A1896</f>
        <v/>
      </c>
      <c r="E1890" s="21"/>
    </row>
    <row r="1891">
      <c r="A1891" s="12" t="str">
        <f>Raw_Data!A1897</f>
        <v/>
      </c>
      <c r="E1891" s="21"/>
    </row>
    <row r="1892">
      <c r="A1892" s="12" t="str">
        <f>Raw_Data!A1898</f>
        <v/>
      </c>
      <c r="E1892" s="21"/>
    </row>
    <row r="1893">
      <c r="A1893" s="12" t="str">
        <f>Raw_Data!A1899</f>
        <v/>
      </c>
      <c r="E1893" s="21"/>
    </row>
    <row r="1894">
      <c r="A1894" s="12" t="str">
        <f>Raw_Data!A1900</f>
        <v/>
      </c>
      <c r="E1894" s="21"/>
    </row>
    <row r="1895">
      <c r="A1895" s="12" t="str">
        <f>Raw_Data!A1901</f>
        <v/>
      </c>
      <c r="E1895" s="21"/>
    </row>
    <row r="1896">
      <c r="A1896" s="12" t="str">
        <f>Raw_Data!A1902</f>
        <v/>
      </c>
      <c r="E1896" s="21"/>
    </row>
    <row r="1897">
      <c r="A1897" s="12" t="str">
        <f>Raw_Data!A1903</f>
        <v/>
      </c>
      <c r="E1897" s="21"/>
    </row>
    <row r="1898">
      <c r="A1898" s="12" t="str">
        <f>Raw_Data!A1904</f>
        <v/>
      </c>
      <c r="E1898" s="21"/>
    </row>
    <row r="1899">
      <c r="A1899" s="12" t="str">
        <f>Raw_Data!A1905</f>
        <v/>
      </c>
      <c r="E1899" s="21"/>
    </row>
    <row r="1900">
      <c r="A1900" s="12" t="str">
        <f>Raw_Data!A1906</f>
        <v/>
      </c>
      <c r="E1900" s="21"/>
    </row>
    <row r="1901">
      <c r="A1901" s="12" t="str">
        <f>Raw_Data!A1907</f>
        <v/>
      </c>
      <c r="E1901" s="21"/>
    </row>
    <row r="1902">
      <c r="A1902" s="12" t="str">
        <f>Raw_Data!A1908</f>
        <v/>
      </c>
      <c r="E1902" s="21"/>
    </row>
    <row r="1903">
      <c r="A1903" s="12" t="str">
        <f>Raw_Data!A1909</f>
        <v/>
      </c>
      <c r="E1903" s="21"/>
    </row>
    <row r="1904">
      <c r="A1904" s="12" t="str">
        <f>Raw_Data!A1910</f>
        <v/>
      </c>
      <c r="E1904" s="21"/>
    </row>
    <row r="1905">
      <c r="A1905" s="12" t="str">
        <f>Raw_Data!A1911</f>
        <v/>
      </c>
      <c r="E1905" s="21"/>
    </row>
    <row r="1906">
      <c r="A1906" s="12" t="str">
        <f>Raw_Data!A1912</f>
        <v/>
      </c>
      <c r="E1906" s="21"/>
    </row>
    <row r="1907">
      <c r="A1907" s="12" t="str">
        <f>Raw_Data!A1913</f>
        <v/>
      </c>
      <c r="E1907" s="21"/>
    </row>
    <row r="1908">
      <c r="A1908" s="12" t="str">
        <f>Raw_Data!A1914</f>
        <v/>
      </c>
      <c r="E1908" s="21"/>
    </row>
    <row r="1909">
      <c r="A1909" s="12" t="str">
        <f>Raw_Data!A1915</f>
        <v/>
      </c>
      <c r="E1909" s="21"/>
    </row>
    <row r="1910">
      <c r="E1910" s="21"/>
    </row>
    <row r="1911">
      <c r="E1911" s="21"/>
    </row>
    <row r="1912">
      <c r="E1912" s="21"/>
    </row>
    <row r="1913">
      <c r="E1913" s="21"/>
    </row>
    <row r="1914">
      <c r="E1914" s="21"/>
    </row>
    <row r="1915">
      <c r="E1915" s="21"/>
    </row>
    <row r="1916">
      <c r="E1916" s="21"/>
    </row>
    <row r="1917">
      <c r="E1917" s="21"/>
    </row>
    <row r="1918">
      <c r="E1918" s="21"/>
    </row>
    <row r="1919">
      <c r="E1919" s="21"/>
    </row>
    <row r="1920">
      <c r="E1920" s="21"/>
    </row>
    <row r="1921">
      <c r="E1921" s="21"/>
    </row>
    <row r="1922">
      <c r="E1922" s="21"/>
    </row>
    <row r="1923">
      <c r="E1923" s="21"/>
    </row>
    <row r="1924">
      <c r="E1924" s="21"/>
    </row>
    <row r="1925">
      <c r="E1925" s="21"/>
    </row>
    <row r="1926">
      <c r="E1926" s="21"/>
    </row>
    <row r="1927">
      <c r="E1927" s="21"/>
    </row>
    <row r="1928">
      <c r="E1928" s="21"/>
    </row>
    <row r="1929">
      <c r="E1929" s="21"/>
    </row>
    <row r="1930">
      <c r="E1930" s="21"/>
    </row>
    <row r="1931">
      <c r="E1931" s="21"/>
    </row>
    <row r="1932">
      <c r="E1932" s="21"/>
    </row>
    <row r="1933">
      <c r="E1933" s="21"/>
    </row>
    <row r="1934">
      <c r="E1934" s="21"/>
    </row>
    <row r="1935">
      <c r="E1935" s="21"/>
    </row>
    <row r="1936">
      <c r="E1936" s="21"/>
    </row>
    <row r="1937">
      <c r="E1937" s="21"/>
    </row>
    <row r="1938">
      <c r="E1938" s="21"/>
    </row>
    <row r="1939">
      <c r="E1939" s="21"/>
    </row>
    <row r="1940">
      <c r="E1940" s="21"/>
    </row>
    <row r="1941">
      <c r="E1941" s="21"/>
    </row>
    <row r="1942">
      <c r="E1942" s="21"/>
    </row>
    <row r="1943">
      <c r="E1943" s="21"/>
    </row>
    <row r="1944">
      <c r="E1944" s="21"/>
    </row>
    <row r="1945">
      <c r="E1945" s="21"/>
    </row>
    <row r="1946">
      <c r="E1946" s="21"/>
    </row>
    <row r="1947">
      <c r="E1947" s="21"/>
    </row>
    <row r="1948">
      <c r="E1948" s="21"/>
    </row>
    <row r="1949">
      <c r="E1949" s="21"/>
    </row>
    <row r="1950">
      <c r="E1950" s="21"/>
    </row>
    <row r="1951">
      <c r="E1951" s="21"/>
    </row>
    <row r="1952">
      <c r="E1952" s="21"/>
    </row>
    <row r="1953">
      <c r="E1953" s="21"/>
    </row>
    <row r="1954">
      <c r="E1954" s="21"/>
    </row>
    <row r="1955">
      <c r="E1955" s="21"/>
    </row>
    <row r="1956">
      <c r="E1956" s="21"/>
    </row>
    <row r="1957">
      <c r="E1957" s="21"/>
    </row>
    <row r="1958">
      <c r="E1958" s="21"/>
    </row>
    <row r="1959">
      <c r="E1959" s="21"/>
    </row>
    <row r="1960">
      <c r="E1960" s="21"/>
    </row>
    <row r="1961">
      <c r="E1961" s="21"/>
    </row>
    <row r="1962">
      <c r="E1962" s="21"/>
    </row>
    <row r="1963">
      <c r="E1963" s="21"/>
    </row>
    <row r="1964">
      <c r="E1964" s="21"/>
    </row>
    <row r="1965">
      <c r="E1965" s="21"/>
    </row>
    <row r="1966">
      <c r="E1966" s="21"/>
    </row>
    <row r="1967">
      <c r="E1967" s="21"/>
    </row>
    <row r="1968">
      <c r="E1968" s="21"/>
    </row>
    <row r="1969">
      <c r="E1969" s="21"/>
    </row>
    <row r="1970">
      <c r="E1970" s="21"/>
    </row>
    <row r="1971">
      <c r="E1971" s="21"/>
    </row>
    <row r="1972">
      <c r="E1972" s="21"/>
    </row>
    <row r="1973">
      <c r="E1973" s="21"/>
    </row>
    <row r="1974">
      <c r="E1974" s="21"/>
    </row>
    <row r="1975">
      <c r="E1975" s="21"/>
    </row>
    <row r="1976">
      <c r="E1976" s="21"/>
    </row>
    <row r="1977">
      <c r="E1977" s="21"/>
    </row>
    <row r="1978">
      <c r="E1978" s="21"/>
    </row>
    <row r="1979">
      <c r="E1979" s="21"/>
    </row>
    <row r="1980">
      <c r="E1980" s="21"/>
    </row>
    <row r="1981">
      <c r="E1981" s="21"/>
    </row>
    <row r="1982">
      <c r="E1982" s="21"/>
    </row>
    <row r="1983">
      <c r="E1983" s="21"/>
    </row>
    <row r="1984">
      <c r="E1984" s="21"/>
    </row>
    <row r="1985">
      <c r="E1985" s="21"/>
    </row>
    <row r="1986">
      <c r="E1986" s="21"/>
    </row>
    <row r="1987">
      <c r="E1987" s="21"/>
    </row>
    <row r="1988">
      <c r="E1988" s="21"/>
    </row>
    <row r="1989">
      <c r="E1989" s="21"/>
    </row>
    <row r="1990">
      <c r="E1990" s="21"/>
    </row>
    <row r="1991">
      <c r="E1991" s="21"/>
    </row>
    <row r="1992">
      <c r="E1992" s="21"/>
    </row>
    <row r="1993">
      <c r="E1993" s="21"/>
    </row>
    <row r="1994">
      <c r="E1994" s="21"/>
    </row>
    <row r="1995">
      <c r="E1995" s="21"/>
    </row>
    <row r="1996">
      <c r="E1996" s="21"/>
    </row>
    <row r="1997">
      <c r="E1997" s="21"/>
    </row>
    <row r="1998">
      <c r="E1998" s="21"/>
    </row>
    <row r="1999">
      <c r="E1999" s="21"/>
    </row>
    <row r="2000">
      <c r="E200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57"/>
    <col customWidth="1" min="3" max="3" width="21.57"/>
    <col customWidth="1" min="4" max="4" width="19.29"/>
  </cols>
  <sheetData>
    <row r="1" ht="22.5" customHeight="1">
      <c r="A1" s="22" t="s">
        <v>6746</v>
      </c>
      <c r="B1" s="22" t="s">
        <v>6747</v>
      </c>
      <c r="C1" s="22" t="s">
        <v>6748</v>
      </c>
      <c r="D1" s="22" t="s">
        <v>6749</v>
      </c>
    </row>
    <row r="2" ht="22.5" customHeight="1">
      <c r="A2" s="23" t="s">
        <v>6738</v>
      </c>
      <c r="B2" s="24">
        <f>SUMIFS(Cleaned_Data!F:F,Cleaned_Data!B:B, A2,Cleaned_Data!G:G,"Deposit")
</f>
        <v>1063571</v>
      </c>
      <c r="C2" s="24">
        <f>SUMIFS(Cleaned_Data!E:E,Cleaned_Data!B:B, A2,Cleaned_Data!G:G,"Withdrawal")
</f>
        <v>1065070.92</v>
      </c>
      <c r="D2" s="24">
        <f t="shared" ref="D2:D13" si="1">B2 - C2</f>
        <v>-1499.92</v>
      </c>
      <c r="H2" s="22" t="s">
        <v>6750</v>
      </c>
      <c r="I2" s="25" t="s">
        <v>6730</v>
      </c>
    </row>
    <row r="3" ht="22.5" customHeight="1">
      <c r="A3" s="23" t="s">
        <v>6737</v>
      </c>
      <c r="B3" s="24">
        <f>SUMIFS(Cleaned_Data!F:F,Cleaned_Data!B:B, A3,Cleaned_Data!G:G,"Deposit")
</f>
        <v>507767</v>
      </c>
      <c r="C3" s="24">
        <f>SUMIFS(Cleaned_Data!E:E,Cleaned_Data!B:B, A3,Cleaned_Data!G:G,"Withdrawal")
</f>
        <v>505090</v>
      </c>
      <c r="D3" s="24">
        <f t="shared" si="1"/>
        <v>2677</v>
      </c>
      <c r="H3" s="23" t="s">
        <v>6751</v>
      </c>
      <c r="I3" s="24">
        <f>SUMIFS(Cleaned_Data!I:I, Cleaned_Data!D:D, H3)
</f>
        <v>11221863.32</v>
      </c>
    </row>
    <row r="4" ht="22.5" customHeight="1">
      <c r="A4" s="23" t="s">
        <v>6741</v>
      </c>
      <c r="B4" s="24">
        <f>SUMIFS(Cleaned_Data!F:F,Cleaned_Data!B:B, A4,Cleaned_Data!G:G,"Deposit")
</f>
        <v>461251</v>
      </c>
      <c r="C4" s="24">
        <f>SUMIFS(Cleaned_Data!E:E,Cleaned_Data!B:B, A4,Cleaned_Data!G:G,"Withdrawal")
</f>
        <v>458331</v>
      </c>
      <c r="D4" s="24">
        <f t="shared" si="1"/>
        <v>2920</v>
      </c>
      <c r="H4" s="23" t="s">
        <v>6752</v>
      </c>
      <c r="I4" s="24">
        <f>SUMIFS(Cleaned_Data!I:I, Cleaned_Data!D:D, H4)
</f>
        <v>245113.65</v>
      </c>
    </row>
    <row r="5" ht="22.5" customHeight="1">
      <c r="A5" s="23" t="s">
        <v>6734</v>
      </c>
      <c r="B5" s="24">
        <f>SUMIFS(Cleaned_Data!F:F,Cleaned_Data!B:B, A5,Cleaned_Data!G:G,"Deposit")
</f>
        <v>1558832</v>
      </c>
      <c r="C5" s="24">
        <f>SUMIFS(Cleaned_Data!E:E,Cleaned_Data!B:B, A5,Cleaned_Data!G:G,"Withdrawal")
</f>
        <v>1562230</v>
      </c>
      <c r="D5" s="24">
        <f t="shared" si="1"/>
        <v>-3398</v>
      </c>
      <c r="H5" s="23" t="s">
        <v>6753</v>
      </c>
      <c r="I5" s="24">
        <f>SUMIFS(Cleaned_Data!I:I, Cleaned_Data!D:D, H5)
</f>
        <v>124064.81</v>
      </c>
    </row>
    <row r="6" ht="22.5" customHeight="1">
      <c r="A6" s="23" t="s">
        <v>6742</v>
      </c>
      <c r="B6" s="24">
        <f>SUMIFS(Cleaned_Data!F:F,Cleaned_Data!B:B, A6,Cleaned_Data!G:G,"Deposit")
</f>
        <v>364162.19</v>
      </c>
      <c r="C6" s="24">
        <f>SUMIFS(Cleaned_Data!E:E,Cleaned_Data!B:B, A6,Cleaned_Data!G:G,"Withdrawal")
</f>
        <v>365960</v>
      </c>
      <c r="D6" s="24">
        <f t="shared" si="1"/>
        <v>-1797.81</v>
      </c>
      <c r="H6" s="23" t="s">
        <v>6754</v>
      </c>
      <c r="I6" s="24">
        <f>SUMIFS(Cleaned_Data!I:I, Cleaned_Data!D:D, H6)
</f>
        <v>4750</v>
      </c>
    </row>
    <row r="7" ht="22.5" customHeight="1">
      <c r="A7" s="23" t="s">
        <v>6740</v>
      </c>
      <c r="B7" s="24">
        <f>SUMIFS(Cleaned_Data!F:F,Cleaned_Data!B:B, A7,Cleaned_Data!G:G,"Deposit")
</f>
        <v>499866</v>
      </c>
      <c r="C7" s="24">
        <f>SUMIFS(Cleaned_Data!E:E,Cleaned_Data!B:B, A7,Cleaned_Data!G:G,"Withdrawal")
</f>
        <v>494279.9</v>
      </c>
      <c r="D7" s="24">
        <f t="shared" si="1"/>
        <v>5586.1</v>
      </c>
    </row>
    <row r="8" ht="22.5" customHeight="1">
      <c r="A8" s="23" t="s">
        <v>6739</v>
      </c>
      <c r="B8" s="24">
        <f>SUMIFS(Cleaned_Data!F:F,Cleaned_Data!B:B, A8,Cleaned_Data!G:G,"Deposit")
</f>
        <v>105900</v>
      </c>
      <c r="C8" s="24">
        <f>SUMIFS(Cleaned_Data!E:E,Cleaned_Data!B:B, A8,Cleaned_Data!G:G,"Withdrawal")
</f>
        <v>111794</v>
      </c>
      <c r="D8" s="24">
        <f t="shared" si="1"/>
        <v>-5894</v>
      </c>
    </row>
    <row r="9" ht="22.5" customHeight="1">
      <c r="A9" s="23" t="s">
        <v>6735</v>
      </c>
      <c r="B9" s="24">
        <f>SUMIFS(Cleaned_Data!F:F,Cleaned_Data!B:B, A9,Cleaned_Data!G:G,"Deposit")
</f>
        <v>587483</v>
      </c>
      <c r="C9" s="24">
        <f>SUMIFS(Cleaned_Data!E:E,Cleaned_Data!B:B, A9,Cleaned_Data!G:G,"Withdrawal")
</f>
        <v>583402</v>
      </c>
      <c r="D9" s="24">
        <f t="shared" si="1"/>
        <v>4081</v>
      </c>
    </row>
    <row r="10" ht="22.5" customHeight="1">
      <c r="A10" s="23" t="s">
        <v>6745</v>
      </c>
      <c r="B10" s="24">
        <f>SUMIFS(Cleaned_Data!F:F,Cleaned_Data!B:B, A10,Cleaned_Data!G:G,"Deposit")
</f>
        <v>242371.5</v>
      </c>
      <c r="C10" s="24">
        <f>SUMIFS(Cleaned_Data!E:E,Cleaned_Data!B:B, A10,Cleaned_Data!G:G,"Withdrawal")
</f>
        <v>230945</v>
      </c>
      <c r="D10" s="24">
        <f t="shared" si="1"/>
        <v>11426.5</v>
      </c>
    </row>
    <row r="11" ht="22.5" customHeight="1">
      <c r="A11" s="23" t="s">
        <v>6744</v>
      </c>
      <c r="B11" s="24">
        <f>SUMIFS(Cleaned_Data!F:F,Cleaned_Data!B:B, A11,Cleaned_Data!G:G,"Deposit")
</f>
        <v>155850</v>
      </c>
      <c r="C11" s="24">
        <f>SUMIFS(Cleaned_Data!E:E,Cleaned_Data!B:B, A11,Cleaned_Data!G:G,"Withdrawal")
</f>
        <v>164052.65</v>
      </c>
      <c r="D11" s="24">
        <f t="shared" si="1"/>
        <v>-8202.65</v>
      </c>
    </row>
    <row r="12" ht="22.5" customHeight="1">
      <c r="A12" s="23" t="s">
        <v>6743</v>
      </c>
      <c r="B12" s="24">
        <f>SUMIFS(Cleaned_Data!F:F,Cleaned_Data!B:B, A12,Cleaned_Data!G:G,"Deposit")
</f>
        <v>199502.62</v>
      </c>
      <c r="C12" s="24">
        <f>SUMIFS(Cleaned_Data!E:E,Cleaned_Data!B:B, A12,Cleaned_Data!G:G,"Withdrawal")
</f>
        <v>206950</v>
      </c>
      <c r="D12" s="24">
        <f t="shared" si="1"/>
        <v>-7447.38</v>
      </c>
    </row>
    <row r="13" ht="22.5" customHeight="1">
      <c r="A13" s="23" t="s">
        <v>6736</v>
      </c>
      <c r="B13" s="24">
        <f>SUMIFS(Cleaned_Data!F:F,Cleaned_Data!B:B, A13,Cleaned_Data!G:G,"Deposit")
</f>
        <v>182529</v>
      </c>
      <c r="C13" s="24">
        <f>SUMIFS(Cleaned_Data!E:E,Cleaned_Data!B:B, A13,Cleaned_Data!G:G,"Withdrawal")
</f>
        <v>176248</v>
      </c>
      <c r="D13" s="24">
        <f t="shared" si="1"/>
        <v>6281</v>
      </c>
    </row>
    <row r="131">
      <c r="H131" s="20"/>
    </row>
    <row r="132">
      <c r="H132" s="20"/>
    </row>
    <row r="133">
      <c r="H133" s="20"/>
    </row>
    <row r="134">
      <c r="H134" s="20"/>
    </row>
    <row r="135">
      <c r="H135" s="20"/>
    </row>
    <row r="136">
      <c r="H136" s="20"/>
    </row>
    <row r="137">
      <c r="H137" s="20"/>
    </row>
    <row r="138">
      <c r="H138" s="20"/>
    </row>
    <row r="139">
      <c r="H139" s="20"/>
    </row>
    <row r="140">
      <c r="H140" s="20"/>
    </row>
    <row r="141">
      <c r="H141" s="20"/>
    </row>
    <row r="142">
      <c r="H142" s="20"/>
    </row>
    <row r="143">
      <c r="H143" s="20"/>
    </row>
    <row r="144">
      <c r="H144" s="20"/>
    </row>
    <row r="145">
      <c r="H145" s="20"/>
    </row>
    <row r="146">
      <c r="H146" s="20"/>
    </row>
    <row r="147">
      <c r="H147" s="20"/>
    </row>
    <row r="148">
      <c r="H148" s="20"/>
    </row>
    <row r="149">
      <c r="H149" s="20"/>
    </row>
    <row r="150">
      <c r="H150" s="20"/>
    </row>
    <row r="151">
      <c r="H151" s="20"/>
    </row>
    <row r="152">
      <c r="H152" s="20"/>
    </row>
    <row r="153">
      <c r="H153" s="20"/>
    </row>
    <row r="154">
      <c r="H154" s="20"/>
    </row>
    <row r="155">
      <c r="H155" s="20"/>
    </row>
    <row r="156">
      <c r="H156" s="20"/>
    </row>
    <row r="157">
      <c r="H157" s="20"/>
    </row>
    <row r="158">
      <c r="H158" s="20"/>
    </row>
    <row r="159">
      <c r="H159" s="20"/>
    </row>
    <row r="160">
      <c r="H160" s="20"/>
    </row>
    <row r="161">
      <c r="H161" s="20"/>
    </row>
    <row r="162">
      <c r="H162" s="20"/>
    </row>
    <row r="163">
      <c r="H163" s="20"/>
    </row>
    <row r="164">
      <c r="H164" s="20"/>
    </row>
    <row r="165">
      <c r="H165" s="20"/>
    </row>
    <row r="166">
      <c r="H166" s="20"/>
    </row>
    <row r="167">
      <c r="H167" s="20"/>
    </row>
    <row r="168">
      <c r="H168" s="20"/>
    </row>
    <row r="169">
      <c r="H169" s="20"/>
    </row>
    <row r="170">
      <c r="H170" s="20"/>
    </row>
    <row r="171">
      <c r="H171" s="20"/>
    </row>
    <row r="172">
      <c r="H172" s="20"/>
    </row>
    <row r="173">
      <c r="H173" s="20"/>
    </row>
    <row r="174">
      <c r="H174" s="20"/>
    </row>
    <row r="175">
      <c r="H175" s="20"/>
    </row>
    <row r="176">
      <c r="H176" s="20"/>
    </row>
    <row r="177">
      <c r="H177" s="20"/>
    </row>
    <row r="178">
      <c r="H178" s="20"/>
    </row>
    <row r="179">
      <c r="H179" s="20"/>
    </row>
    <row r="180">
      <c r="H180" s="20"/>
    </row>
    <row r="181">
      <c r="H181" s="20"/>
    </row>
    <row r="182">
      <c r="H182" s="20"/>
    </row>
    <row r="183">
      <c r="H183" s="20"/>
    </row>
    <row r="184">
      <c r="H184" s="20"/>
    </row>
    <row r="185">
      <c r="H185" s="20"/>
    </row>
    <row r="186">
      <c r="H186" s="20"/>
    </row>
    <row r="187">
      <c r="H187" s="20"/>
    </row>
    <row r="188">
      <c r="H188" s="20"/>
    </row>
    <row r="189">
      <c r="H189" s="20"/>
    </row>
    <row r="190">
      <c r="H190" s="20"/>
    </row>
    <row r="191">
      <c r="H191" s="20"/>
    </row>
    <row r="192">
      <c r="H192" s="20"/>
    </row>
    <row r="193">
      <c r="H193" s="20"/>
    </row>
    <row r="194">
      <c r="H194" s="20"/>
    </row>
    <row r="195">
      <c r="H195" s="20"/>
    </row>
    <row r="196">
      <c r="H196" s="20"/>
    </row>
    <row r="197">
      <c r="H197" s="20"/>
    </row>
    <row r="198">
      <c r="H198" s="20"/>
    </row>
    <row r="199">
      <c r="H199" s="20"/>
    </row>
    <row r="200">
      <c r="H200" s="20"/>
    </row>
    <row r="201">
      <c r="H201" s="20"/>
    </row>
    <row r="202">
      <c r="H202" s="20"/>
    </row>
    <row r="203">
      <c r="H203" s="20"/>
    </row>
    <row r="204">
      <c r="H204" s="20"/>
    </row>
    <row r="205">
      <c r="H205" s="20"/>
    </row>
    <row r="206">
      <c r="H206" s="20"/>
    </row>
    <row r="207">
      <c r="H207" s="20"/>
    </row>
    <row r="208">
      <c r="H208" s="20"/>
    </row>
    <row r="209">
      <c r="H209" s="20"/>
    </row>
    <row r="210">
      <c r="H210" s="20"/>
    </row>
    <row r="211">
      <c r="H211" s="20"/>
    </row>
    <row r="212">
      <c r="H212" s="20"/>
    </row>
    <row r="213">
      <c r="H213" s="20"/>
    </row>
    <row r="214">
      <c r="H214" s="20"/>
    </row>
    <row r="215">
      <c r="H215" s="20"/>
    </row>
    <row r="216">
      <c r="H216" s="20"/>
    </row>
    <row r="217">
      <c r="H217" s="20"/>
    </row>
    <row r="218">
      <c r="H218" s="20"/>
    </row>
    <row r="219">
      <c r="H219" s="20"/>
    </row>
    <row r="220">
      <c r="H220" s="20"/>
    </row>
    <row r="221">
      <c r="H221" s="20"/>
    </row>
    <row r="222">
      <c r="H222" s="20"/>
    </row>
    <row r="223">
      <c r="H223" s="20"/>
    </row>
    <row r="224">
      <c r="H224" s="20"/>
    </row>
    <row r="225">
      <c r="H225" s="20"/>
    </row>
    <row r="226">
      <c r="H226" s="20"/>
    </row>
    <row r="227">
      <c r="H227" s="20"/>
    </row>
    <row r="228">
      <c r="H228" s="20"/>
    </row>
    <row r="229">
      <c r="H229" s="20"/>
    </row>
    <row r="230">
      <c r="H230" s="20"/>
    </row>
    <row r="231">
      <c r="H231" s="20"/>
    </row>
    <row r="232">
      <c r="H232" s="20"/>
    </row>
    <row r="233">
      <c r="H233" s="20"/>
    </row>
    <row r="234">
      <c r="H234" s="20"/>
    </row>
    <row r="235">
      <c r="H235" s="20"/>
    </row>
    <row r="236">
      <c r="H236" s="20"/>
    </row>
    <row r="237">
      <c r="H237" s="20"/>
    </row>
    <row r="238">
      <c r="H238" s="20"/>
    </row>
    <row r="239">
      <c r="H239" s="20"/>
    </row>
    <row r="240">
      <c r="H240" s="20"/>
    </row>
    <row r="241">
      <c r="H241" s="20"/>
    </row>
    <row r="242">
      <c r="H242" s="20"/>
    </row>
    <row r="243">
      <c r="H243" s="20"/>
    </row>
    <row r="244">
      <c r="H244" s="20"/>
    </row>
    <row r="245">
      <c r="H245" s="20"/>
    </row>
    <row r="246">
      <c r="H246" s="20"/>
    </row>
    <row r="247">
      <c r="H247" s="20"/>
    </row>
    <row r="248">
      <c r="H248" s="20"/>
    </row>
    <row r="249">
      <c r="H249" s="20"/>
    </row>
    <row r="250">
      <c r="H250" s="20"/>
    </row>
    <row r="251">
      <c r="H251" s="20"/>
    </row>
    <row r="252">
      <c r="H252" s="20"/>
    </row>
    <row r="253">
      <c r="H253" s="20"/>
    </row>
    <row r="254">
      <c r="H254" s="20"/>
    </row>
    <row r="255">
      <c r="H255" s="20"/>
    </row>
    <row r="256">
      <c r="H256" s="20"/>
    </row>
    <row r="257">
      <c r="H257" s="20"/>
    </row>
    <row r="258">
      <c r="H258" s="20"/>
    </row>
    <row r="259">
      <c r="H259" s="20"/>
    </row>
    <row r="260">
      <c r="H260" s="20"/>
    </row>
    <row r="261">
      <c r="H261" s="20"/>
    </row>
    <row r="262">
      <c r="H262" s="20"/>
    </row>
    <row r="263">
      <c r="H263" s="20"/>
    </row>
    <row r="264">
      <c r="H264" s="20"/>
    </row>
    <row r="265">
      <c r="H265" s="20"/>
    </row>
    <row r="266">
      <c r="H266" s="20"/>
    </row>
    <row r="267">
      <c r="H267" s="20"/>
    </row>
    <row r="268">
      <c r="H268" s="20"/>
    </row>
    <row r="269">
      <c r="H269" s="20"/>
    </row>
    <row r="270">
      <c r="H270" s="20"/>
    </row>
    <row r="271">
      <c r="H271" s="20"/>
    </row>
    <row r="272">
      <c r="H272" s="20"/>
    </row>
    <row r="273">
      <c r="H273" s="20"/>
    </row>
    <row r="274">
      <c r="H274" s="20"/>
    </row>
    <row r="275">
      <c r="H275" s="20"/>
    </row>
    <row r="276">
      <c r="H276" s="20"/>
    </row>
    <row r="277">
      <c r="H277" s="20"/>
    </row>
    <row r="278">
      <c r="H278" s="20"/>
    </row>
    <row r="279">
      <c r="H279" s="20"/>
    </row>
    <row r="280">
      <c r="H280" s="20"/>
    </row>
    <row r="281">
      <c r="H281" s="20"/>
    </row>
    <row r="282">
      <c r="H282" s="20"/>
    </row>
    <row r="283">
      <c r="H283" s="20"/>
    </row>
    <row r="284">
      <c r="H284" s="20"/>
    </row>
    <row r="285">
      <c r="H285" s="20"/>
    </row>
    <row r="286">
      <c r="H286" s="20"/>
    </row>
    <row r="287">
      <c r="H287" s="20"/>
    </row>
    <row r="288">
      <c r="H288" s="20"/>
    </row>
    <row r="289">
      <c r="H289" s="20"/>
    </row>
    <row r="290">
      <c r="H290" s="20"/>
    </row>
    <row r="291">
      <c r="H291" s="20"/>
    </row>
    <row r="292">
      <c r="H292" s="20"/>
    </row>
    <row r="293">
      <c r="H293" s="20"/>
    </row>
    <row r="294">
      <c r="H294" s="20"/>
    </row>
    <row r="295">
      <c r="H295" s="20"/>
    </row>
    <row r="296">
      <c r="H296" s="20"/>
    </row>
    <row r="297">
      <c r="H297" s="20"/>
    </row>
    <row r="298">
      <c r="H298" s="20"/>
    </row>
    <row r="299">
      <c r="H299" s="20"/>
    </row>
    <row r="300">
      <c r="H300" s="20"/>
    </row>
    <row r="301">
      <c r="H301" s="20"/>
    </row>
    <row r="302">
      <c r="H302" s="20"/>
    </row>
    <row r="303">
      <c r="H303" s="20"/>
    </row>
    <row r="304">
      <c r="H304" s="20"/>
    </row>
    <row r="305">
      <c r="H305" s="20"/>
    </row>
    <row r="306">
      <c r="H306" s="20"/>
    </row>
    <row r="307">
      <c r="H307" s="20"/>
    </row>
    <row r="308">
      <c r="H308" s="20"/>
    </row>
    <row r="309">
      <c r="H309" s="20"/>
    </row>
    <row r="310">
      <c r="H310" s="20"/>
    </row>
    <row r="311">
      <c r="H311" s="20"/>
    </row>
    <row r="312">
      <c r="H312" s="20"/>
    </row>
    <row r="313">
      <c r="H313" s="20"/>
    </row>
    <row r="314">
      <c r="H314" s="20"/>
    </row>
    <row r="315">
      <c r="H315" s="20"/>
    </row>
    <row r="316">
      <c r="H316" s="20"/>
    </row>
    <row r="317">
      <c r="H317" s="20"/>
    </row>
    <row r="318">
      <c r="H318" s="20"/>
    </row>
    <row r="319">
      <c r="H319" s="20"/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67.0"/>
  </cols>
  <sheetData>
    <row r="1" ht="30.0" customHeight="1">
      <c r="A1" s="26" t="s">
        <v>6755</v>
      </c>
    </row>
    <row r="2">
      <c r="A2" s="27"/>
    </row>
    <row r="3">
      <c r="A3" s="27"/>
    </row>
    <row r="4">
      <c r="A4" s="27"/>
    </row>
    <row r="5">
      <c r="A5" s="27"/>
    </row>
    <row r="6">
      <c r="A6" s="27"/>
    </row>
    <row r="7">
      <c r="A7" s="27"/>
    </row>
    <row r="8">
      <c r="A8" s="27"/>
    </row>
    <row r="9">
      <c r="A9" s="27"/>
    </row>
    <row r="10">
      <c r="A10" s="27"/>
    </row>
    <row r="11">
      <c r="A11" s="27"/>
    </row>
    <row r="12">
      <c r="A12" s="27"/>
    </row>
    <row r="13">
      <c r="A13" s="27"/>
    </row>
    <row r="14">
      <c r="A14" s="27"/>
    </row>
    <row r="15">
      <c r="A15" s="27"/>
    </row>
    <row r="16">
      <c r="A16" s="27"/>
    </row>
    <row r="17">
      <c r="A17" s="27"/>
    </row>
    <row r="18">
      <c r="A18" s="27"/>
    </row>
    <row r="19">
      <c r="A19" s="27"/>
    </row>
    <row r="20">
      <c r="A20" s="27"/>
    </row>
    <row r="21">
      <c r="A21" s="27"/>
    </row>
    <row r="22">
      <c r="A22" s="27"/>
    </row>
    <row r="23">
      <c r="A23" s="27"/>
    </row>
    <row r="24">
      <c r="A24" s="27"/>
    </row>
    <row r="25">
      <c r="A25" s="27"/>
    </row>
    <row r="26">
      <c r="A26" s="27"/>
    </row>
    <row r="27">
      <c r="A27" s="27"/>
    </row>
    <row r="28">
      <c r="A28" s="27"/>
    </row>
    <row r="29">
      <c r="A29" s="27"/>
    </row>
    <row r="30">
      <c r="A30" s="27"/>
    </row>
    <row r="31">
      <c r="A31" s="27"/>
    </row>
    <row r="32">
      <c r="A32" s="27"/>
    </row>
    <row r="33">
      <c r="A33" s="27"/>
    </row>
    <row r="34">
      <c r="A34" s="27"/>
    </row>
    <row r="35">
      <c r="A35" s="27"/>
    </row>
    <row r="36">
      <c r="A36" s="27"/>
    </row>
    <row r="37">
      <c r="A37" s="27"/>
    </row>
    <row r="38">
      <c r="A38" s="27"/>
    </row>
    <row r="39">
      <c r="A39" s="27"/>
    </row>
    <row r="40">
      <c r="A40" s="27"/>
    </row>
    <row r="41">
      <c r="A41" s="27"/>
    </row>
    <row r="42">
      <c r="A42" s="27"/>
    </row>
    <row r="43">
      <c r="A43" s="27"/>
    </row>
    <row r="44">
      <c r="A44" s="27"/>
    </row>
    <row r="45">
      <c r="A45" s="27"/>
    </row>
  </sheetData>
  <drawing r:id="rId1"/>
</worksheet>
</file>